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7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8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9.xml" ContentType="application/vnd.openxmlformats-officedocument.drawing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0.xml" ContentType="application/vnd.openxmlformats-officedocument.drawing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non.nagy\Documents\BESNBC\Res_IRF\01_Res-IRF4-SNBC3_run3_AMS\Res-IRF4-SNBC3_run3\project\output\20250121_161432_ams_pre_run3\Reference\"/>
    </mc:Choice>
  </mc:AlternateContent>
  <xr:revisionPtr revIDLastSave="0" documentId="13_ncr:1_{1BB2DE7F-E897-44EA-BC80-7C0CBF685CC9}" xr6:coauthVersionLast="47" xr6:coauthVersionMax="47" xr10:uidLastSave="{00000000-0000-0000-0000-000000000000}"/>
  <bookViews>
    <workbookView xWindow="-120" yWindow="-120" windowWidth="20730" windowHeight="11160" tabRatio="862" activeTab="3" xr2:uid="{00000000-000D-0000-FFFF-FFFF00000000}"/>
  </bookViews>
  <sheets>
    <sheet name="output" sheetId="1" r:id="rId1"/>
    <sheet name="figures 2030" sheetId="2" state="hidden" r:id="rId2"/>
    <sheet name="figures 2050" sheetId="3" state="hidden" r:id="rId3"/>
    <sheet name="Post traitement FE" sheetId="13" r:id="rId4"/>
    <sheet name="Parc et émission" sheetId="6" r:id="rId5"/>
    <sheet name="Consommation" sheetId="7" r:id="rId6"/>
    <sheet name="Consommation - post traitement" sheetId="14" r:id="rId7"/>
    <sheet name="Gestes de rénovation" sheetId="10" r:id="rId8"/>
    <sheet name="Gestes de rénovation (2)" sheetId="15" r:id="rId9"/>
    <sheet name="Aides" sheetId="8" r:id="rId10"/>
    <sheet name="Switch heater " sheetId="12" r:id="rId11"/>
    <sheet name="Effet rebond" sheetId="9" r:id="rId12"/>
  </sheets>
  <definedNames>
    <definedName name="_xlnm._FilterDatabase" localSheetId="0" hidden="1">output!$A$1:$A$1131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3" l="1"/>
  <c r="N264" i="15" l="1"/>
  <c r="O264" i="15"/>
  <c r="P264" i="15"/>
  <c r="Q264" i="15"/>
  <c r="R264" i="15"/>
  <c r="S264" i="15"/>
  <c r="T264" i="15"/>
  <c r="U264" i="15"/>
  <c r="V264" i="15"/>
  <c r="W264" i="15"/>
  <c r="X264" i="15"/>
  <c r="Y264" i="15"/>
  <c r="Z264" i="15"/>
  <c r="AA264" i="15"/>
  <c r="AB264" i="15"/>
  <c r="AC264" i="15"/>
  <c r="AD264" i="15"/>
  <c r="AE264" i="15"/>
  <c r="AF264" i="15"/>
  <c r="AG264" i="15"/>
  <c r="AH264" i="15"/>
  <c r="AI264" i="15"/>
  <c r="AJ264" i="15"/>
  <c r="AK264" i="15"/>
  <c r="AL264" i="15"/>
  <c r="AM264" i="15"/>
  <c r="M264" i="15"/>
  <c r="F107" i="14" l="1"/>
  <c r="AL29" i="6" l="1"/>
  <c r="AM37" i="7" l="1"/>
  <c r="M168" i="15"/>
  <c r="N168" i="15"/>
  <c r="O168" i="15"/>
  <c r="P168" i="15"/>
  <c r="Q168" i="15"/>
  <c r="R168" i="15"/>
  <c r="S168" i="15"/>
  <c r="T168" i="15"/>
  <c r="U168" i="15"/>
  <c r="V168" i="15"/>
  <c r="W168" i="15"/>
  <c r="X168" i="15"/>
  <c r="Y168" i="15"/>
  <c r="Z168" i="15"/>
  <c r="AA168" i="15"/>
  <c r="AB168" i="15"/>
  <c r="AC168" i="15"/>
  <c r="AD168" i="15"/>
  <c r="AE168" i="15"/>
  <c r="AF168" i="15"/>
  <c r="AG168" i="15"/>
  <c r="AH168" i="15"/>
  <c r="AI168" i="15"/>
  <c r="AJ168" i="15"/>
  <c r="AK168" i="15"/>
  <c r="AL168" i="15"/>
  <c r="AM168" i="15"/>
  <c r="M169" i="15"/>
  <c r="N169" i="15"/>
  <c r="O169" i="15"/>
  <c r="P169" i="15"/>
  <c r="Q169" i="15"/>
  <c r="R169" i="15"/>
  <c r="S169" i="15"/>
  <c r="T169" i="15"/>
  <c r="U169" i="15"/>
  <c r="V169" i="15"/>
  <c r="W169" i="15"/>
  <c r="X169" i="15"/>
  <c r="Y169" i="15"/>
  <c r="Z169" i="15"/>
  <c r="AA169" i="15"/>
  <c r="AB169" i="15"/>
  <c r="AC169" i="15"/>
  <c r="AD169" i="15"/>
  <c r="AE169" i="15"/>
  <c r="AF169" i="15"/>
  <c r="AG169" i="15"/>
  <c r="AH169" i="15"/>
  <c r="AI169" i="15"/>
  <c r="AJ169" i="15"/>
  <c r="AK169" i="15"/>
  <c r="AL169" i="15"/>
  <c r="AM169" i="15"/>
  <c r="L169" i="15"/>
  <c r="M162" i="15"/>
  <c r="N162" i="15"/>
  <c r="O162" i="15"/>
  <c r="P162" i="15"/>
  <c r="Q162" i="15"/>
  <c r="R162" i="15"/>
  <c r="S162" i="15"/>
  <c r="T162" i="15"/>
  <c r="U162" i="15"/>
  <c r="V162" i="15"/>
  <c r="W162" i="15"/>
  <c r="X162" i="15"/>
  <c r="Y162" i="15"/>
  <c r="Z162" i="15"/>
  <c r="AA162" i="15"/>
  <c r="AB162" i="15"/>
  <c r="AC162" i="15"/>
  <c r="AD162" i="15"/>
  <c r="AE162" i="15"/>
  <c r="AF162" i="15"/>
  <c r="AG162" i="15"/>
  <c r="AH162" i="15"/>
  <c r="AI162" i="15"/>
  <c r="AJ162" i="15"/>
  <c r="AK162" i="15"/>
  <c r="AL162" i="15"/>
  <c r="AM162" i="15"/>
  <c r="L162" i="15"/>
  <c r="M167" i="15"/>
  <c r="N167" i="15"/>
  <c r="O167" i="15"/>
  <c r="P167" i="15"/>
  <c r="Q167" i="15"/>
  <c r="R167" i="15"/>
  <c r="S167" i="15"/>
  <c r="T167" i="15"/>
  <c r="U167" i="15"/>
  <c r="V167" i="15"/>
  <c r="W167" i="15"/>
  <c r="X167" i="15"/>
  <c r="Y167" i="15"/>
  <c r="Z167" i="15"/>
  <c r="AA167" i="15"/>
  <c r="AB167" i="15"/>
  <c r="AC167" i="15"/>
  <c r="AD167" i="15"/>
  <c r="AE167" i="15"/>
  <c r="AF167" i="15"/>
  <c r="AG167" i="15"/>
  <c r="AH167" i="15"/>
  <c r="AI167" i="15"/>
  <c r="AJ167" i="15"/>
  <c r="AK167" i="15"/>
  <c r="AL167" i="15"/>
  <c r="AM167" i="15"/>
  <c r="L168" i="15"/>
  <c r="L167" i="15"/>
  <c r="M160" i="15"/>
  <c r="N160" i="15"/>
  <c r="O160" i="15"/>
  <c r="P160" i="15"/>
  <c r="Q160" i="15"/>
  <c r="R160" i="15"/>
  <c r="S160" i="15"/>
  <c r="T160" i="15"/>
  <c r="U160" i="15"/>
  <c r="V160" i="15"/>
  <c r="W160" i="15"/>
  <c r="X160" i="15"/>
  <c r="Y160" i="15"/>
  <c r="Z160" i="15"/>
  <c r="AA160" i="15"/>
  <c r="AB160" i="15"/>
  <c r="AC160" i="15"/>
  <c r="AD160" i="15"/>
  <c r="AE160" i="15"/>
  <c r="AF160" i="15"/>
  <c r="AG160" i="15"/>
  <c r="AH160" i="15"/>
  <c r="AI160" i="15"/>
  <c r="AJ160" i="15"/>
  <c r="AK160" i="15"/>
  <c r="AL160" i="15"/>
  <c r="AM160" i="15"/>
  <c r="M161" i="15"/>
  <c r="N161" i="15"/>
  <c r="O161" i="15"/>
  <c r="O171" i="15" s="1"/>
  <c r="P161" i="15"/>
  <c r="P171" i="15" s="1"/>
  <c r="Q161" i="15"/>
  <c r="Q171" i="15" s="1"/>
  <c r="R161" i="15"/>
  <c r="R171" i="15" s="1"/>
  <c r="S161" i="15"/>
  <c r="S171" i="15" s="1"/>
  <c r="T161" i="15"/>
  <c r="T171" i="15" s="1"/>
  <c r="U161" i="15"/>
  <c r="U171" i="15" s="1"/>
  <c r="V161" i="15"/>
  <c r="W161" i="15"/>
  <c r="X161" i="15"/>
  <c r="Y161" i="15"/>
  <c r="Y171" i="15" s="1"/>
  <c r="Z161" i="15"/>
  <c r="Z171" i="15" s="1"/>
  <c r="AA161" i="15"/>
  <c r="AA171" i="15" s="1"/>
  <c r="AB161" i="15"/>
  <c r="AC161" i="15"/>
  <c r="AC171" i="15" s="1"/>
  <c r="AD161" i="15"/>
  <c r="AD171" i="15" s="1"/>
  <c r="AE161" i="15"/>
  <c r="AE171" i="15" s="1"/>
  <c r="AF161" i="15"/>
  <c r="AF171" i="15" s="1"/>
  <c r="AG161" i="15"/>
  <c r="AH161" i="15"/>
  <c r="AI161" i="15"/>
  <c r="AJ161" i="15"/>
  <c r="AK161" i="15"/>
  <c r="AK171" i="15" s="1"/>
  <c r="AL161" i="15"/>
  <c r="AL171" i="15" s="1"/>
  <c r="AM161" i="15"/>
  <c r="AM171" i="15" s="1"/>
  <c r="L161" i="15"/>
  <c r="L160" i="15"/>
  <c r="K159" i="15"/>
  <c r="AM124" i="15"/>
  <c r="AL124" i="15"/>
  <c r="AK124" i="15"/>
  <c r="AJ124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AM123" i="15"/>
  <c r="AL123" i="15"/>
  <c r="AK123" i="15"/>
  <c r="AJ123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AM114" i="15"/>
  <c r="AL114" i="15"/>
  <c r="AK114" i="15"/>
  <c r="AJ114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AM113" i="15"/>
  <c r="AL113" i="15"/>
  <c r="AK113" i="15"/>
  <c r="AJ113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AM112" i="15"/>
  <c r="AL112" i="15"/>
  <c r="AK112" i="15"/>
  <c r="AJ112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AM103" i="15"/>
  <c r="AL103" i="15"/>
  <c r="AK103" i="15"/>
  <c r="AJ103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AM102" i="15"/>
  <c r="AL102" i="15"/>
  <c r="AK102" i="15"/>
  <c r="AJ102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AM101" i="15"/>
  <c r="AL101" i="15"/>
  <c r="AK101" i="15"/>
  <c r="AJ101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AM97" i="15"/>
  <c r="AM136" i="15" s="1"/>
  <c r="AL97" i="15"/>
  <c r="AK97" i="15"/>
  <c r="AK136" i="15" s="1"/>
  <c r="AJ97" i="15"/>
  <c r="AI97" i="15"/>
  <c r="AH97" i="15"/>
  <c r="AG97" i="15"/>
  <c r="AF97" i="15"/>
  <c r="AE97" i="15"/>
  <c r="AD97" i="15"/>
  <c r="AC97" i="15"/>
  <c r="AB97" i="15"/>
  <c r="AB136" i="15" s="1"/>
  <c r="AA97" i="15"/>
  <c r="AA136" i="15" s="1"/>
  <c r="Z97" i="15"/>
  <c r="Y97" i="15"/>
  <c r="Y136" i="15" s="1"/>
  <c r="X97" i="15"/>
  <c r="W97" i="15"/>
  <c r="V97" i="15"/>
  <c r="U97" i="15"/>
  <c r="T97" i="15"/>
  <c r="S97" i="15"/>
  <c r="R97" i="15"/>
  <c r="Q97" i="15"/>
  <c r="P97" i="15"/>
  <c r="P136" i="15" s="1"/>
  <c r="O97" i="15"/>
  <c r="O136" i="15" s="1"/>
  <c r="N97" i="15"/>
  <c r="M97" i="15"/>
  <c r="M136" i="15" s="1"/>
  <c r="L97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AM92" i="15"/>
  <c r="AL92" i="15"/>
  <c r="AK92" i="15"/>
  <c r="AJ92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AM17" i="15"/>
  <c r="AM159" i="15" s="1"/>
  <c r="AL17" i="15"/>
  <c r="AL159" i="15" s="1"/>
  <c r="AK17" i="15"/>
  <c r="AK159" i="15" s="1"/>
  <c r="AK163" i="15" s="1"/>
  <c r="AJ17" i="15"/>
  <c r="AI17" i="15"/>
  <c r="AI159" i="15" s="1"/>
  <c r="AI163" i="15" s="1"/>
  <c r="AH17" i="15"/>
  <c r="AH159" i="15" s="1"/>
  <c r="AH163" i="15" s="1"/>
  <c r="AG17" i="15"/>
  <c r="AG159" i="15" s="1"/>
  <c r="AG163" i="15" s="1"/>
  <c r="AF17" i="15"/>
  <c r="AF159" i="15" s="1"/>
  <c r="AE17" i="15"/>
  <c r="AE29" i="15" s="1"/>
  <c r="AD17" i="15"/>
  <c r="AD159" i="15" s="1"/>
  <c r="AD163" i="15" s="1"/>
  <c r="AC17" i="15"/>
  <c r="AC159" i="15" s="1"/>
  <c r="AB17" i="15"/>
  <c r="AB159" i="15" s="1"/>
  <c r="AA17" i="15"/>
  <c r="AA159" i="15" s="1"/>
  <c r="Z17" i="15"/>
  <c r="Z159" i="15" s="1"/>
  <c r="Z163" i="15" s="1"/>
  <c r="Y17" i="15"/>
  <c r="Y159" i="15" s="1"/>
  <c r="Y163" i="15" s="1"/>
  <c r="X17" i="15"/>
  <c r="W17" i="15"/>
  <c r="W159" i="15" s="1"/>
  <c r="W163" i="15" s="1"/>
  <c r="V17" i="15"/>
  <c r="V159" i="15" s="1"/>
  <c r="V163" i="15" s="1"/>
  <c r="U17" i="15"/>
  <c r="U159" i="15" s="1"/>
  <c r="U163" i="15" s="1"/>
  <c r="T17" i="15"/>
  <c r="T159" i="15" s="1"/>
  <c r="S17" i="15"/>
  <c r="S29" i="15" s="1"/>
  <c r="R17" i="15"/>
  <c r="R159" i="15" s="1"/>
  <c r="R163" i="15" s="1"/>
  <c r="Q17" i="15"/>
  <c r="Q159" i="15" s="1"/>
  <c r="P17" i="15"/>
  <c r="P159" i="15" s="1"/>
  <c r="O17" i="15"/>
  <c r="O159" i="15" s="1"/>
  <c r="O163" i="15" s="1"/>
  <c r="N17" i="15"/>
  <c r="N159" i="15" s="1"/>
  <c r="N163" i="15" s="1"/>
  <c r="M17" i="15"/>
  <c r="M159" i="15" s="1"/>
  <c r="M163" i="15" s="1"/>
  <c r="L17" i="15"/>
  <c r="L159" i="15" s="1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P163" i="15" l="1"/>
  <c r="N136" i="15"/>
  <c r="Z136" i="15"/>
  <c r="AL136" i="15"/>
  <c r="O29" i="15"/>
  <c r="U73" i="15"/>
  <c r="AK73" i="15"/>
  <c r="AC136" i="15"/>
  <c r="R136" i="15"/>
  <c r="M73" i="15"/>
  <c r="AD136" i="15"/>
  <c r="AE136" i="15"/>
  <c r="AG73" i="15"/>
  <c r="S136" i="15"/>
  <c r="L163" i="15"/>
  <c r="T136" i="15"/>
  <c r="AF136" i="15"/>
  <c r="AG136" i="15"/>
  <c r="V136" i="15"/>
  <c r="AH136" i="15"/>
  <c r="Y73" i="15"/>
  <c r="Q136" i="15"/>
  <c r="AA163" i="15"/>
  <c r="W136" i="15"/>
  <c r="AI136" i="15"/>
  <c r="AC73" i="15"/>
  <c r="U136" i="15"/>
  <c r="AB163" i="15"/>
  <c r="L136" i="15"/>
  <c r="X136" i="15"/>
  <c r="AJ136" i="15"/>
  <c r="AC172" i="15"/>
  <c r="Q172" i="15"/>
  <c r="AH171" i="15"/>
  <c r="Q163" i="15"/>
  <c r="AC163" i="15"/>
  <c r="T163" i="15"/>
  <c r="AF163" i="15"/>
  <c r="AB73" i="15"/>
  <c r="X27" i="15"/>
  <c r="AL163" i="15"/>
  <c r="AJ27" i="15"/>
  <c r="AM163" i="15"/>
  <c r="W171" i="15"/>
  <c r="N29" i="15"/>
  <c r="Z29" i="15"/>
  <c r="AB171" i="15"/>
  <c r="AI28" i="15"/>
  <c r="S73" i="15"/>
  <c r="AE73" i="15"/>
  <c r="AB172" i="15"/>
  <c r="P172" i="15"/>
  <c r="AM172" i="15"/>
  <c r="AA172" i="15"/>
  <c r="M50" i="15"/>
  <c r="Y50" i="15"/>
  <c r="AK50" i="15"/>
  <c r="AL172" i="15"/>
  <c r="Z172" i="15"/>
  <c r="Z73" i="15"/>
  <c r="N73" i="15"/>
  <c r="AL73" i="15"/>
  <c r="X28" i="15"/>
  <c r="AJ28" i="15"/>
  <c r="O73" i="15"/>
  <c r="AA73" i="15"/>
  <c r="AM73" i="15"/>
  <c r="O172" i="15"/>
  <c r="AL29" i="15"/>
  <c r="N27" i="15"/>
  <c r="Z27" i="15"/>
  <c r="AL27" i="15"/>
  <c r="AM170" i="15"/>
  <c r="AA170" i="15"/>
  <c r="O170" i="15"/>
  <c r="AK172" i="15"/>
  <c r="Y172" i="15"/>
  <c r="AL170" i="15"/>
  <c r="Z170" i="15"/>
  <c r="AJ172" i="15"/>
  <c r="X172" i="15"/>
  <c r="AA27" i="15"/>
  <c r="T29" i="15"/>
  <c r="AF29" i="15"/>
  <c r="AI172" i="15"/>
  <c r="W172" i="15"/>
  <c r="AM27" i="15"/>
  <c r="U29" i="15"/>
  <c r="AG29" i="15"/>
  <c r="AH172" i="15"/>
  <c r="V172" i="15"/>
  <c r="O27" i="15"/>
  <c r="Q50" i="15"/>
  <c r="AC50" i="15"/>
  <c r="Q73" i="15"/>
  <c r="AI170" i="15"/>
  <c r="W170" i="15"/>
  <c r="AG172" i="15"/>
  <c r="U172" i="15"/>
  <c r="AF172" i="15"/>
  <c r="T172" i="15"/>
  <c r="AI171" i="15"/>
  <c r="W28" i="15"/>
  <c r="AE172" i="15"/>
  <c r="S172" i="15"/>
  <c r="V171" i="15"/>
  <c r="L73" i="15"/>
  <c r="X73" i="15"/>
  <c r="AJ73" i="15"/>
  <c r="T73" i="15"/>
  <c r="AF73" i="15"/>
  <c r="P73" i="15"/>
  <c r="AD172" i="15"/>
  <c r="R172" i="15"/>
  <c r="AB28" i="15"/>
  <c r="AJ170" i="15"/>
  <c r="X170" i="15"/>
  <c r="V28" i="15"/>
  <c r="AA29" i="15"/>
  <c r="AM29" i="15"/>
  <c r="W27" i="15"/>
  <c r="AI27" i="15"/>
  <c r="S27" i="15"/>
  <c r="AE27" i="15"/>
  <c r="AH170" i="15"/>
  <c r="V170" i="15"/>
  <c r="AG171" i="15"/>
  <c r="T28" i="15"/>
  <c r="AF28" i="15"/>
  <c r="P29" i="15"/>
  <c r="AB29" i="15"/>
  <c r="T27" i="15"/>
  <c r="AF27" i="15"/>
  <c r="AJ159" i="15"/>
  <c r="AJ163" i="15" s="1"/>
  <c r="X159" i="15"/>
  <c r="X163" i="15" s="1"/>
  <c r="AG170" i="15"/>
  <c r="U170" i="15"/>
  <c r="M29" i="15"/>
  <c r="Y29" i="15"/>
  <c r="AK29" i="15"/>
  <c r="M28" i="15"/>
  <c r="Y28" i="15"/>
  <c r="AK28" i="15"/>
  <c r="U28" i="15"/>
  <c r="AG28" i="15"/>
  <c r="Q29" i="15"/>
  <c r="AC29" i="15"/>
  <c r="M27" i="15"/>
  <c r="Y27" i="15"/>
  <c r="AK27" i="15"/>
  <c r="U27" i="15"/>
  <c r="AG27" i="15"/>
  <c r="AF170" i="15"/>
  <c r="T170" i="15"/>
  <c r="N28" i="15"/>
  <c r="Z28" i="15"/>
  <c r="AL28" i="15"/>
  <c r="R29" i="15"/>
  <c r="AD29" i="15"/>
  <c r="R50" i="15"/>
  <c r="AD50" i="15"/>
  <c r="N50" i="15"/>
  <c r="Z50" i="15"/>
  <c r="AL50" i="15"/>
  <c r="AE170" i="15"/>
  <c r="S170" i="15"/>
  <c r="S50" i="15"/>
  <c r="AE50" i="15"/>
  <c r="R73" i="15"/>
  <c r="AD73" i="15"/>
  <c r="AD170" i="15"/>
  <c r="R170" i="15"/>
  <c r="P27" i="15"/>
  <c r="AB27" i="15"/>
  <c r="AC170" i="15"/>
  <c r="Q170" i="15"/>
  <c r="V27" i="15"/>
  <c r="Q28" i="15"/>
  <c r="AC28" i="15"/>
  <c r="Q27" i="15"/>
  <c r="AC27" i="15"/>
  <c r="U50" i="15"/>
  <c r="AG50" i="15"/>
  <c r="AE159" i="15"/>
  <c r="AE163" i="15" s="1"/>
  <c r="S159" i="15"/>
  <c r="S163" i="15" s="1"/>
  <c r="AB170" i="15"/>
  <c r="P170" i="15"/>
  <c r="AH28" i="15"/>
  <c r="R28" i="15"/>
  <c r="AD28" i="15"/>
  <c r="V29" i="15"/>
  <c r="AH29" i="15"/>
  <c r="R27" i="15"/>
  <c r="AD27" i="15"/>
  <c r="P28" i="15"/>
  <c r="V50" i="15"/>
  <c r="AH50" i="15"/>
  <c r="AH27" i="15"/>
  <c r="S28" i="15"/>
  <c r="AE28" i="15"/>
  <c r="O28" i="15"/>
  <c r="AA28" i="15"/>
  <c r="AM28" i="15"/>
  <c r="W29" i="15"/>
  <c r="AI29" i="15"/>
  <c r="W50" i="15"/>
  <c r="AI50" i="15"/>
  <c r="O50" i="15"/>
  <c r="AA50" i="15"/>
  <c r="AM50" i="15"/>
  <c r="V73" i="15"/>
  <c r="AH73" i="15"/>
  <c r="L50" i="15"/>
  <c r="X50" i="15"/>
  <c r="AJ50" i="15"/>
  <c r="T50" i="15"/>
  <c r="AF50" i="15"/>
  <c r="P50" i="15"/>
  <c r="AB50" i="15"/>
  <c r="W73" i="15"/>
  <c r="AI73" i="15"/>
  <c r="AK170" i="15"/>
  <c r="Y170" i="15"/>
  <c r="AJ171" i="15"/>
  <c r="X171" i="15"/>
  <c r="X29" i="15"/>
  <c r="AJ29" i="15"/>
  <c r="F136" i="14" l="1"/>
  <c r="G136" i="14"/>
  <c r="H136" i="14"/>
  <c r="I136" i="14"/>
  <c r="J136" i="14"/>
  <c r="K136" i="14"/>
  <c r="L136" i="14"/>
  <c r="M136" i="14"/>
  <c r="N136" i="14"/>
  <c r="O136" i="14"/>
  <c r="P136" i="14"/>
  <c r="Q136" i="14"/>
  <c r="R136" i="14"/>
  <c r="S136" i="14"/>
  <c r="T136" i="14"/>
  <c r="U136" i="14"/>
  <c r="V136" i="14"/>
  <c r="W136" i="14"/>
  <c r="X136" i="14"/>
  <c r="Y136" i="14"/>
  <c r="Z136" i="14"/>
  <c r="AA136" i="14"/>
  <c r="AB136" i="14"/>
  <c r="AC136" i="14"/>
  <c r="AD136" i="14"/>
  <c r="AE136" i="14"/>
  <c r="AF136" i="14"/>
  <c r="F137" i="14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S137" i="14"/>
  <c r="T137" i="14"/>
  <c r="U137" i="14"/>
  <c r="V137" i="14"/>
  <c r="W137" i="14"/>
  <c r="X137" i="14"/>
  <c r="Y137" i="14"/>
  <c r="Z137" i="14"/>
  <c r="AA137" i="14"/>
  <c r="AB137" i="14"/>
  <c r="AC137" i="14"/>
  <c r="AD137" i="14"/>
  <c r="AE137" i="14"/>
  <c r="AF137" i="14"/>
  <c r="F138" i="14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S138" i="14"/>
  <c r="T138" i="14"/>
  <c r="U138" i="14"/>
  <c r="V138" i="14"/>
  <c r="W138" i="14"/>
  <c r="X138" i="14"/>
  <c r="Y138" i="14"/>
  <c r="Z138" i="14"/>
  <c r="AA138" i="14"/>
  <c r="AB138" i="14"/>
  <c r="AC138" i="14"/>
  <c r="AD138" i="14"/>
  <c r="AE138" i="14"/>
  <c r="AF138" i="14"/>
  <c r="F139" i="14"/>
  <c r="G139" i="14"/>
  <c r="H139" i="14"/>
  <c r="I139" i="14"/>
  <c r="J139" i="14"/>
  <c r="K139" i="14"/>
  <c r="L139" i="14"/>
  <c r="M139" i="14"/>
  <c r="N139" i="14"/>
  <c r="O139" i="14"/>
  <c r="P139" i="14"/>
  <c r="Q139" i="14"/>
  <c r="R139" i="14"/>
  <c r="S139" i="14"/>
  <c r="T139" i="14"/>
  <c r="U139" i="14"/>
  <c r="V139" i="14"/>
  <c r="W139" i="14"/>
  <c r="X139" i="14"/>
  <c r="Y139" i="14"/>
  <c r="Z139" i="14"/>
  <c r="AA139" i="14"/>
  <c r="AB139" i="14"/>
  <c r="AC139" i="14"/>
  <c r="AD139" i="14"/>
  <c r="AE139" i="14"/>
  <c r="AF139" i="14"/>
  <c r="F140" i="14"/>
  <c r="G140" i="14"/>
  <c r="H140" i="14"/>
  <c r="I140" i="14"/>
  <c r="J140" i="14"/>
  <c r="K140" i="14"/>
  <c r="L140" i="14"/>
  <c r="M140" i="14"/>
  <c r="N140" i="14"/>
  <c r="O140" i="14"/>
  <c r="P140" i="14"/>
  <c r="Q140" i="14"/>
  <c r="R140" i="14"/>
  <c r="S140" i="14"/>
  <c r="T140" i="14"/>
  <c r="U140" i="14"/>
  <c r="V140" i="14"/>
  <c r="W140" i="14"/>
  <c r="X140" i="14"/>
  <c r="Y140" i="14"/>
  <c r="Z140" i="14"/>
  <c r="AA140" i="14"/>
  <c r="AB140" i="14"/>
  <c r="AC140" i="14"/>
  <c r="AD140" i="14"/>
  <c r="AE140" i="14"/>
  <c r="AF140" i="14"/>
  <c r="F141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V141" i="14"/>
  <c r="W141" i="14"/>
  <c r="X141" i="14"/>
  <c r="Y141" i="14"/>
  <c r="Z141" i="14"/>
  <c r="AA141" i="14"/>
  <c r="AB141" i="14"/>
  <c r="AC141" i="14"/>
  <c r="AD141" i="14"/>
  <c r="AE141" i="14"/>
  <c r="AF141" i="14"/>
  <c r="E141" i="14"/>
  <c r="E140" i="14"/>
  <c r="E139" i="14"/>
  <c r="E138" i="14"/>
  <c r="E137" i="14"/>
  <c r="E136" i="14"/>
  <c r="L102" i="14" l="1"/>
  <c r="Q102" i="14"/>
  <c r="AF102" i="14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L50" i="9"/>
  <c r="L51" i="9"/>
  <c r="L52" i="9"/>
  <c r="L53" i="9"/>
  <c r="L54" i="9"/>
  <c r="L55" i="9"/>
  <c r="L56" i="9"/>
  <c r="L57" i="9"/>
  <c r="L58" i="9"/>
  <c r="L59" i="9"/>
  <c r="L61" i="9"/>
  <c r="L62" i="9"/>
  <c r="L63" i="9"/>
  <c r="L65" i="9"/>
  <c r="L66" i="9"/>
  <c r="L68" i="9"/>
  <c r="L70" i="9"/>
  <c r="L49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L4" i="9"/>
  <c r="L5" i="9"/>
  <c r="L6" i="9"/>
  <c r="L7" i="9"/>
  <c r="L8" i="9"/>
  <c r="L9" i="9"/>
  <c r="L10" i="9"/>
  <c r="L11" i="9"/>
  <c r="L12" i="9"/>
  <c r="L13" i="9"/>
  <c r="L14" i="9"/>
  <c r="L15" i="9"/>
  <c r="L3" i="9"/>
  <c r="L58" i="12"/>
  <c r="K2" i="12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L84" i="8"/>
  <c r="L83" i="8"/>
  <c r="L82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L67" i="8"/>
  <c r="L65" i="8"/>
  <c r="L64" i="8"/>
  <c r="L63" i="8"/>
  <c r="L61" i="8"/>
  <c r="L60" i="8"/>
  <c r="L57" i="8"/>
  <c r="L58" i="8"/>
  <c r="L56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L50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L38" i="8"/>
  <c r="L37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L30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M32" i="8"/>
  <c r="M51" i="8" s="1"/>
  <c r="N32" i="8"/>
  <c r="N51" i="8" s="1"/>
  <c r="O32" i="8"/>
  <c r="O51" i="8" s="1"/>
  <c r="P32" i="8"/>
  <c r="P51" i="8" s="1"/>
  <c r="Q32" i="8"/>
  <c r="Q51" i="8" s="1"/>
  <c r="R32" i="8"/>
  <c r="R51" i="8" s="1"/>
  <c r="S32" i="8"/>
  <c r="S51" i="8" s="1"/>
  <c r="T32" i="8"/>
  <c r="T51" i="8" s="1"/>
  <c r="U32" i="8"/>
  <c r="U51" i="8" s="1"/>
  <c r="V32" i="8"/>
  <c r="V51" i="8" s="1"/>
  <c r="W32" i="8"/>
  <c r="W51" i="8" s="1"/>
  <c r="X32" i="8"/>
  <c r="X51" i="8" s="1"/>
  <c r="Y32" i="8"/>
  <c r="Y51" i="8" s="1"/>
  <c r="Z32" i="8"/>
  <c r="Z51" i="8" s="1"/>
  <c r="AA32" i="8"/>
  <c r="AA51" i="8" s="1"/>
  <c r="AB32" i="8"/>
  <c r="AB51" i="8" s="1"/>
  <c r="AC32" i="8"/>
  <c r="AC51" i="8" s="1"/>
  <c r="AD32" i="8"/>
  <c r="AD51" i="8" s="1"/>
  <c r="AE32" i="8"/>
  <c r="AE51" i="8" s="1"/>
  <c r="AF32" i="8"/>
  <c r="AF51" i="8" s="1"/>
  <c r="AG32" i="8"/>
  <c r="AG51" i="8" s="1"/>
  <c r="AH32" i="8"/>
  <c r="AH51" i="8" s="1"/>
  <c r="AI32" i="8"/>
  <c r="AI51" i="8" s="1"/>
  <c r="AJ32" i="8"/>
  <c r="AJ51" i="8" s="1"/>
  <c r="AK32" i="8"/>
  <c r="AK51" i="8" s="1"/>
  <c r="AL32" i="8"/>
  <c r="AL51" i="8" s="1"/>
  <c r="AM32" i="8"/>
  <c r="AM51" i="8" s="1"/>
  <c r="L32" i="8"/>
  <c r="L51" i="8" s="1"/>
  <c r="L31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L28" i="8"/>
  <c r="L27" i="8"/>
  <c r="M26" i="8"/>
  <c r="N26" i="8"/>
  <c r="L26" i="8"/>
  <c r="P26" i="8"/>
  <c r="Q26" i="8"/>
  <c r="O26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L24" i="8"/>
  <c r="L23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L6" i="8"/>
  <c r="L7" i="8"/>
  <c r="L5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L2" i="8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J92" i="10"/>
  <c r="AK92" i="10"/>
  <c r="AL92" i="10"/>
  <c r="AM92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J93" i="10"/>
  <c r="AK93" i="10"/>
  <c r="AL93" i="10"/>
  <c r="AM93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J94" i="10"/>
  <c r="AK94" i="10"/>
  <c r="AL94" i="10"/>
  <c r="AM94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J95" i="10"/>
  <c r="AK95" i="10"/>
  <c r="AL95" i="10"/>
  <c r="AM95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J97" i="10"/>
  <c r="AK97" i="10"/>
  <c r="AL97" i="10"/>
  <c r="AM97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J98" i="10"/>
  <c r="AK98" i="10"/>
  <c r="AL98" i="10"/>
  <c r="AM98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J99" i="10"/>
  <c r="AK99" i="10"/>
  <c r="AL99" i="10"/>
  <c r="AM99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J100" i="10"/>
  <c r="AK100" i="10"/>
  <c r="AL100" i="10"/>
  <c r="AM100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J101" i="10"/>
  <c r="AK101" i="10"/>
  <c r="AL101" i="10"/>
  <c r="AM101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J102" i="10"/>
  <c r="AK102" i="10"/>
  <c r="AL102" i="10"/>
  <c r="AM102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J104" i="10"/>
  <c r="AK104" i="10"/>
  <c r="AL104" i="10"/>
  <c r="AM104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J105" i="10"/>
  <c r="AK105" i="10"/>
  <c r="AL105" i="10"/>
  <c r="AM105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J106" i="10"/>
  <c r="AK106" i="10"/>
  <c r="AL106" i="10"/>
  <c r="AM106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J107" i="10"/>
  <c r="AK107" i="10"/>
  <c r="AL107" i="10"/>
  <c r="AM107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J108" i="10"/>
  <c r="AK108" i="10"/>
  <c r="AL108" i="10"/>
  <c r="AM108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J109" i="10"/>
  <c r="AK109" i="10"/>
  <c r="AL109" i="10"/>
  <c r="AM109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J110" i="10"/>
  <c r="AK110" i="10"/>
  <c r="AL110" i="10"/>
  <c r="AM110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J111" i="10"/>
  <c r="AK111" i="10"/>
  <c r="AL111" i="10"/>
  <c r="AM111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J112" i="10"/>
  <c r="AK112" i="10"/>
  <c r="AL112" i="10"/>
  <c r="AM112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J113" i="10"/>
  <c r="AK113" i="10"/>
  <c r="AL113" i="10"/>
  <c r="AM113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J114" i="10"/>
  <c r="AK114" i="10"/>
  <c r="AL114" i="10"/>
  <c r="AM114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J116" i="10"/>
  <c r="AK116" i="10"/>
  <c r="AL116" i="10"/>
  <c r="AM116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J118" i="10"/>
  <c r="AK118" i="10"/>
  <c r="AL118" i="10"/>
  <c r="AM118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J119" i="10"/>
  <c r="AK119" i="10"/>
  <c r="AL119" i="10"/>
  <c r="AM119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J120" i="10"/>
  <c r="AK120" i="10"/>
  <c r="AL120" i="10"/>
  <c r="AM120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J121" i="10"/>
  <c r="AK121" i="10"/>
  <c r="AL121" i="10"/>
  <c r="AM121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J122" i="10"/>
  <c r="AK122" i="10"/>
  <c r="AL122" i="10"/>
  <c r="AM122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J123" i="10"/>
  <c r="AK123" i="10"/>
  <c r="AL123" i="10"/>
  <c r="AM123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J124" i="10"/>
  <c r="AK124" i="10"/>
  <c r="AL124" i="10"/>
  <c r="AM124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92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L75" i="10"/>
  <c r="L76" i="10"/>
  <c r="L7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L54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L46" i="10"/>
  <c r="L47" i="10"/>
  <c r="L48" i="10"/>
  <c r="L49" i="10"/>
  <c r="L45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L38" i="10"/>
  <c r="L39" i="10"/>
  <c r="L40" i="10"/>
  <c r="L41" i="10"/>
  <c r="L37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L34" i="10"/>
  <c r="L33" i="10"/>
  <c r="M17" i="10"/>
  <c r="M76" i="8" s="1"/>
  <c r="N17" i="10"/>
  <c r="N76" i="8" s="1"/>
  <c r="O17" i="10"/>
  <c r="O76" i="8" s="1"/>
  <c r="P17" i="10"/>
  <c r="P76" i="8" s="1"/>
  <c r="Q17" i="10"/>
  <c r="Q76" i="8" s="1"/>
  <c r="R17" i="10"/>
  <c r="R76" i="8" s="1"/>
  <c r="S17" i="10"/>
  <c r="S76" i="8" s="1"/>
  <c r="T17" i="10"/>
  <c r="T76" i="8" s="1"/>
  <c r="U17" i="10"/>
  <c r="U76" i="8" s="1"/>
  <c r="V17" i="10"/>
  <c r="V76" i="8" s="1"/>
  <c r="W17" i="10"/>
  <c r="W76" i="8" s="1"/>
  <c r="X17" i="10"/>
  <c r="X76" i="8" s="1"/>
  <c r="Y17" i="10"/>
  <c r="Y76" i="8" s="1"/>
  <c r="Z17" i="10"/>
  <c r="Z76" i="8" s="1"/>
  <c r="AA17" i="10"/>
  <c r="AA76" i="8" s="1"/>
  <c r="AB17" i="10"/>
  <c r="AB76" i="8" s="1"/>
  <c r="AC17" i="10"/>
  <c r="AC76" i="8" s="1"/>
  <c r="AD17" i="10"/>
  <c r="AD76" i="8" s="1"/>
  <c r="AE17" i="10"/>
  <c r="AE76" i="8" s="1"/>
  <c r="AF17" i="10"/>
  <c r="AF76" i="8" s="1"/>
  <c r="AG17" i="10"/>
  <c r="AG76" i="8" s="1"/>
  <c r="AH17" i="10"/>
  <c r="AH76" i="8" s="1"/>
  <c r="AI17" i="10"/>
  <c r="AI76" i="8" s="1"/>
  <c r="AJ17" i="10"/>
  <c r="AJ76" i="8" s="1"/>
  <c r="AK17" i="10"/>
  <c r="AK76" i="8" s="1"/>
  <c r="AL17" i="10"/>
  <c r="AL76" i="8" s="1"/>
  <c r="AM17" i="10"/>
  <c r="AM76" i="8" s="1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L18" i="10"/>
  <c r="L19" i="10"/>
  <c r="L20" i="10"/>
  <c r="L21" i="10"/>
  <c r="L22" i="10"/>
  <c r="L23" i="10"/>
  <c r="L24" i="10"/>
  <c r="L25" i="10"/>
  <c r="L17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L13" i="10"/>
  <c r="L12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L4" i="10"/>
  <c r="L5" i="10"/>
  <c r="L6" i="10"/>
  <c r="L7" i="10"/>
  <c r="L8" i="10"/>
  <c r="L9" i="10"/>
  <c r="L3" i="10"/>
  <c r="M54" i="7"/>
  <c r="N54" i="7"/>
  <c r="O54" i="7"/>
  <c r="P54" i="7"/>
  <c r="Q54" i="7"/>
  <c r="R54" i="7"/>
  <c r="S54" i="7"/>
  <c r="M55" i="7"/>
  <c r="N55" i="7"/>
  <c r="O55" i="7"/>
  <c r="P55" i="7"/>
  <c r="Q55" i="7"/>
  <c r="R55" i="7"/>
  <c r="S55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54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L47" i="7"/>
  <c r="L48" i="7"/>
  <c r="L46" i="7"/>
  <c r="M29" i="7"/>
  <c r="F97" i="14" s="1"/>
  <c r="N29" i="7"/>
  <c r="G97" i="14" s="1"/>
  <c r="O29" i="7"/>
  <c r="H97" i="14" s="1"/>
  <c r="P29" i="7"/>
  <c r="I97" i="14" s="1"/>
  <c r="Q29" i="7"/>
  <c r="J97" i="14" s="1"/>
  <c r="R29" i="7"/>
  <c r="K97" i="14" s="1"/>
  <c r="S29" i="7"/>
  <c r="L97" i="14" s="1"/>
  <c r="T29" i="7"/>
  <c r="M97" i="14" s="1"/>
  <c r="U29" i="7"/>
  <c r="N97" i="14" s="1"/>
  <c r="V29" i="7"/>
  <c r="O97" i="14" s="1"/>
  <c r="W29" i="7"/>
  <c r="P97" i="14" s="1"/>
  <c r="X29" i="7"/>
  <c r="Q97" i="14" s="1"/>
  <c r="Y29" i="7"/>
  <c r="R97" i="14" s="1"/>
  <c r="Z29" i="7"/>
  <c r="S97" i="14" s="1"/>
  <c r="AA29" i="7"/>
  <c r="T97" i="14" s="1"/>
  <c r="AB29" i="7"/>
  <c r="U97" i="14" s="1"/>
  <c r="AC29" i="7"/>
  <c r="V97" i="14" s="1"/>
  <c r="AD29" i="7"/>
  <c r="W97" i="14" s="1"/>
  <c r="AE29" i="7"/>
  <c r="X97" i="14" s="1"/>
  <c r="AF29" i="7"/>
  <c r="Y97" i="14" s="1"/>
  <c r="AG29" i="7"/>
  <c r="Z97" i="14" s="1"/>
  <c r="AH29" i="7"/>
  <c r="AA97" i="14" s="1"/>
  <c r="AI29" i="7"/>
  <c r="AB97" i="14" s="1"/>
  <c r="AJ29" i="7"/>
  <c r="AC97" i="14" s="1"/>
  <c r="AK29" i="7"/>
  <c r="AD97" i="14" s="1"/>
  <c r="AL29" i="7"/>
  <c r="AE97" i="14" s="1"/>
  <c r="AM29" i="7"/>
  <c r="AF97" i="14" s="1"/>
  <c r="M30" i="7"/>
  <c r="F98" i="14" s="1"/>
  <c r="N30" i="7"/>
  <c r="G98" i="14" s="1"/>
  <c r="O30" i="7"/>
  <c r="H98" i="14" s="1"/>
  <c r="P30" i="7"/>
  <c r="I98" i="14" s="1"/>
  <c r="Q30" i="7"/>
  <c r="J98" i="14" s="1"/>
  <c r="R30" i="7"/>
  <c r="K98" i="14" s="1"/>
  <c r="S30" i="7"/>
  <c r="L98" i="14" s="1"/>
  <c r="T30" i="7"/>
  <c r="M98" i="14" s="1"/>
  <c r="U30" i="7"/>
  <c r="N98" i="14" s="1"/>
  <c r="V30" i="7"/>
  <c r="O98" i="14" s="1"/>
  <c r="W30" i="7"/>
  <c r="P98" i="14" s="1"/>
  <c r="X30" i="7"/>
  <c r="Q98" i="14" s="1"/>
  <c r="Y30" i="7"/>
  <c r="R98" i="14" s="1"/>
  <c r="Z30" i="7"/>
  <c r="S98" i="14" s="1"/>
  <c r="AA30" i="7"/>
  <c r="T98" i="14" s="1"/>
  <c r="AB30" i="7"/>
  <c r="U98" i="14" s="1"/>
  <c r="AC30" i="7"/>
  <c r="V98" i="14" s="1"/>
  <c r="AD30" i="7"/>
  <c r="W98" i="14" s="1"/>
  <c r="AE30" i="7"/>
  <c r="X98" i="14" s="1"/>
  <c r="AF30" i="7"/>
  <c r="Y98" i="14" s="1"/>
  <c r="AG30" i="7"/>
  <c r="Z98" i="14" s="1"/>
  <c r="AH30" i="7"/>
  <c r="AA98" i="14" s="1"/>
  <c r="AI30" i="7"/>
  <c r="AB98" i="14" s="1"/>
  <c r="AJ30" i="7"/>
  <c r="AC98" i="14" s="1"/>
  <c r="AK30" i="7"/>
  <c r="AD98" i="14" s="1"/>
  <c r="AL30" i="7"/>
  <c r="AE98" i="14" s="1"/>
  <c r="AM30" i="7"/>
  <c r="AF98" i="14" s="1"/>
  <c r="M31" i="7"/>
  <c r="F99" i="14" s="1"/>
  <c r="N31" i="7"/>
  <c r="G99" i="14" s="1"/>
  <c r="O31" i="7"/>
  <c r="H99" i="14" s="1"/>
  <c r="P31" i="7"/>
  <c r="I99" i="14" s="1"/>
  <c r="Q31" i="7"/>
  <c r="J99" i="14" s="1"/>
  <c r="R31" i="7"/>
  <c r="K99" i="14" s="1"/>
  <c r="S31" i="7"/>
  <c r="L99" i="14" s="1"/>
  <c r="T31" i="7"/>
  <c r="M99" i="14" s="1"/>
  <c r="U31" i="7"/>
  <c r="N99" i="14" s="1"/>
  <c r="V31" i="7"/>
  <c r="O99" i="14" s="1"/>
  <c r="W31" i="7"/>
  <c r="P99" i="14" s="1"/>
  <c r="X31" i="7"/>
  <c r="Q99" i="14" s="1"/>
  <c r="Y31" i="7"/>
  <c r="R99" i="14" s="1"/>
  <c r="Z31" i="7"/>
  <c r="S99" i="14" s="1"/>
  <c r="AA31" i="7"/>
  <c r="T99" i="14" s="1"/>
  <c r="AB31" i="7"/>
  <c r="U99" i="14" s="1"/>
  <c r="AC31" i="7"/>
  <c r="V99" i="14" s="1"/>
  <c r="AD31" i="7"/>
  <c r="W99" i="14" s="1"/>
  <c r="AE31" i="7"/>
  <c r="X99" i="14" s="1"/>
  <c r="AF31" i="7"/>
  <c r="Y99" i="14" s="1"/>
  <c r="AG31" i="7"/>
  <c r="Z99" i="14" s="1"/>
  <c r="AH31" i="7"/>
  <c r="AA99" i="14" s="1"/>
  <c r="AI31" i="7"/>
  <c r="AB99" i="14" s="1"/>
  <c r="AJ31" i="7"/>
  <c r="AC99" i="14" s="1"/>
  <c r="AK31" i="7"/>
  <c r="AD99" i="14" s="1"/>
  <c r="AL31" i="7"/>
  <c r="AE99" i="14" s="1"/>
  <c r="AM31" i="7"/>
  <c r="AF99" i="14" s="1"/>
  <c r="M32" i="7"/>
  <c r="F14" i="14" s="1"/>
  <c r="N32" i="7"/>
  <c r="G14" i="14" s="1"/>
  <c r="O32" i="7"/>
  <c r="H14" i="14" s="1"/>
  <c r="P32" i="7"/>
  <c r="I14" i="14" s="1"/>
  <c r="Q32" i="7"/>
  <c r="J14" i="14" s="1"/>
  <c r="R32" i="7"/>
  <c r="K14" i="14" s="1"/>
  <c r="S32" i="7"/>
  <c r="L14" i="14" s="1"/>
  <c r="T32" i="7"/>
  <c r="M14" i="14" s="1"/>
  <c r="U32" i="7"/>
  <c r="N14" i="14" s="1"/>
  <c r="V32" i="7"/>
  <c r="O14" i="14" s="1"/>
  <c r="W32" i="7"/>
  <c r="P14" i="14" s="1"/>
  <c r="X32" i="7"/>
  <c r="Q14" i="14" s="1"/>
  <c r="Y32" i="7"/>
  <c r="R14" i="14" s="1"/>
  <c r="Z32" i="7"/>
  <c r="S14" i="14" s="1"/>
  <c r="AA32" i="7"/>
  <c r="T14" i="14" s="1"/>
  <c r="AB32" i="7"/>
  <c r="U14" i="14" s="1"/>
  <c r="AC32" i="7"/>
  <c r="V14" i="14" s="1"/>
  <c r="AD32" i="7"/>
  <c r="W14" i="14" s="1"/>
  <c r="AE32" i="7"/>
  <c r="X14" i="14" s="1"/>
  <c r="AF32" i="7"/>
  <c r="Y14" i="14" s="1"/>
  <c r="AG32" i="7"/>
  <c r="Z14" i="14" s="1"/>
  <c r="AH32" i="7"/>
  <c r="AA14" i="14" s="1"/>
  <c r="AI32" i="7"/>
  <c r="AB14" i="14" s="1"/>
  <c r="AJ32" i="7"/>
  <c r="AC14" i="14" s="1"/>
  <c r="AK32" i="7"/>
  <c r="AD14" i="14" s="1"/>
  <c r="AL32" i="7"/>
  <c r="AE14" i="14" s="1"/>
  <c r="AM32" i="7"/>
  <c r="AF14" i="14" s="1"/>
  <c r="M33" i="7"/>
  <c r="F103" i="14" s="1"/>
  <c r="N33" i="7"/>
  <c r="G103" i="14" s="1"/>
  <c r="O33" i="7"/>
  <c r="H103" i="14" s="1"/>
  <c r="P33" i="7"/>
  <c r="I103" i="14" s="1"/>
  <c r="Q33" i="7"/>
  <c r="J103" i="14" s="1"/>
  <c r="R33" i="7"/>
  <c r="K103" i="14" s="1"/>
  <c r="S33" i="7"/>
  <c r="L103" i="14" s="1"/>
  <c r="T33" i="7"/>
  <c r="M103" i="14" s="1"/>
  <c r="U33" i="7"/>
  <c r="N103" i="14" s="1"/>
  <c r="V33" i="7"/>
  <c r="O103" i="14" s="1"/>
  <c r="W33" i="7"/>
  <c r="P103" i="14" s="1"/>
  <c r="X33" i="7"/>
  <c r="Q103" i="14" s="1"/>
  <c r="Y33" i="7"/>
  <c r="R103" i="14" s="1"/>
  <c r="Z33" i="7"/>
  <c r="S103" i="14" s="1"/>
  <c r="AA33" i="7"/>
  <c r="T103" i="14" s="1"/>
  <c r="AB33" i="7"/>
  <c r="U103" i="14" s="1"/>
  <c r="AC33" i="7"/>
  <c r="V103" i="14" s="1"/>
  <c r="AD33" i="7"/>
  <c r="W103" i="14" s="1"/>
  <c r="AE33" i="7"/>
  <c r="X103" i="14" s="1"/>
  <c r="AF33" i="7"/>
  <c r="Y103" i="14" s="1"/>
  <c r="AG33" i="7"/>
  <c r="Z103" i="14" s="1"/>
  <c r="AH33" i="7"/>
  <c r="AA103" i="14" s="1"/>
  <c r="AI33" i="7"/>
  <c r="AB103" i="14" s="1"/>
  <c r="AJ33" i="7"/>
  <c r="AC103" i="14" s="1"/>
  <c r="AK33" i="7"/>
  <c r="AD103" i="14" s="1"/>
  <c r="AL33" i="7"/>
  <c r="AE103" i="14" s="1"/>
  <c r="AM33" i="7"/>
  <c r="AF103" i="14" s="1"/>
  <c r="M34" i="7"/>
  <c r="F104" i="14" s="1"/>
  <c r="N34" i="7"/>
  <c r="G104" i="14" s="1"/>
  <c r="O34" i="7"/>
  <c r="H104" i="14" s="1"/>
  <c r="P34" i="7"/>
  <c r="I104" i="14" s="1"/>
  <c r="Q34" i="7"/>
  <c r="J104" i="14" s="1"/>
  <c r="R34" i="7"/>
  <c r="K104" i="14" s="1"/>
  <c r="S34" i="7"/>
  <c r="L104" i="14" s="1"/>
  <c r="T34" i="7"/>
  <c r="M104" i="14" s="1"/>
  <c r="U34" i="7"/>
  <c r="N104" i="14" s="1"/>
  <c r="V34" i="7"/>
  <c r="O104" i="14" s="1"/>
  <c r="W34" i="7"/>
  <c r="P104" i="14" s="1"/>
  <c r="X34" i="7"/>
  <c r="Q104" i="14" s="1"/>
  <c r="Y34" i="7"/>
  <c r="R104" i="14" s="1"/>
  <c r="Z34" i="7"/>
  <c r="S104" i="14" s="1"/>
  <c r="AA34" i="7"/>
  <c r="T104" i="14" s="1"/>
  <c r="AB34" i="7"/>
  <c r="U104" i="14" s="1"/>
  <c r="AC34" i="7"/>
  <c r="V104" i="14" s="1"/>
  <c r="AD34" i="7"/>
  <c r="W104" i="14" s="1"/>
  <c r="AE34" i="7"/>
  <c r="X104" i="14" s="1"/>
  <c r="AF34" i="7"/>
  <c r="Y104" i="14" s="1"/>
  <c r="AG34" i="7"/>
  <c r="Z104" i="14" s="1"/>
  <c r="AH34" i="7"/>
  <c r="AA104" i="14" s="1"/>
  <c r="AI34" i="7"/>
  <c r="AB104" i="14" s="1"/>
  <c r="AJ34" i="7"/>
  <c r="AC104" i="14" s="1"/>
  <c r="AK34" i="7"/>
  <c r="AD104" i="14" s="1"/>
  <c r="AL34" i="7"/>
  <c r="AE104" i="14" s="1"/>
  <c r="AM34" i="7"/>
  <c r="AF104" i="14" s="1"/>
  <c r="M35" i="7"/>
  <c r="F105" i="14" s="1"/>
  <c r="N35" i="7"/>
  <c r="G105" i="14" s="1"/>
  <c r="O35" i="7"/>
  <c r="H105" i="14" s="1"/>
  <c r="P35" i="7"/>
  <c r="I105" i="14" s="1"/>
  <c r="Q35" i="7"/>
  <c r="J105" i="14" s="1"/>
  <c r="R35" i="7"/>
  <c r="K105" i="14" s="1"/>
  <c r="S35" i="7"/>
  <c r="L105" i="14" s="1"/>
  <c r="T35" i="7"/>
  <c r="M105" i="14" s="1"/>
  <c r="U35" i="7"/>
  <c r="N105" i="14" s="1"/>
  <c r="V35" i="7"/>
  <c r="O105" i="14" s="1"/>
  <c r="W35" i="7"/>
  <c r="P105" i="14" s="1"/>
  <c r="X35" i="7"/>
  <c r="Q105" i="14" s="1"/>
  <c r="Y35" i="7"/>
  <c r="R105" i="14" s="1"/>
  <c r="Z35" i="7"/>
  <c r="S105" i="14" s="1"/>
  <c r="AA35" i="7"/>
  <c r="T105" i="14" s="1"/>
  <c r="AB35" i="7"/>
  <c r="U105" i="14" s="1"/>
  <c r="AC35" i="7"/>
  <c r="V105" i="14" s="1"/>
  <c r="AD35" i="7"/>
  <c r="W105" i="14" s="1"/>
  <c r="AE35" i="7"/>
  <c r="X105" i="14" s="1"/>
  <c r="AF35" i="7"/>
  <c r="Y105" i="14" s="1"/>
  <c r="AG35" i="7"/>
  <c r="Z105" i="14" s="1"/>
  <c r="AH35" i="7"/>
  <c r="AA105" i="14" s="1"/>
  <c r="AI35" i="7"/>
  <c r="AB105" i="14" s="1"/>
  <c r="AJ35" i="7"/>
  <c r="AC105" i="14" s="1"/>
  <c r="AK35" i="7"/>
  <c r="AD105" i="14" s="1"/>
  <c r="AL35" i="7"/>
  <c r="AE105" i="14" s="1"/>
  <c r="AM35" i="7"/>
  <c r="AF105" i="14" s="1"/>
  <c r="M36" i="7"/>
  <c r="F106" i="14" s="1"/>
  <c r="N36" i="7"/>
  <c r="G106" i="14" s="1"/>
  <c r="O36" i="7"/>
  <c r="H106" i="14" s="1"/>
  <c r="P36" i="7"/>
  <c r="I106" i="14" s="1"/>
  <c r="Q36" i="7"/>
  <c r="J106" i="14" s="1"/>
  <c r="R36" i="7"/>
  <c r="K106" i="14" s="1"/>
  <c r="S36" i="7"/>
  <c r="L106" i="14" s="1"/>
  <c r="T36" i="7"/>
  <c r="M106" i="14" s="1"/>
  <c r="U36" i="7"/>
  <c r="N106" i="14" s="1"/>
  <c r="V36" i="7"/>
  <c r="O106" i="14" s="1"/>
  <c r="W36" i="7"/>
  <c r="P106" i="14" s="1"/>
  <c r="X36" i="7"/>
  <c r="Q106" i="14" s="1"/>
  <c r="Y36" i="7"/>
  <c r="R106" i="14" s="1"/>
  <c r="Z36" i="7"/>
  <c r="S106" i="14" s="1"/>
  <c r="AA36" i="7"/>
  <c r="T106" i="14" s="1"/>
  <c r="AB36" i="7"/>
  <c r="U106" i="14" s="1"/>
  <c r="AC36" i="7"/>
  <c r="V106" i="14" s="1"/>
  <c r="AD36" i="7"/>
  <c r="W106" i="14" s="1"/>
  <c r="AE36" i="7"/>
  <c r="X106" i="14" s="1"/>
  <c r="AF36" i="7"/>
  <c r="Y106" i="14" s="1"/>
  <c r="AG36" i="7"/>
  <c r="Z106" i="14" s="1"/>
  <c r="AH36" i="7"/>
  <c r="AA106" i="14" s="1"/>
  <c r="AI36" i="7"/>
  <c r="AB106" i="14" s="1"/>
  <c r="AJ36" i="7"/>
  <c r="AC106" i="14" s="1"/>
  <c r="AK36" i="7"/>
  <c r="AD106" i="14" s="1"/>
  <c r="AL36" i="7"/>
  <c r="AE106" i="14" s="1"/>
  <c r="AM36" i="7"/>
  <c r="AF106" i="14" s="1"/>
  <c r="L30" i="7"/>
  <c r="E98" i="14" s="1"/>
  <c r="L31" i="7"/>
  <c r="E99" i="14" s="1"/>
  <c r="L32" i="7"/>
  <c r="E14" i="14" s="1"/>
  <c r="L33" i="7"/>
  <c r="E103" i="14" s="1"/>
  <c r="L34" i="7"/>
  <c r="E104" i="14" s="1"/>
  <c r="L35" i="7"/>
  <c r="E105" i="14" s="1"/>
  <c r="L36" i="7"/>
  <c r="E106" i="14" s="1"/>
  <c r="L29" i="7"/>
  <c r="E97" i="14" s="1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L4" i="7"/>
  <c r="L5" i="7"/>
  <c r="L6" i="7"/>
  <c r="L7" i="7"/>
  <c r="L8" i="7"/>
  <c r="L9" i="7"/>
  <c r="L10" i="7"/>
  <c r="L3" i="7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J45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R42" i="6"/>
  <c r="R43" i="6"/>
  <c r="K42" i="6"/>
  <c r="L42" i="6"/>
  <c r="M42" i="6"/>
  <c r="N42" i="6"/>
  <c r="O42" i="6"/>
  <c r="P42" i="6"/>
  <c r="Q42" i="6"/>
  <c r="K43" i="6"/>
  <c r="L43" i="6"/>
  <c r="M43" i="6"/>
  <c r="N43" i="6"/>
  <c r="O43" i="6"/>
  <c r="P43" i="6"/>
  <c r="Q43" i="6"/>
  <c r="J43" i="6"/>
  <c r="J42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J30" i="6"/>
  <c r="J31" i="6"/>
  <c r="J32" i="6"/>
  <c r="J33" i="6"/>
  <c r="J34" i="6"/>
  <c r="J35" i="6"/>
  <c r="J29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J5" i="6"/>
  <c r="J4" i="6"/>
  <c r="AK15" i="6"/>
  <c r="Q15" i="6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J3" i="3"/>
  <c r="K3" i="3"/>
  <c r="L3" i="3"/>
  <c r="M3" i="3"/>
  <c r="N3" i="3"/>
  <c r="N15" i="3" s="1"/>
  <c r="J4" i="3"/>
  <c r="J16" i="3" s="1"/>
  <c r="K4" i="3"/>
  <c r="L4" i="3"/>
  <c r="L16" i="3" s="1"/>
  <c r="M4" i="3"/>
  <c r="M16" i="3" s="1"/>
  <c r="N4" i="3"/>
  <c r="N16" i="3" s="1"/>
  <c r="J5" i="3"/>
  <c r="J17" i="3" s="1"/>
  <c r="K5" i="3"/>
  <c r="K17" i="3" s="1"/>
  <c r="L5" i="3"/>
  <c r="L17" i="3" s="1"/>
  <c r="M5" i="3"/>
  <c r="M17" i="3" s="1"/>
  <c r="N5" i="3"/>
  <c r="N17" i="3" s="1"/>
  <c r="J12" i="3"/>
  <c r="K12" i="3"/>
  <c r="L12" i="3"/>
  <c r="M12" i="3"/>
  <c r="N1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J36" i="3"/>
  <c r="J45" i="3" s="1"/>
  <c r="K36" i="3"/>
  <c r="K45" i="3" s="1"/>
  <c r="L36" i="3"/>
  <c r="L45" i="3" s="1"/>
  <c r="M36" i="3"/>
  <c r="N36" i="3"/>
  <c r="N45" i="3" s="1"/>
  <c r="J37" i="3"/>
  <c r="J46" i="3" s="1"/>
  <c r="K37" i="3"/>
  <c r="K46" i="3" s="1"/>
  <c r="L37" i="3"/>
  <c r="L46" i="3" s="1"/>
  <c r="M37" i="3"/>
  <c r="M46" i="3" s="1"/>
  <c r="N37" i="3"/>
  <c r="N46" i="3" s="1"/>
  <c r="J38" i="3"/>
  <c r="J47" i="3" s="1"/>
  <c r="K38" i="3"/>
  <c r="K47" i="3" s="1"/>
  <c r="L38" i="3"/>
  <c r="L47" i="3" s="1"/>
  <c r="M38" i="3"/>
  <c r="M47" i="3" s="1"/>
  <c r="N38" i="3"/>
  <c r="N47" i="3" s="1"/>
  <c r="J39" i="3"/>
  <c r="J48" i="3" s="1"/>
  <c r="K39" i="3"/>
  <c r="K48" i="3" s="1"/>
  <c r="L39" i="3"/>
  <c r="L48" i="3" s="1"/>
  <c r="M39" i="3"/>
  <c r="M48" i="3" s="1"/>
  <c r="N39" i="3"/>
  <c r="N48" i="3" s="1"/>
  <c r="J40" i="3"/>
  <c r="J49" i="3" s="1"/>
  <c r="J51" i="3" s="1"/>
  <c r="K40" i="3"/>
  <c r="K49" i="3" s="1"/>
  <c r="K51" i="3" s="1"/>
  <c r="L40" i="3"/>
  <c r="L49" i="3" s="1"/>
  <c r="L51" i="3" s="1"/>
  <c r="M40" i="3"/>
  <c r="M49" i="3" s="1"/>
  <c r="M51" i="3" s="1"/>
  <c r="N40" i="3"/>
  <c r="N49" i="3" s="1"/>
  <c r="N51" i="3" s="1"/>
  <c r="J41" i="3"/>
  <c r="J50" i="3" s="1"/>
  <c r="K41" i="3"/>
  <c r="K50" i="3" s="1"/>
  <c r="L41" i="3"/>
  <c r="L50" i="3" s="1"/>
  <c r="M41" i="3"/>
  <c r="M50" i="3" s="1"/>
  <c r="N41" i="3"/>
  <c r="N50" i="3" s="1"/>
  <c r="J57" i="3"/>
  <c r="K57" i="3"/>
  <c r="L57" i="3"/>
  <c r="M57" i="3"/>
  <c r="N57" i="3"/>
  <c r="J58" i="3"/>
  <c r="K58" i="3"/>
  <c r="L58" i="3"/>
  <c r="M58" i="3"/>
  <c r="N58" i="3"/>
  <c r="J59" i="3"/>
  <c r="K59" i="3"/>
  <c r="L59" i="3"/>
  <c r="M59" i="3"/>
  <c r="N59" i="3"/>
  <c r="J60" i="3"/>
  <c r="K60" i="3"/>
  <c r="L60" i="3"/>
  <c r="M60" i="3"/>
  <c r="N60" i="3"/>
  <c r="J61" i="3"/>
  <c r="K61" i="3"/>
  <c r="L61" i="3"/>
  <c r="M61" i="3"/>
  <c r="N61" i="3"/>
  <c r="J62" i="3"/>
  <c r="K62" i="3"/>
  <c r="L62" i="3"/>
  <c r="M62" i="3"/>
  <c r="N62" i="3"/>
  <c r="J68" i="3"/>
  <c r="K68" i="3"/>
  <c r="L68" i="3"/>
  <c r="M68" i="3"/>
  <c r="N68" i="3"/>
  <c r="J69" i="3"/>
  <c r="K69" i="3"/>
  <c r="L69" i="3"/>
  <c r="M69" i="3"/>
  <c r="N69" i="3"/>
  <c r="J70" i="3"/>
  <c r="K70" i="3"/>
  <c r="L70" i="3"/>
  <c r="M70" i="3"/>
  <c r="N70" i="3"/>
  <c r="J71" i="3"/>
  <c r="K71" i="3"/>
  <c r="L71" i="3"/>
  <c r="M71" i="3"/>
  <c r="N71" i="3"/>
  <c r="J72" i="3"/>
  <c r="K72" i="3"/>
  <c r="L72" i="3"/>
  <c r="M72" i="3"/>
  <c r="N72" i="3"/>
  <c r="J73" i="3"/>
  <c r="K73" i="3"/>
  <c r="L73" i="3"/>
  <c r="M73" i="3"/>
  <c r="N73" i="3"/>
  <c r="J74" i="3"/>
  <c r="K74" i="3"/>
  <c r="L74" i="3"/>
  <c r="M74" i="3"/>
  <c r="N74" i="3"/>
  <c r="J81" i="3"/>
  <c r="K81" i="3"/>
  <c r="L81" i="3"/>
  <c r="M81" i="3"/>
  <c r="N81" i="3"/>
  <c r="J82" i="3"/>
  <c r="K82" i="3"/>
  <c r="L82" i="3"/>
  <c r="M82" i="3"/>
  <c r="N82" i="3"/>
  <c r="J83" i="3"/>
  <c r="K83" i="3"/>
  <c r="L83" i="3"/>
  <c r="M83" i="3"/>
  <c r="N83" i="3"/>
  <c r="J84" i="3"/>
  <c r="K84" i="3"/>
  <c r="L84" i="3"/>
  <c r="M84" i="3"/>
  <c r="N84" i="3"/>
  <c r="J85" i="3"/>
  <c r="K85" i="3"/>
  <c r="L85" i="3"/>
  <c r="M85" i="3"/>
  <c r="N85" i="3"/>
  <c r="J86" i="3"/>
  <c r="K86" i="3"/>
  <c r="L86" i="3"/>
  <c r="M86" i="3"/>
  <c r="N86" i="3"/>
  <c r="J93" i="3"/>
  <c r="K93" i="3"/>
  <c r="L93" i="3"/>
  <c r="M93" i="3"/>
  <c r="N93" i="3"/>
  <c r="J94" i="3"/>
  <c r="K94" i="3"/>
  <c r="L94" i="3"/>
  <c r="M94" i="3"/>
  <c r="N94" i="3"/>
  <c r="J100" i="3"/>
  <c r="K100" i="3"/>
  <c r="L100" i="3"/>
  <c r="M100" i="3"/>
  <c r="N100" i="3"/>
  <c r="J101" i="3"/>
  <c r="K101" i="3"/>
  <c r="L101" i="3"/>
  <c r="M101" i="3"/>
  <c r="N101" i="3"/>
  <c r="J102" i="3"/>
  <c r="K102" i="3"/>
  <c r="L102" i="3"/>
  <c r="M102" i="3"/>
  <c r="N102" i="3"/>
  <c r="J103" i="3"/>
  <c r="K103" i="3"/>
  <c r="L103" i="3"/>
  <c r="M109" i="3"/>
  <c r="N109" i="3"/>
  <c r="J111" i="3"/>
  <c r="K111" i="3"/>
  <c r="L111" i="3"/>
  <c r="M111" i="3"/>
  <c r="N111" i="3"/>
  <c r="J112" i="3"/>
  <c r="K112" i="3"/>
  <c r="L112" i="3"/>
  <c r="M112" i="3"/>
  <c r="N112" i="3"/>
  <c r="J113" i="3"/>
  <c r="K113" i="3"/>
  <c r="L113" i="3"/>
  <c r="M113" i="3"/>
  <c r="N113" i="3"/>
  <c r="J114" i="3"/>
  <c r="K114" i="3"/>
  <c r="L114" i="3"/>
  <c r="M114" i="3"/>
  <c r="N114" i="3"/>
  <c r="J115" i="3"/>
  <c r="K115" i="3"/>
  <c r="L115" i="3"/>
  <c r="M115" i="3"/>
  <c r="N115" i="3"/>
  <c r="J120" i="3"/>
  <c r="K120" i="3"/>
  <c r="L120" i="3"/>
  <c r="M120" i="3"/>
  <c r="N120" i="3"/>
  <c r="J121" i="3"/>
  <c r="K121" i="3"/>
  <c r="L121" i="3"/>
  <c r="M121" i="3"/>
  <c r="N121" i="3"/>
  <c r="J122" i="3"/>
  <c r="J126" i="3" s="1"/>
  <c r="K122" i="3"/>
  <c r="K126" i="3" s="1"/>
  <c r="L122" i="3"/>
  <c r="L126" i="3" s="1"/>
  <c r="M122" i="3"/>
  <c r="M126" i="3" s="1"/>
  <c r="N122" i="3"/>
  <c r="N126" i="3" s="1"/>
  <c r="J123" i="3"/>
  <c r="K123" i="3"/>
  <c r="L123" i="3"/>
  <c r="M123" i="3"/>
  <c r="N123" i="3"/>
  <c r="J124" i="3"/>
  <c r="J127" i="3" s="1"/>
  <c r="K124" i="3"/>
  <c r="K127" i="3" s="1"/>
  <c r="L124" i="3"/>
  <c r="L127" i="3" s="1"/>
  <c r="M124" i="3"/>
  <c r="M127" i="3" s="1"/>
  <c r="N124" i="3"/>
  <c r="N127" i="3" s="1"/>
  <c r="J125" i="3"/>
  <c r="K125" i="3"/>
  <c r="L125" i="3"/>
  <c r="M125" i="3"/>
  <c r="M145" i="3" s="1"/>
  <c r="N125" i="3"/>
  <c r="N145" i="3" s="1"/>
  <c r="J131" i="3"/>
  <c r="K131" i="3"/>
  <c r="L131" i="3"/>
  <c r="M131" i="3"/>
  <c r="N131" i="3"/>
  <c r="K147" i="3"/>
  <c r="L147" i="3"/>
  <c r="K148" i="3"/>
  <c r="L148" i="3"/>
  <c r="M148" i="3"/>
  <c r="N148" i="3"/>
  <c r="K149" i="3"/>
  <c r="L149" i="3"/>
  <c r="K154" i="3"/>
  <c r="L154" i="3"/>
  <c r="M154" i="3"/>
  <c r="N154" i="3"/>
  <c r="K155" i="3"/>
  <c r="L155" i="3"/>
  <c r="M155" i="3"/>
  <c r="N155" i="3"/>
  <c r="K156" i="3"/>
  <c r="L156" i="3"/>
  <c r="M156" i="3"/>
  <c r="N156" i="3"/>
  <c r="K157" i="3"/>
  <c r="L157" i="3"/>
  <c r="M157" i="3"/>
  <c r="N157" i="3"/>
  <c r="K162" i="3"/>
  <c r="L162" i="3"/>
  <c r="M162" i="3"/>
  <c r="N162" i="3"/>
  <c r="K163" i="3"/>
  <c r="L163" i="3"/>
  <c r="M163" i="3"/>
  <c r="N163" i="3"/>
  <c r="K164" i="3"/>
  <c r="L164" i="3"/>
  <c r="M164" i="3"/>
  <c r="N164" i="3"/>
  <c r="K165" i="3"/>
  <c r="L165" i="3"/>
  <c r="M165" i="3"/>
  <c r="N165" i="3"/>
  <c r="K166" i="3"/>
  <c r="K173" i="3" s="1"/>
  <c r="L166" i="3"/>
  <c r="L173" i="3" s="1"/>
  <c r="M166" i="3"/>
  <c r="M173" i="3" s="1"/>
  <c r="N166" i="3"/>
  <c r="N173" i="3" s="1"/>
  <c r="K167" i="3"/>
  <c r="L167" i="3"/>
  <c r="M167" i="3"/>
  <c r="N167" i="3"/>
  <c r="K168" i="3"/>
  <c r="L168" i="3"/>
  <c r="M168" i="3"/>
  <c r="N168" i="3"/>
  <c r="K169" i="3"/>
  <c r="L169" i="3"/>
  <c r="M169" i="3"/>
  <c r="N169" i="3"/>
  <c r="K170" i="3"/>
  <c r="L170" i="3"/>
  <c r="M170" i="3"/>
  <c r="N170" i="3"/>
  <c r="K171" i="3"/>
  <c r="K172" i="3" s="1"/>
  <c r="L171" i="3"/>
  <c r="L172" i="3" s="1"/>
  <c r="M171" i="3"/>
  <c r="M172" i="3" s="1"/>
  <c r="N171" i="3"/>
  <c r="N172" i="3" s="1"/>
  <c r="K177" i="3"/>
  <c r="L177" i="3"/>
  <c r="M177" i="3"/>
  <c r="N177" i="3"/>
  <c r="K178" i="3"/>
  <c r="L178" i="3"/>
  <c r="M178" i="3"/>
  <c r="M182" i="3" s="1"/>
  <c r="N178" i="3"/>
  <c r="N182" i="3" s="1"/>
  <c r="K179" i="3"/>
  <c r="L179" i="3"/>
  <c r="K180" i="3"/>
  <c r="L180" i="3"/>
  <c r="J185" i="3"/>
  <c r="K185" i="3"/>
  <c r="L185" i="3"/>
  <c r="M185" i="3"/>
  <c r="N185" i="3"/>
  <c r="J186" i="3"/>
  <c r="K186" i="3"/>
  <c r="L186" i="3"/>
  <c r="M186" i="3"/>
  <c r="N186" i="3"/>
  <c r="J187" i="3"/>
  <c r="K187" i="3"/>
  <c r="L187" i="3"/>
  <c r="M187" i="3"/>
  <c r="N187" i="3"/>
  <c r="J188" i="3"/>
  <c r="K188" i="3"/>
  <c r="L188" i="3"/>
  <c r="M188" i="3"/>
  <c r="N188" i="3"/>
  <c r="J189" i="3"/>
  <c r="K189" i="3"/>
  <c r="L189" i="3"/>
  <c r="M189" i="3"/>
  <c r="N189" i="3"/>
  <c r="J190" i="3"/>
  <c r="J226" i="3" s="1"/>
  <c r="K190" i="3"/>
  <c r="K226" i="3" s="1"/>
  <c r="L190" i="3"/>
  <c r="L226" i="3" s="1"/>
  <c r="M190" i="3"/>
  <c r="M226" i="3" s="1"/>
  <c r="N190" i="3"/>
  <c r="N226" i="3" s="1"/>
  <c r="J191" i="3"/>
  <c r="K191" i="3"/>
  <c r="L191" i="3"/>
  <c r="M191" i="3"/>
  <c r="N191" i="3"/>
  <c r="J192" i="3"/>
  <c r="K192" i="3"/>
  <c r="L192" i="3"/>
  <c r="M192" i="3"/>
  <c r="N192" i="3"/>
  <c r="J193" i="3"/>
  <c r="K193" i="3"/>
  <c r="L193" i="3"/>
  <c r="M193" i="3"/>
  <c r="N193" i="3"/>
  <c r="J194" i="3"/>
  <c r="K194" i="3"/>
  <c r="L194" i="3"/>
  <c r="M194" i="3"/>
  <c r="N194" i="3"/>
  <c r="J195" i="3"/>
  <c r="K195" i="3"/>
  <c r="L195" i="3"/>
  <c r="M195" i="3"/>
  <c r="N195" i="3"/>
  <c r="J196" i="3"/>
  <c r="K196" i="3"/>
  <c r="L196" i="3"/>
  <c r="M196" i="3"/>
  <c r="N196" i="3"/>
  <c r="J197" i="3"/>
  <c r="K197" i="3"/>
  <c r="L197" i="3"/>
  <c r="M197" i="3"/>
  <c r="N197" i="3"/>
  <c r="J198" i="3"/>
  <c r="K198" i="3"/>
  <c r="L198" i="3"/>
  <c r="M198" i="3"/>
  <c r="N198" i="3"/>
  <c r="J199" i="3"/>
  <c r="K199" i="3"/>
  <c r="L199" i="3"/>
  <c r="M199" i="3"/>
  <c r="N199" i="3"/>
  <c r="J200" i="3"/>
  <c r="K200" i="3"/>
  <c r="L200" i="3"/>
  <c r="M200" i="3"/>
  <c r="N200" i="3"/>
  <c r="J201" i="3"/>
  <c r="K201" i="3"/>
  <c r="L201" i="3"/>
  <c r="M201" i="3"/>
  <c r="N201" i="3"/>
  <c r="J202" i="3"/>
  <c r="K202" i="3"/>
  <c r="L202" i="3"/>
  <c r="M202" i="3"/>
  <c r="N202" i="3"/>
  <c r="J203" i="3"/>
  <c r="K203" i="3"/>
  <c r="L203" i="3"/>
  <c r="M203" i="3"/>
  <c r="N203" i="3"/>
  <c r="J204" i="3"/>
  <c r="K204" i="3"/>
  <c r="L204" i="3"/>
  <c r="M204" i="3"/>
  <c r="N204" i="3"/>
  <c r="J205" i="3"/>
  <c r="K205" i="3"/>
  <c r="L205" i="3"/>
  <c r="M205" i="3"/>
  <c r="N205" i="3"/>
  <c r="J206" i="3"/>
  <c r="K206" i="3"/>
  <c r="L206" i="3"/>
  <c r="M206" i="3"/>
  <c r="N206" i="3"/>
  <c r="J207" i="3"/>
  <c r="K207" i="3"/>
  <c r="L207" i="3"/>
  <c r="M207" i="3"/>
  <c r="N207" i="3"/>
  <c r="J208" i="3"/>
  <c r="K208" i="3"/>
  <c r="L208" i="3"/>
  <c r="M208" i="3"/>
  <c r="N208" i="3"/>
  <c r="J209" i="3"/>
  <c r="K209" i="3"/>
  <c r="L209" i="3"/>
  <c r="M209" i="3"/>
  <c r="N209" i="3"/>
  <c r="J210" i="3"/>
  <c r="K210" i="3"/>
  <c r="L210" i="3"/>
  <c r="M210" i="3"/>
  <c r="N210" i="3"/>
  <c r="J211" i="3"/>
  <c r="K211" i="3"/>
  <c r="L211" i="3"/>
  <c r="M211" i="3"/>
  <c r="N211" i="3"/>
  <c r="J212" i="3"/>
  <c r="K212" i="3"/>
  <c r="L212" i="3"/>
  <c r="M212" i="3"/>
  <c r="N212" i="3"/>
  <c r="J213" i="3"/>
  <c r="K213" i="3"/>
  <c r="L213" i="3"/>
  <c r="M213" i="3"/>
  <c r="N213" i="3"/>
  <c r="J215" i="3"/>
  <c r="J232" i="3" s="1"/>
  <c r="K215" i="3"/>
  <c r="K232" i="3" s="1"/>
  <c r="L215" i="3"/>
  <c r="L232" i="3" s="1"/>
  <c r="M215" i="3"/>
  <c r="M232" i="3" s="1"/>
  <c r="N215" i="3"/>
  <c r="N232" i="3" s="1"/>
  <c r="J216" i="3"/>
  <c r="J228" i="3" s="1"/>
  <c r="K216" i="3"/>
  <c r="K228" i="3" s="1"/>
  <c r="L216" i="3"/>
  <c r="L228" i="3" s="1"/>
  <c r="M216" i="3"/>
  <c r="M228" i="3" s="1"/>
  <c r="N216" i="3"/>
  <c r="N228" i="3" s="1"/>
  <c r="J217" i="3"/>
  <c r="J231" i="3" s="1"/>
  <c r="K217" i="3"/>
  <c r="K231" i="3" s="1"/>
  <c r="L217" i="3"/>
  <c r="L231" i="3" s="1"/>
  <c r="M217" i="3"/>
  <c r="M231" i="3" s="1"/>
  <c r="N217" i="3"/>
  <c r="N231" i="3" s="1"/>
  <c r="J218" i="3"/>
  <c r="J229" i="3" s="1"/>
  <c r="K218" i="3"/>
  <c r="K229" i="3" s="1"/>
  <c r="L218" i="3"/>
  <c r="L229" i="3" s="1"/>
  <c r="M218" i="3"/>
  <c r="M229" i="3" s="1"/>
  <c r="N218" i="3"/>
  <c r="N229" i="3" s="1"/>
  <c r="J219" i="3"/>
  <c r="J230" i="3" s="1"/>
  <c r="K219" i="3"/>
  <c r="K230" i="3" s="1"/>
  <c r="L219" i="3"/>
  <c r="L230" i="3" s="1"/>
  <c r="M219" i="3"/>
  <c r="M230" i="3" s="1"/>
  <c r="N219" i="3"/>
  <c r="N230" i="3" s="1"/>
  <c r="J220" i="3"/>
  <c r="J233" i="3" s="1"/>
  <c r="K220" i="3"/>
  <c r="K233" i="3" s="1"/>
  <c r="L220" i="3"/>
  <c r="L233" i="3" s="1"/>
  <c r="M220" i="3"/>
  <c r="M233" i="3" s="1"/>
  <c r="N220" i="3"/>
  <c r="N233" i="3" s="1"/>
  <c r="J237" i="3"/>
  <c r="K237" i="3"/>
  <c r="L237" i="3"/>
  <c r="M237" i="3"/>
  <c r="N237" i="3"/>
  <c r="J238" i="3"/>
  <c r="K238" i="3"/>
  <c r="L238" i="3"/>
  <c r="M238" i="3"/>
  <c r="N238" i="3"/>
  <c r="J239" i="3"/>
  <c r="K239" i="3"/>
  <c r="L239" i="3"/>
  <c r="M239" i="3"/>
  <c r="N239" i="3"/>
  <c r="J242" i="3"/>
  <c r="K242" i="3"/>
  <c r="L242" i="3"/>
  <c r="M242" i="3"/>
  <c r="N242" i="3"/>
  <c r="J243" i="3"/>
  <c r="K243" i="3"/>
  <c r="L243" i="3"/>
  <c r="M243" i="3"/>
  <c r="N243" i="3"/>
  <c r="J244" i="3"/>
  <c r="K244" i="3"/>
  <c r="L244" i="3"/>
  <c r="M244" i="3"/>
  <c r="N244" i="3"/>
  <c r="J245" i="3"/>
  <c r="K245" i="3"/>
  <c r="L245" i="3"/>
  <c r="M245" i="3"/>
  <c r="N245" i="3"/>
  <c r="J247" i="3"/>
  <c r="K247" i="3"/>
  <c r="L247" i="3"/>
  <c r="M247" i="3"/>
  <c r="N247" i="3"/>
  <c r="J248" i="3"/>
  <c r="K248" i="3"/>
  <c r="L248" i="3"/>
  <c r="M248" i="3"/>
  <c r="N248" i="3"/>
  <c r="J249" i="3"/>
  <c r="K249" i="3"/>
  <c r="L249" i="3"/>
  <c r="M249" i="3"/>
  <c r="N249" i="3"/>
  <c r="J250" i="3"/>
  <c r="K250" i="3"/>
  <c r="L250" i="3"/>
  <c r="M250" i="3"/>
  <c r="N250" i="3"/>
  <c r="J251" i="3"/>
  <c r="K251" i="3"/>
  <c r="L251" i="3"/>
  <c r="M251" i="3"/>
  <c r="N251" i="3"/>
  <c r="A73" i="14"/>
  <c r="A72" i="14"/>
  <c r="A71" i="14"/>
  <c r="A70" i="14"/>
  <c r="A69" i="14"/>
  <c r="AL46" i="8" l="1"/>
  <c r="Z46" i="8"/>
  <c r="N46" i="8"/>
  <c r="AB59" i="8"/>
  <c r="P59" i="8"/>
  <c r="W62" i="8"/>
  <c r="AH62" i="8"/>
  <c r="V62" i="8"/>
  <c r="M225" i="3"/>
  <c r="AH46" i="8"/>
  <c r="V46" i="8"/>
  <c r="J7" i="3"/>
  <c r="AE59" i="8"/>
  <c r="S59" i="8"/>
  <c r="AD59" i="8"/>
  <c r="R59" i="8"/>
  <c r="AC66" i="8"/>
  <c r="Q66" i="8"/>
  <c r="AK62" i="8"/>
  <c r="Y62" i="8"/>
  <c r="M62" i="8"/>
  <c r="P66" i="8"/>
  <c r="AJ62" i="8"/>
  <c r="X62" i="8"/>
  <c r="N31" i="3"/>
  <c r="AH59" i="8"/>
  <c r="V59" i="8"/>
  <c r="L31" i="3"/>
  <c r="AD46" i="8"/>
  <c r="S62" i="8"/>
  <c r="AJ59" i="8"/>
  <c r="AC46" i="8"/>
  <c r="Q46" i="8"/>
  <c r="AD62" i="8"/>
  <c r="R62" i="8"/>
  <c r="K225" i="3"/>
  <c r="AE62" i="8"/>
  <c r="X59" i="8"/>
  <c r="AB66" i="8"/>
  <c r="M43" i="3"/>
  <c r="J225" i="3"/>
  <c r="R46" i="8"/>
  <c r="AM46" i="8"/>
  <c r="AA46" i="8"/>
  <c r="O46" i="8"/>
  <c r="L225" i="3"/>
  <c r="AI62" i="8"/>
  <c r="AE46" i="8"/>
  <c r="S46" i="8"/>
  <c r="AB62" i="8"/>
  <c r="P62" i="8"/>
  <c r="AK59" i="8"/>
  <c r="Y59" i="8"/>
  <c r="M59" i="8"/>
  <c r="AG46" i="8"/>
  <c r="U46" i="8"/>
  <c r="AK66" i="8"/>
  <c r="Y66" i="8"/>
  <c r="M66" i="8"/>
  <c r="K7" i="3"/>
  <c r="AA66" i="8"/>
  <c r="O66" i="8"/>
  <c r="J31" i="3"/>
  <c r="AI59" i="8"/>
  <c r="W59" i="8"/>
  <c r="AF62" i="8"/>
  <c r="T62" i="8"/>
  <c r="AF59" i="8"/>
  <c r="T59" i="8"/>
  <c r="L46" i="8"/>
  <c r="AB46" i="8"/>
  <c r="P46" i="8"/>
  <c r="AJ66" i="8"/>
  <c r="X66" i="8"/>
  <c r="AF66" i="8"/>
  <c r="T66" i="8"/>
  <c r="M63" i="3"/>
  <c r="AF46" i="8"/>
  <c r="T46" i="8"/>
  <c r="AG62" i="8"/>
  <c r="U62" i="8"/>
  <c r="AC62" i="8"/>
  <c r="Q62" i="8"/>
  <c r="AG59" i="8"/>
  <c r="U59" i="8"/>
  <c r="M7" i="3"/>
  <c r="AK46" i="8"/>
  <c r="Y46" i="8"/>
  <c r="M46" i="8"/>
  <c r="AJ46" i="8"/>
  <c r="X46" i="8"/>
  <c r="M31" i="3"/>
  <c r="AI46" i="8"/>
  <c r="W46" i="8"/>
  <c r="AL62" i="8"/>
  <c r="Z62" i="8"/>
  <c r="N62" i="8"/>
  <c r="AL59" i="8"/>
  <c r="Z59" i="8"/>
  <c r="N59" i="8"/>
  <c r="AH66" i="8"/>
  <c r="V66" i="8"/>
  <c r="AD66" i="8"/>
  <c r="R66" i="8"/>
  <c r="AL66" i="8"/>
  <c r="Z66" i="8"/>
  <c r="N66" i="8"/>
  <c r="K31" i="3"/>
  <c r="L7" i="3"/>
  <c r="N225" i="3"/>
  <c r="L63" i="3"/>
  <c r="AM62" i="8"/>
  <c r="AA62" i="8"/>
  <c r="O62" i="8"/>
  <c r="AG66" i="8"/>
  <c r="U66" i="8"/>
  <c r="AC59" i="8"/>
  <c r="Q59" i="8"/>
  <c r="K16" i="3"/>
  <c r="AI66" i="8"/>
  <c r="W66" i="8"/>
  <c r="AE66" i="8"/>
  <c r="S66" i="8"/>
  <c r="AM66" i="8"/>
  <c r="AM59" i="8"/>
  <c r="AA59" i="8"/>
  <c r="O59" i="8"/>
  <c r="L53" i="3"/>
  <c r="J54" i="3"/>
  <c r="N63" i="3"/>
  <c r="J53" i="3"/>
  <c r="K63" i="3"/>
  <c r="N56" i="3"/>
  <c r="N159" i="3"/>
  <c r="J88" i="3"/>
  <c r="L43" i="3"/>
  <c r="J43" i="3"/>
  <c r="K15" i="3"/>
  <c r="J15" i="3"/>
  <c r="J19" i="3" s="1"/>
  <c r="L159" i="3"/>
  <c r="M88" i="3"/>
  <c r="M91" i="3" s="1"/>
  <c r="N76" i="3"/>
  <c r="L76" i="3"/>
  <c r="M15" i="3"/>
  <c r="M19" i="3" s="1"/>
  <c r="L15" i="3"/>
  <c r="L19" i="3" s="1"/>
  <c r="K159" i="3"/>
  <c r="N88" i="3"/>
  <c r="N91" i="3" s="1"/>
  <c r="K88" i="3"/>
  <c r="K91" i="3" s="1"/>
  <c r="J77" i="3"/>
  <c r="M159" i="3"/>
  <c r="M76" i="3"/>
  <c r="K77" i="3"/>
  <c r="N64" i="3"/>
  <c r="M45" i="3"/>
  <c r="M53" i="3" s="1"/>
  <c r="J76" i="3"/>
  <c r="M64" i="3"/>
  <c r="N19" i="3"/>
  <c r="N53" i="3"/>
  <c r="N54" i="3"/>
  <c r="K54" i="3"/>
  <c r="K53" i="3"/>
  <c r="K76" i="3"/>
  <c r="N43" i="3"/>
  <c r="L64" i="3"/>
  <c r="N77" i="3"/>
  <c r="K64" i="3"/>
  <c r="K43" i="3"/>
  <c r="N7" i="3"/>
  <c r="N143" i="3"/>
  <c r="M77" i="3"/>
  <c r="M143" i="3"/>
  <c r="L77" i="3"/>
  <c r="L54" i="3"/>
  <c r="L88" i="3"/>
  <c r="L91" i="3" s="1"/>
  <c r="K90" i="3" l="1"/>
  <c r="K8" i="3"/>
  <c r="K19" i="3"/>
  <c r="L21" i="3" s="1"/>
  <c r="L8" i="3"/>
  <c r="N8" i="3"/>
  <c r="M8" i="3"/>
  <c r="M54" i="3"/>
  <c r="L20" i="3"/>
  <c r="M89" i="3"/>
  <c r="M90" i="3"/>
  <c r="M20" i="3"/>
  <c r="N90" i="3"/>
  <c r="N89" i="3"/>
  <c r="K89" i="3"/>
  <c r="L89" i="3"/>
  <c r="L90" i="3"/>
  <c r="N20" i="3"/>
  <c r="M149" i="3"/>
  <c r="M103" i="3"/>
  <c r="M104" i="3" s="1"/>
  <c r="M105" i="3" s="1"/>
  <c r="M147" i="3"/>
  <c r="N103" i="3"/>
  <c r="N104" i="3" s="1"/>
  <c r="N105" i="3" s="1"/>
  <c r="N147" i="3"/>
  <c r="N149" i="3"/>
  <c r="L18" i="14"/>
  <c r="Q18" i="14"/>
  <c r="AF18" i="14"/>
  <c r="K20" i="3" l="1"/>
  <c r="M21" i="3"/>
  <c r="N21" i="3"/>
  <c r="A103" i="14"/>
  <c r="A104" i="14"/>
  <c r="A105" i="14"/>
  <c r="A106" i="14"/>
  <c r="A81" i="14"/>
  <c r="A82" i="14"/>
  <c r="A85" i="14"/>
  <c r="A86" i="14"/>
  <c r="A89" i="14"/>
  <c r="A90" i="14"/>
  <c r="A91" i="14"/>
  <c r="A94" i="14"/>
  <c r="A96" i="14"/>
  <c r="A97" i="14"/>
  <c r="A98" i="14"/>
  <c r="A80" i="14"/>
  <c r="R35" i="14"/>
  <c r="M35" i="14"/>
  <c r="E35" i="14"/>
  <c r="F35" i="14" s="1"/>
  <c r="G35" i="14" l="1"/>
  <c r="F102" i="14"/>
  <c r="N35" i="14"/>
  <c r="M102" i="14"/>
  <c r="S35" i="14"/>
  <c r="R102" i="14"/>
  <c r="E102" i="14"/>
  <c r="L17" i="14"/>
  <c r="L24" i="14" s="1"/>
  <c r="L27" i="14" s="1"/>
  <c r="L92" i="14" s="1"/>
  <c r="Q17" i="14"/>
  <c r="Q24" i="14" s="1"/>
  <c r="Q27" i="14" s="1"/>
  <c r="Q92" i="14" s="1"/>
  <c r="AF17" i="14"/>
  <c r="AF24" i="14" s="1"/>
  <c r="AF27" i="14" s="1"/>
  <c r="AF92" i="14" s="1"/>
  <c r="R4" i="14"/>
  <c r="R18" i="14" s="1"/>
  <c r="O35" i="14" l="1"/>
  <c r="N102" i="14"/>
  <c r="T35" i="14"/>
  <c r="S102" i="14"/>
  <c r="H35" i="14"/>
  <c r="G102" i="14"/>
  <c r="R17" i="14"/>
  <c r="R24" i="14" s="1"/>
  <c r="R27" i="14" s="1"/>
  <c r="R92" i="14" s="1"/>
  <c r="S4" i="14"/>
  <c r="S18" i="14" s="1"/>
  <c r="U35" i="14" l="1"/>
  <c r="T102" i="14"/>
  <c r="I35" i="14"/>
  <c r="H102" i="14"/>
  <c r="P35" i="14"/>
  <c r="P102" i="14" s="1"/>
  <c r="O102" i="14"/>
  <c r="S17" i="14"/>
  <c r="T4" i="14"/>
  <c r="T18" i="14" s="1"/>
  <c r="J35" i="14" l="1"/>
  <c r="I102" i="14"/>
  <c r="V35" i="14"/>
  <c r="U102" i="14"/>
  <c r="T17" i="14"/>
  <c r="U4" i="14"/>
  <c r="U18" i="14" s="1"/>
  <c r="S24" i="14"/>
  <c r="W35" i="14" l="1"/>
  <c r="V102" i="14"/>
  <c r="K35" i="14"/>
  <c r="K102" i="14" s="1"/>
  <c r="J102" i="14"/>
  <c r="V4" i="14"/>
  <c r="V18" i="14" s="1"/>
  <c r="U17" i="14"/>
  <c r="S27" i="14"/>
  <c r="S92" i="14" s="1"/>
  <c r="T24" i="14"/>
  <c r="X35" i="14" l="1"/>
  <c r="W102" i="14"/>
  <c r="U24" i="14"/>
  <c r="T27" i="14"/>
  <c r="T92" i="14" s="1"/>
  <c r="V17" i="14"/>
  <c r="W4" i="14"/>
  <c r="W18" i="14" s="1"/>
  <c r="Y35" i="14" l="1"/>
  <c r="X102" i="14"/>
  <c r="W17" i="14"/>
  <c r="X4" i="14"/>
  <c r="X18" i="14" s="1"/>
  <c r="V24" i="14"/>
  <c r="U27" i="14"/>
  <c r="U92" i="14" s="1"/>
  <c r="Z35" i="14" l="1"/>
  <c r="Y102" i="14"/>
  <c r="V27" i="14"/>
  <c r="V92" i="14" s="1"/>
  <c r="X17" i="14"/>
  <c r="Y4" i="14"/>
  <c r="Y18" i="14" s="1"/>
  <c r="W24" i="14"/>
  <c r="AA35" i="14" l="1"/>
  <c r="Z102" i="14"/>
  <c r="Y17" i="14"/>
  <c r="Z4" i="14"/>
  <c r="Z18" i="14" s="1"/>
  <c r="X24" i="14"/>
  <c r="W27" i="14"/>
  <c r="W92" i="14" s="1"/>
  <c r="AB35" i="14" l="1"/>
  <c r="AA102" i="14"/>
  <c r="X27" i="14"/>
  <c r="X92" i="14" s="1"/>
  <c r="Z17" i="14"/>
  <c r="AA4" i="14"/>
  <c r="AA18" i="14" s="1"/>
  <c r="Y24" i="14"/>
  <c r="AC35" i="14" l="1"/>
  <c r="AB102" i="14"/>
  <c r="AA17" i="14"/>
  <c r="AB4" i="14"/>
  <c r="AB18" i="14" s="1"/>
  <c r="Y27" i="14"/>
  <c r="Y92" i="14" s="1"/>
  <c r="Z24" i="14"/>
  <c r="AD35" i="14" l="1"/>
  <c r="AC102" i="14"/>
  <c r="Z27" i="14"/>
  <c r="Z92" i="14" s="1"/>
  <c r="AB17" i="14"/>
  <c r="AC4" i="14"/>
  <c r="AC18" i="14" s="1"/>
  <c r="AA24" i="14"/>
  <c r="AE35" i="14" l="1"/>
  <c r="AE102" i="14" s="1"/>
  <c r="AD102" i="14"/>
  <c r="AA27" i="14"/>
  <c r="AA92" i="14" s="1"/>
  <c r="AC17" i="14"/>
  <c r="AD4" i="14"/>
  <c r="AD18" i="14" s="1"/>
  <c r="AB24" i="14"/>
  <c r="AC24" i="14" l="1"/>
  <c r="AB27" i="14"/>
  <c r="AB92" i="14" s="1"/>
  <c r="AE4" i="14"/>
  <c r="AD17" i="14"/>
  <c r="AE17" i="14" l="1"/>
  <c r="AE24" i="14" s="1"/>
  <c r="AE18" i="14"/>
  <c r="AD24" i="14"/>
  <c r="AC27" i="14"/>
  <c r="AC92" i="14" s="1"/>
  <c r="AE27" i="14" l="1"/>
  <c r="AE92" i="14" s="1"/>
  <c r="AD27" i="14"/>
  <c r="AD92" i="14" s="1"/>
  <c r="M4" i="14" l="1"/>
  <c r="E4" i="14"/>
  <c r="E18" i="14" l="1"/>
  <c r="E17" i="14"/>
  <c r="M17" i="14"/>
  <c r="M24" i="14" s="1"/>
  <c r="M18" i="14"/>
  <c r="N4" i="14"/>
  <c r="N18" i="14" s="1"/>
  <c r="F4" i="14"/>
  <c r="F18" i="14" s="1"/>
  <c r="L13" i="6"/>
  <c r="K14" i="6" s="1"/>
  <c r="K16" i="6" l="1"/>
  <c r="L14" i="6"/>
  <c r="E24" i="14"/>
  <c r="M27" i="14"/>
  <c r="M92" i="14" s="1"/>
  <c r="G4" i="14"/>
  <c r="G18" i="14" s="1"/>
  <c r="F17" i="14"/>
  <c r="N17" i="14"/>
  <c r="O4" i="14"/>
  <c r="O18" i="14" s="1"/>
  <c r="M14" i="6" l="1"/>
  <c r="L16" i="6"/>
  <c r="N24" i="14"/>
  <c r="F24" i="14"/>
  <c r="E27" i="14"/>
  <c r="E92" i="14" s="1"/>
  <c r="P4" i="14"/>
  <c r="O17" i="14"/>
  <c r="H4" i="14"/>
  <c r="H18" i="14" s="1"/>
  <c r="G17" i="14"/>
  <c r="N14" i="6" l="1"/>
  <c r="M16" i="6"/>
  <c r="P17" i="14"/>
  <c r="P18" i="14"/>
  <c r="O24" i="14"/>
  <c r="P24" i="14"/>
  <c r="F27" i="14"/>
  <c r="F92" i="14" s="1"/>
  <c r="G24" i="14"/>
  <c r="N27" i="14"/>
  <c r="N92" i="14" s="1"/>
  <c r="I4" i="14"/>
  <c r="I18" i="14" s="1"/>
  <c r="H17" i="14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L76" i="7"/>
  <c r="L77" i="7"/>
  <c r="L78" i="7"/>
  <c r="L79" i="7"/>
  <c r="L80" i="7"/>
  <c r="L81" i="7"/>
  <c r="L82" i="7"/>
  <c r="L83" i="7"/>
  <c r="L85" i="7"/>
  <c r="L84" i="7"/>
  <c r="L87" i="7"/>
  <c r="L86" i="7"/>
  <c r="L75" i="7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B4" i="13"/>
  <c r="L55" i="10"/>
  <c r="O14" i="6" l="1"/>
  <c r="N16" i="6"/>
  <c r="G27" i="14"/>
  <c r="G92" i="14" s="1"/>
  <c r="P27" i="14"/>
  <c r="P92" i="14" s="1"/>
  <c r="H24" i="14"/>
  <c r="O27" i="14"/>
  <c r="O92" i="14" s="1"/>
  <c r="J4" i="14"/>
  <c r="J18" i="14" s="1"/>
  <c r="I17" i="14"/>
  <c r="G9" i="13"/>
  <c r="O3" i="6" s="1"/>
  <c r="AD73" i="10"/>
  <c r="R73" i="10"/>
  <c r="AC73" i="10"/>
  <c r="Q73" i="10"/>
  <c r="L73" i="10"/>
  <c r="AM73" i="10"/>
  <c r="AA73" i="10"/>
  <c r="O73" i="10"/>
  <c r="AK73" i="10"/>
  <c r="Y73" i="10"/>
  <c r="M73" i="10"/>
  <c r="AJ73" i="10"/>
  <c r="X73" i="10"/>
  <c r="AL73" i="10"/>
  <c r="Z73" i="10"/>
  <c r="N73" i="10"/>
  <c r="AI73" i="10"/>
  <c r="W73" i="10"/>
  <c r="AH73" i="10"/>
  <c r="V73" i="10"/>
  <c r="AG73" i="10"/>
  <c r="U73" i="10"/>
  <c r="AF73" i="10"/>
  <c r="T73" i="10"/>
  <c r="AE73" i="10"/>
  <c r="S73" i="10"/>
  <c r="AB73" i="10"/>
  <c r="P73" i="10"/>
  <c r="AK27" i="10"/>
  <c r="X9" i="13"/>
  <c r="AF3" i="6" s="1"/>
  <c r="L9" i="13"/>
  <c r="T3" i="6" s="1"/>
  <c r="AD9" i="13"/>
  <c r="R9" i="13"/>
  <c r="Z3" i="6" s="1"/>
  <c r="F9" i="13"/>
  <c r="N3" i="6" s="1"/>
  <c r="Y9" i="13"/>
  <c r="AG3" i="6" s="1"/>
  <c r="M9" i="13"/>
  <c r="U3" i="6" s="1"/>
  <c r="AH9" i="13"/>
  <c r="V9" i="13"/>
  <c r="AD3" i="6" s="1"/>
  <c r="J9" i="13"/>
  <c r="R3" i="6" s="1"/>
  <c r="AI9" i="13"/>
  <c r="W9" i="13"/>
  <c r="AE3" i="6" s="1"/>
  <c r="K9" i="13"/>
  <c r="S3" i="6" s="1"/>
  <c r="AL27" i="10"/>
  <c r="Z27" i="10"/>
  <c r="N27" i="10"/>
  <c r="AL28" i="10"/>
  <c r="Z28" i="10"/>
  <c r="N28" i="10"/>
  <c r="AG9" i="13"/>
  <c r="U9" i="13"/>
  <c r="AC3" i="6" s="1"/>
  <c r="I9" i="13"/>
  <c r="Q3" i="6" s="1"/>
  <c r="Y27" i="10"/>
  <c r="M27" i="10"/>
  <c r="AK28" i="10"/>
  <c r="Y28" i="10"/>
  <c r="M28" i="10"/>
  <c r="AF9" i="13"/>
  <c r="T9" i="13"/>
  <c r="AB3" i="6" s="1"/>
  <c r="H9" i="13"/>
  <c r="P3" i="6" s="1"/>
  <c r="AJ27" i="10"/>
  <c r="X27" i="10"/>
  <c r="AJ28" i="10"/>
  <c r="X28" i="10"/>
  <c r="AF50" i="10"/>
  <c r="T50" i="10"/>
  <c r="AE9" i="13"/>
  <c r="S9" i="13"/>
  <c r="AA3" i="6" s="1"/>
  <c r="C9" i="13"/>
  <c r="K3" i="6" s="1"/>
  <c r="U28" i="10"/>
  <c r="L50" i="10"/>
  <c r="AC9" i="13"/>
  <c r="AK3" i="6" s="1"/>
  <c r="Q9" i="13"/>
  <c r="Y3" i="6" s="1"/>
  <c r="E9" i="13"/>
  <c r="M3" i="6" s="1"/>
  <c r="AB9" i="13"/>
  <c r="AJ3" i="6" s="1"/>
  <c r="D9" i="13"/>
  <c r="L3" i="6" s="1"/>
  <c r="AA9" i="13"/>
  <c r="AI3" i="6" s="1"/>
  <c r="O9" i="13"/>
  <c r="W3" i="6" s="1"/>
  <c r="P9" i="13"/>
  <c r="X3" i="6" s="1"/>
  <c r="Z9" i="13"/>
  <c r="AH3" i="6" s="1"/>
  <c r="N9" i="13"/>
  <c r="V3" i="6" s="1"/>
  <c r="B9" i="13"/>
  <c r="J3" i="6" s="1"/>
  <c r="AM27" i="10"/>
  <c r="AA27" i="10"/>
  <c r="O27" i="10"/>
  <c r="Q27" i="10"/>
  <c r="AG28" i="10"/>
  <c r="AB27" i="10"/>
  <c r="P27" i="10"/>
  <c r="AF28" i="10"/>
  <c r="T28" i="10"/>
  <c r="X29" i="10"/>
  <c r="W27" i="10"/>
  <c r="AJ29" i="10"/>
  <c r="AI29" i="10"/>
  <c r="AE28" i="10"/>
  <c r="S50" i="10"/>
  <c r="R28" i="10"/>
  <c r="Q28" i="10"/>
  <c r="AK29" i="10"/>
  <c r="M29" i="10"/>
  <c r="AI27" i="10"/>
  <c r="AI28" i="10"/>
  <c r="AH27" i="10"/>
  <c r="V27" i="10"/>
  <c r="AH28" i="10"/>
  <c r="V28" i="10"/>
  <c r="AE50" i="10"/>
  <c r="R50" i="10"/>
  <c r="Q50" i="10"/>
  <c r="W29" i="10"/>
  <c r="S28" i="10"/>
  <c r="AD28" i="10"/>
  <c r="AC27" i="10"/>
  <c r="AC28" i="10"/>
  <c r="Y29" i="10"/>
  <c r="W28" i="10"/>
  <c r="AG27" i="10"/>
  <c r="U27" i="10"/>
  <c r="AJ50" i="10"/>
  <c r="AI50" i="10"/>
  <c r="AG29" i="10"/>
  <c r="AH50" i="10"/>
  <c r="AG50" i="10"/>
  <c r="AM28" i="10"/>
  <c r="AD29" i="10"/>
  <c r="Q29" i="10"/>
  <c r="AD27" i="10"/>
  <c r="R27" i="10"/>
  <c r="AL29" i="10"/>
  <c r="Z29" i="10"/>
  <c r="N29" i="10"/>
  <c r="V29" i="10"/>
  <c r="AH29" i="10"/>
  <c r="W50" i="10"/>
  <c r="U29" i="10"/>
  <c r="AF29" i="10"/>
  <c r="AB28" i="10"/>
  <c r="U50" i="10"/>
  <c r="AE29" i="10"/>
  <c r="AA28" i="10"/>
  <c r="X50" i="10"/>
  <c r="V50" i="10"/>
  <c r="T29" i="10"/>
  <c r="P28" i="10"/>
  <c r="S29" i="10"/>
  <c r="O28" i="10"/>
  <c r="R29" i="10"/>
  <c r="AC29" i="10"/>
  <c r="AD50" i="10"/>
  <c r="AF27" i="10"/>
  <c r="T27" i="10"/>
  <c r="AB29" i="10"/>
  <c r="P29" i="10"/>
  <c r="AC50" i="10"/>
  <c r="AE27" i="10"/>
  <c r="S27" i="10"/>
  <c r="AM29" i="10"/>
  <c r="AA29" i="10"/>
  <c r="O29" i="10"/>
  <c r="P50" i="10"/>
  <c r="O50" i="10"/>
  <c r="N50" i="10"/>
  <c r="AK50" i="10"/>
  <c r="Y50" i="10"/>
  <c r="M50" i="10"/>
  <c r="AM50" i="10"/>
  <c r="AL50" i="10"/>
  <c r="AB50" i="10"/>
  <c r="AA50" i="10"/>
  <c r="Z50" i="10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K61" i="12"/>
  <c r="AL61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AL62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K64" i="12"/>
  <c r="K65" i="12"/>
  <c r="K66" i="12"/>
  <c r="K67" i="12"/>
  <c r="K68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L3" i="12"/>
  <c r="L46" i="12" s="1"/>
  <c r="M3" i="12"/>
  <c r="M46" i="12" s="1"/>
  <c r="N3" i="12"/>
  <c r="N46" i="12" s="1"/>
  <c r="O3" i="12"/>
  <c r="O46" i="12" s="1"/>
  <c r="P3" i="12"/>
  <c r="P46" i="12" s="1"/>
  <c r="Q3" i="12"/>
  <c r="Q46" i="12" s="1"/>
  <c r="R3" i="12"/>
  <c r="R46" i="12" s="1"/>
  <c r="S3" i="12"/>
  <c r="S46" i="12" s="1"/>
  <c r="T3" i="12"/>
  <c r="T46" i="12" s="1"/>
  <c r="U3" i="12"/>
  <c r="U46" i="12" s="1"/>
  <c r="V3" i="12"/>
  <c r="V46" i="12" s="1"/>
  <c r="W3" i="12"/>
  <c r="W46" i="12" s="1"/>
  <c r="X3" i="12"/>
  <c r="X46" i="12" s="1"/>
  <c r="Y3" i="12"/>
  <c r="Y46" i="12" s="1"/>
  <c r="Z3" i="12"/>
  <c r="Z46" i="12" s="1"/>
  <c r="AA3" i="12"/>
  <c r="AA46" i="12" s="1"/>
  <c r="AB3" i="12"/>
  <c r="AB46" i="12" s="1"/>
  <c r="AC3" i="12"/>
  <c r="AC46" i="12" s="1"/>
  <c r="AD3" i="12"/>
  <c r="AD46" i="12" s="1"/>
  <c r="AE3" i="12"/>
  <c r="AE46" i="12" s="1"/>
  <c r="AF3" i="12"/>
  <c r="AF46" i="12" s="1"/>
  <c r="AG3" i="12"/>
  <c r="AG46" i="12" s="1"/>
  <c r="AH3" i="12"/>
  <c r="AH46" i="12" s="1"/>
  <c r="AI3" i="12"/>
  <c r="AI46" i="12" s="1"/>
  <c r="AJ3" i="12"/>
  <c r="AJ46" i="12" s="1"/>
  <c r="AK3" i="12"/>
  <c r="AK46" i="12" s="1"/>
  <c r="AL3" i="12"/>
  <c r="AL46" i="12" s="1"/>
  <c r="L4" i="12"/>
  <c r="L47" i="12" s="1"/>
  <c r="M4" i="12"/>
  <c r="M47" i="12" s="1"/>
  <c r="N4" i="12"/>
  <c r="N47" i="12" s="1"/>
  <c r="O4" i="12"/>
  <c r="O47" i="12" s="1"/>
  <c r="P4" i="12"/>
  <c r="P47" i="12" s="1"/>
  <c r="Q4" i="12"/>
  <c r="Q47" i="12" s="1"/>
  <c r="R4" i="12"/>
  <c r="R47" i="12" s="1"/>
  <c r="S4" i="12"/>
  <c r="S47" i="12" s="1"/>
  <c r="T4" i="12"/>
  <c r="T47" i="12" s="1"/>
  <c r="U4" i="12"/>
  <c r="U47" i="12" s="1"/>
  <c r="V4" i="12"/>
  <c r="V47" i="12" s="1"/>
  <c r="W4" i="12"/>
  <c r="W47" i="12" s="1"/>
  <c r="X4" i="12"/>
  <c r="X47" i="12" s="1"/>
  <c r="Y4" i="12"/>
  <c r="Y47" i="12" s="1"/>
  <c r="Z4" i="12"/>
  <c r="Z47" i="12" s="1"/>
  <c r="AA4" i="12"/>
  <c r="AA47" i="12" s="1"/>
  <c r="AB4" i="12"/>
  <c r="AB47" i="12" s="1"/>
  <c r="AC4" i="12"/>
  <c r="AC47" i="12" s="1"/>
  <c r="AD4" i="12"/>
  <c r="AD47" i="12" s="1"/>
  <c r="AE4" i="12"/>
  <c r="AE47" i="12" s="1"/>
  <c r="AF4" i="12"/>
  <c r="AF47" i="12" s="1"/>
  <c r="AG4" i="12"/>
  <c r="AG47" i="12" s="1"/>
  <c r="AH4" i="12"/>
  <c r="AH47" i="12" s="1"/>
  <c r="AI4" i="12"/>
  <c r="AI47" i="12" s="1"/>
  <c r="AJ4" i="12"/>
  <c r="AJ47" i="12" s="1"/>
  <c r="AK4" i="12"/>
  <c r="AK47" i="12" s="1"/>
  <c r="AL4" i="12"/>
  <c r="AL47" i="12" s="1"/>
  <c r="L5" i="12"/>
  <c r="L53" i="12" s="1"/>
  <c r="M5" i="12"/>
  <c r="M53" i="12" s="1"/>
  <c r="N5" i="12"/>
  <c r="N53" i="12" s="1"/>
  <c r="O5" i="12"/>
  <c r="O53" i="12" s="1"/>
  <c r="P5" i="12"/>
  <c r="P53" i="12" s="1"/>
  <c r="Q5" i="12"/>
  <c r="Q53" i="12" s="1"/>
  <c r="R5" i="12"/>
  <c r="R53" i="12" s="1"/>
  <c r="S5" i="12"/>
  <c r="S53" i="12" s="1"/>
  <c r="T5" i="12"/>
  <c r="T53" i="12" s="1"/>
  <c r="U5" i="12"/>
  <c r="U53" i="12" s="1"/>
  <c r="V5" i="12"/>
  <c r="V53" i="12" s="1"/>
  <c r="W5" i="12"/>
  <c r="W53" i="12" s="1"/>
  <c r="X5" i="12"/>
  <c r="X53" i="12" s="1"/>
  <c r="Y5" i="12"/>
  <c r="Y53" i="12" s="1"/>
  <c r="Z5" i="12"/>
  <c r="Z53" i="12" s="1"/>
  <c r="AA5" i="12"/>
  <c r="AA53" i="12" s="1"/>
  <c r="AB5" i="12"/>
  <c r="AB53" i="12" s="1"/>
  <c r="AC5" i="12"/>
  <c r="AC53" i="12" s="1"/>
  <c r="AD5" i="12"/>
  <c r="AD53" i="12" s="1"/>
  <c r="AE5" i="12"/>
  <c r="AE53" i="12" s="1"/>
  <c r="AF5" i="12"/>
  <c r="AF53" i="12" s="1"/>
  <c r="AG5" i="12"/>
  <c r="AG53" i="12" s="1"/>
  <c r="AH5" i="12"/>
  <c r="AH53" i="12" s="1"/>
  <c r="AI5" i="12"/>
  <c r="AI53" i="12" s="1"/>
  <c r="AJ5" i="12"/>
  <c r="AJ53" i="12" s="1"/>
  <c r="AK5" i="12"/>
  <c r="AK53" i="12" s="1"/>
  <c r="AL5" i="12"/>
  <c r="AL53" i="12" s="1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L24" i="12"/>
  <c r="L49" i="12" s="1"/>
  <c r="M24" i="12"/>
  <c r="M49" i="12" s="1"/>
  <c r="N24" i="12"/>
  <c r="N49" i="12" s="1"/>
  <c r="O24" i="12"/>
  <c r="O49" i="12" s="1"/>
  <c r="P24" i="12"/>
  <c r="P49" i="12" s="1"/>
  <c r="Q24" i="12"/>
  <c r="Q49" i="12" s="1"/>
  <c r="R24" i="12"/>
  <c r="R49" i="12" s="1"/>
  <c r="S24" i="12"/>
  <c r="S49" i="12" s="1"/>
  <c r="T24" i="12"/>
  <c r="T49" i="12" s="1"/>
  <c r="U24" i="12"/>
  <c r="U49" i="12" s="1"/>
  <c r="V24" i="12"/>
  <c r="V49" i="12" s="1"/>
  <c r="W24" i="12"/>
  <c r="W49" i="12" s="1"/>
  <c r="X24" i="12"/>
  <c r="X49" i="12" s="1"/>
  <c r="Y24" i="12"/>
  <c r="Y49" i="12" s="1"/>
  <c r="Z24" i="12"/>
  <c r="Z49" i="12" s="1"/>
  <c r="AA24" i="12"/>
  <c r="AA49" i="12" s="1"/>
  <c r="AB24" i="12"/>
  <c r="AB49" i="12" s="1"/>
  <c r="AC24" i="12"/>
  <c r="AC49" i="12" s="1"/>
  <c r="AD24" i="12"/>
  <c r="AD49" i="12" s="1"/>
  <c r="AE24" i="12"/>
  <c r="AE49" i="12" s="1"/>
  <c r="AF24" i="12"/>
  <c r="AF49" i="12" s="1"/>
  <c r="AG24" i="12"/>
  <c r="AG49" i="12" s="1"/>
  <c r="AH24" i="12"/>
  <c r="AH49" i="12" s="1"/>
  <c r="AI24" i="12"/>
  <c r="AI49" i="12" s="1"/>
  <c r="AJ24" i="12"/>
  <c r="AJ49" i="12" s="1"/>
  <c r="AK24" i="12"/>
  <c r="AK49" i="12" s="1"/>
  <c r="AL24" i="12"/>
  <c r="AL49" i="12" s="1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L27" i="12"/>
  <c r="L52" i="12" s="1"/>
  <c r="M27" i="12"/>
  <c r="M52" i="12" s="1"/>
  <c r="N27" i="12"/>
  <c r="N52" i="12" s="1"/>
  <c r="O27" i="12"/>
  <c r="O52" i="12" s="1"/>
  <c r="P27" i="12"/>
  <c r="P52" i="12" s="1"/>
  <c r="Q27" i="12"/>
  <c r="Q52" i="12" s="1"/>
  <c r="R27" i="12"/>
  <c r="R52" i="12" s="1"/>
  <c r="S27" i="12"/>
  <c r="S52" i="12" s="1"/>
  <c r="T27" i="12"/>
  <c r="T52" i="12" s="1"/>
  <c r="U27" i="12"/>
  <c r="U52" i="12" s="1"/>
  <c r="V27" i="12"/>
  <c r="V52" i="12" s="1"/>
  <c r="W27" i="12"/>
  <c r="W52" i="12" s="1"/>
  <c r="X27" i="12"/>
  <c r="X52" i="12" s="1"/>
  <c r="Y27" i="12"/>
  <c r="Y52" i="12" s="1"/>
  <c r="Z27" i="12"/>
  <c r="Z52" i="12" s="1"/>
  <c r="AA27" i="12"/>
  <c r="AA52" i="12" s="1"/>
  <c r="AB27" i="12"/>
  <c r="AB52" i="12" s="1"/>
  <c r="AC27" i="12"/>
  <c r="AC52" i="12" s="1"/>
  <c r="AD27" i="12"/>
  <c r="AD52" i="12" s="1"/>
  <c r="AE27" i="12"/>
  <c r="AE52" i="12" s="1"/>
  <c r="AF27" i="12"/>
  <c r="AF52" i="12" s="1"/>
  <c r="AG27" i="12"/>
  <c r="AG52" i="12" s="1"/>
  <c r="AH27" i="12"/>
  <c r="AH52" i="12" s="1"/>
  <c r="AI27" i="12"/>
  <c r="AI52" i="12" s="1"/>
  <c r="AJ27" i="12"/>
  <c r="AJ52" i="12" s="1"/>
  <c r="AK27" i="12"/>
  <c r="AK52" i="12" s="1"/>
  <c r="AL27" i="12"/>
  <c r="AL52" i="12" s="1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L34" i="12"/>
  <c r="L50" i="12" s="1"/>
  <c r="M34" i="12"/>
  <c r="M50" i="12" s="1"/>
  <c r="N34" i="12"/>
  <c r="N50" i="12" s="1"/>
  <c r="O34" i="12"/>
  <c r="O50" i="12" s="1"/>
  <c r="P34" i="12"/>
  <c r="P50" i="12" s="1"/>
  <c r="Q34" i="12"/>
  <c r="Q50" i="12" s="1"/>
  <c r="R34" i="12"/>
  <c r="R50" i="12" s="1"/>
  <c r="S34" i="12"/>
  <c r="S50" i="12" s="1"/>
  <c r="T34" i="12"/>
  <c r="T50" i="12" s="1"/>
  <c r="U34" i="12"/>
  <c r="U50" i="12" s="1"/>
  <c r="V34" i="12"/>
  <c r="V50" i="12" s="1"/>
  <c r="W34" i="12"/>
  <c r="W50" i="12" s="1"/>
  <c r="X34" i="12"/>
  <c r="X50" i="12" s="1"/>
  <c r="Y34" i="12"/>
  <c r="Y50" i="12" s="1"/>
  <c r="Z34" i="12"/>
  <c r="Z50" i="12" s="1"/>
  <c r="AA34" i="12"/>
  <c r="AA50" i="12" s="1"/>
  <c r="AB34" i="12"/>
  <c r="AB50" i="12" s="1"/>
  <c r="AC34" i="12"/>
  <c r="AC50" i="12" s="1"/>
  <c r="AD34" i="12"/>
  <c r="AD50" i="12" s="1"/>
  <c r="AE34" i="12"/>
  <c r="AE50" i="12" s="1"/>
  <c r="AF34" i="12"/>
  <c r="AF50" i="12" s="1"/>
  <c r="AG34" i="12"/>
  <c r="AG50" i="12" s="1"/>
  <c r="AH34" i="12"/>
  <c r="AH50" i="12" s="1"/>
  <c r="AI34" i="12"/>
  <c r="AI50" i="12" s="1"/>
  <c r="AJ34" i="12"/>
  <c r="AJ50" i="12" s="1"/>
  <c r="AK34" i="12"/>
  <c r="AK50" i="12" s="1"/>
  <c r="AL34" i="12"/>
  <c r="AL50" i="12" s="1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L42" i="12"/>
  <c r="L54" i="12" s="1"/>
  <c r="M42" i="12"/>
  <c r="M54" i="12" s="1"/>
  <c r="N42" i="12"/>
  <c r="N54" i="12" s="1"/>
  <c r="O42" i="12"/>
  <c r="O54" i="12" s="1"/>
  <c r="P42" i="12"/>
  <c r="P54" i="12" s="1"/>
  <c r="Q42" i="12"/>
  <c r="Q54" i="12" s="1"/>
  <c r="R42" i="12"/>
  <c r="R54" i="12" s="1"/>
  <c r="S42" i="12"/>
  <c r="S54" i="12" s="1"/>
  <c r="T42" i="12"/>
  <c r="T54" i="12" s="1"/>
  <c r="U42" i="12"/>
  <c r="U54" i="12" s="1"/>
  <c r="V42" i="12"/>
  <c r="V54" i="12" s="1"/>
  <c r="W42" i="12"/>
  <c r="W54" i="12" s="1"/>
  <c r="X42" i="12"/>
  <c r="X54" i="12" s="1"/>
  <c r="Y42" i="12"/>
  <c r="Y54" i="12" s="1"/>
  <c r="Z42" i="12"/>
  <c r="Z54" i="12" s="1"/>
  <c r="AA42" i="12"/>
  <c r="AA54" i="12" s="1"/>
  <c r="AB42" i="12"/>
  <c r="AB54" i="12" s="1"/>
  <c r="AC42" i="12"/>
  <c r="AC54" i="12" s="1"/>
  <c r="AD42" i="12"/>
  <c r="AD54" i="12" s="1"/>
  <c r="AE42" i="12"/>
  <c r="AE54" i="12" s="1"/>
  <c r="AF42" i="12"/>
  <c r="AF54" i="12" s="1"/>
  <c r="AG42" i="12"/>
  <c r="AG54" i="12" s="1"/>
  <c r="AH42" i="12"/>
  <c r="AH54" i="12" s="1"/>
  <c r="AI42" i="12"/>
  <c r="AI54" i="12" s="1"/>
  <c r="AJ42" i="12"/>
  <c r="AJ54" i="12" s="1"/>
  <c r="AK42" i="12"/>
  <c r="AK54" i="12" s="1"/>
  <c r="AL42" i="12"/>
  <c r="AL54" i="12" s="1"/>
  <c r="K3" i="12"/>
  <c r="K46" i="12" s="1"/>
  <c r="K4" i="12"/>
  <c r="K47" i="12" s="1"/>
  <c r="K5" i="12"/>
  <c r="K53" i="12" s="1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49" i="12" s="1"/>
  <c r="K25" i="12"/>
  <c r="K26" i="12"/>
  <c r="K27" i="12"/>
  <c r="K52" i="12" s="1"/>
  <c r="K28" i="12"/>
  <c r="K29" i="12"/>
  <c r="K30" i="12"/>
  <c r="K31" i="12"/>
  <c r="K32" i="12"/>
  <c r="K33" i="12"/>
  <c r="K34" i="12"/>
  <c r="K50" i="12" s="1"/>
  <c r="K35" i="12"/>
  <c r="K36" i="12"/>
  <c r="K37" i="12"/>
  <c r="K38" i="12"/>
  <c r="K39" i="12"/>
  <c r="K40" i="12"/>
  <c r="K41" i="12"/>
  <c r="K42" i="12"/>
  <c r="K54" i="12" s="1"/>
  <c r="AF75" i="8" l="1"/>
  <c r="T75" i="8"/>
  <c r="AE75" i="8"/>
  <c r="S75" i="8"/>
  <c r="S77" i="8" s="1"/>
  <c r="AD75" i="8"/>
  <c r="R75" i="8"/>
  <c r="R77" i="8" s="1"/>
  <c r="AC75" i="8"/>
  <c r="Q75" i="8"/>
  <c r="AB75" i="8"/>
  <c r="P75" i="8"/>
  <c r="AM75" i="8"/>
  <c r="AA75" i="8"/>
  <c r="O75" i="8"/>
  <c r="AL75" i="8"/>
  <c r="Z75" i="8"/>
  <c r="N75" i="8"/>
  <c r="AK75" i="8"/>
  <c r="Y75" i="8"/>
  <c r="M75" i="8"/>
  <c r="AJ75" i="8"/>
  <c r="X75" i="8"/>
  <c r="X77" i="8" s="1"/>
  <c r="L75" i="8"/>
  <c r="AI75" i="8"/>
  <c r="W75" i="8"/>
  <c r="W77" i="8" s="1"/>
  <c r="AH75" i="8"/>
  <c r="V75" i="8"/>
  <c r="AG75" i="8"/>
  <c r="U75" i="8"/>
  <c r="U77" i="8" s="1"/>
  <c r="P14" i="6"/>
  <c r="O16" i="6"/>
  <c r="H27" i="14"/>
  <c r="H92" i="14" s="1"/>
  <c r="I24" i="14"/>
  <c r="K4" i="14"/>
  <c r="J17" i="14"/>
  <c r="V77" i="8"/>
  <c r="T77" i="8"/>
  <c r="L74" i="9"/>
  <c r="L76" i="9"/>
  <c r="L77" i="9"/>
  <c r="L75" i="9"/>
  <c r="Q14" i="6" l="1"/>
  <c r="P16" i="6"/>
  <c r="K17" i="14"/>
  <c r="K18" i="14"/>
  <c r="J24" i="14"/>
  <c r="K24" i="14"/>
  <c r="I27" i="14"/>
  <c r="I92" i="14" s="1"/>
  <c r="Y77" i="8"/>
  <c r="AK77" i="8"/>
  <c r="AI77" i="8"/>
  <c r="AD77" i="8"/>
  <c r="Z77" i="8"/>
  <c r="AL77" i="8"/>
  <c r="AE77" i="8"/>
  <c r="AA77" i="8"/>
  <c r="AJ77" i="8"/>
  <c r="AM77" i="8"/>
  <c r="AF77" i="8"/>
  <c r="AB77" i="8"/>
  <c r="AG77" i="8"/>
  <c r="AC77" i="8"/>
  <c r="AH77" i="8"/>
  <c r="M77" i="8"/>
  <c r="N77" i="8"/>
  <c r="O77" i="8"/>
  <c r="Q77" i="8"/>
  <c r="P77" i="8"/>
  <c r="L78" i="9"/>
  <c r="Q16" i="6" l="1"/>
  <c r="AK14" i="6"/>
  <c r="AK16" i="6" s="1"/>
  <c r="K27" i="14"/>
  <c r="K92" i="14" s="1"/>
  <c r="J27" i="14"/>
  <c r="J92" i="14" s="1"/>
  <c r="R14" i="6" l="1"/>
  <c r="L62" i="8"/>
  <c r="L19" i="9"/>
  <c r="AM23" i="9"/>
  <c r="AA23" i="9"/>
  <c r="O23" i="9"/>
  <c r="AH22" i="9"/>
  <c r="V22" i="9"/>
  <c r="AC21" i="9"/>
  <c r="Q21" i="9"/>
  <c r="AJ20" i="9"/>
  <c r="X20" i="9"/>
  <c r="AE19" i="9"/>
  <c r="S19" i="9"/>
  <c r="L59" i="8"/>
  <c r="L66" i="8"/>
  <c r="L20" i="9"/>
  <c r="AK23" i="9"/>
  <c r="Y23" i="9"/>
  <c r="M23" i="9"/>
  <c r="AF22" i="9"/>
  <c r="T22" i="9"/>
  <c r="AM21" i="9"/>
  <c r="AA21" i="9"/>
  <c r="O21" i="9"/>
  <c r="AH20" i="9"/>
  <c r="AB23" i="9"/>
  <c r="P23" i="9"/>
  <c r="AI22" i="9"/>
  <c r="W22" i="9"/>
  <c r="AD21" i="9"/>
  <c r="R21" i="9"/>
  <c r="AK20" i="9"/>
  <c r="Y20" i="9"/>
  <c r="M20" i="9"/>
  <c r="AF19" i="9"/>
  <c r="T19" i="9"/>
  <c r="AL23" i="9"/>
  <c r="Z23" i="9"/>
  <c r="N23" i="9"/>
  <c r="AG22" i="9"/>
  <c r="U22" i="9"/>
  <c r="AB21" i="9"/>
  <c r="P21" i="9"/>
  <c r="AI20" i="9"/>
  <c r="W20" i="9"/>
  <c r="AD19" i="9"/>
  <c r="R19" i="9"/>
  <c r="V20" i="9"/>
  <c r="AC19" i="9"/>
  <c r="Q19" i="9"/>
  <c r="AJ23" i="9"/>
  <c r="X23" i="9"/>
  <c r="AE22" i="9"/>
  <c r="S22" i="9"/>
  <c r="AL21" i="9"/>
  <c r="Z21" i="9"/>
  <c r="N21" i="9"/>
  <c r="AG20" i="9"/>
  <c r="U20" i="9"/>
  <c r="AB19" i="9"/>
  <c r="P19" i="9"/>
  <c r="AI23" i="9"/>
  <c r="W23" i="9"/>
  <c r="AD22" i="9"/>
  <c r="R22" i="9"/>
  <c r="AK21" i="9"/>
  <c r="Y21" i="9"/>
  <c r="M21" i="9"/>
  <c r="AF20" i="9"/>
  <c r="T20" i="9"/>
  <c r="AM19" i="9"/>
  <c r="AA19" i="9"/>
  <c r="O19" i="9"/>
  <c r="V23" i="9"/>
  <c r="AE20" i="9"/>
  <c r="S20" i="9"/>
  <c r="AL19" i="9"/>
  <c r="Z19" i="9"/>
  <c r="N19" i="9"/>
  <c r="X21" i="9"/>
  <c r="AG23" i="9"/>
  <c r="U23" i="9"/>
  <c r="AB22" i="9"/>
  <c r="P22" i="9"/>
  <c r="AI21" i="9"/>
  <c r="W21" i="9"/>
  <c r="AD20" i="9"/>
  <c r="R20" i="9"/>
  <c r="AK19" i="9"/>
  <c r="Y19" i="9"/>
  <c r="M19" i="9"/>
  <c r="AH23" i="9"/>
  <c r="AF23" i="9"/>
  <c r="T23" i="9"/>
  <c r="AM22" i="9"/>
  <c r="AA22" i="9"/>
  <c r="O22" i="9"/>
  <c r="AH21" i="9"/>
  <c r="V21" i="9"/>
  <c r="AC20" i="9"/>
  <c r="Q20" i="9"/>
  <c r="AJ19" i="9"/>
  <c r="X19" i="9"/>
  <c r="Q22" i="9"/>
  <c r="L23" i="9"/>
  <c r="AE23" i="9"/>
  <c r="S23" i="9"/>
  <c r="AL22" i="9"/>
  <c r="Z22" i="9"/>
  <c r="N22" i="9"/>
  <c r="AG21" i="9"/>
  <c r="U21" i="9"/>
  <c r="AB20" i="9"/>
  <c r="P20" i="9"/>
  <c r="AI19" i="9"/>
  <c r="W19" i="9"/>
  <c r="AJ21" i="9"/>
  <c r="L22" i="9"/>
  <c r="AD23" i="9"/>
  <c r="R23" i="9"/>
  <c r="AK22" i="9"/>
  <c r="Y22" i="9"/>
  <c r="M22" i="9"/>
  <c r="AF21" i="9"/>
  <c r="T21" i="9"/>
  <c r="AM20" i="9"/>
  <c r="AA20" i="9"/>
  <c r="O20" i="9"/>
  <c r="AH19" i="9"/>
  <c r="V19" i="9"/>
  <c r="AC22" i="9"/>
  <c r="L21" i="9"/>
  <c r="AC23" i="9"/>
  <c r="Q23" i="9"/>
  <c r="AJ22" i="9"/>
  <c r="X22" i="9"/>
  <c r="AE21" i="9"/>
  <c r="S21" i="9"/>
  <c r="AL20" i="9"/>
  <c r="Z20" i="9"/>
  <c r="N20" i="9"/>
  <c r="AG19" i="9"/>
  <c r="U19" i="9"/>
  <c r="R16" i="6" l="1"/>
  <c r="S14" i="6"/>
  <c r="AE35" i="8"/>
  <c r="Y35" i="8"/>
  <c r="X34" i="8"/>
  <c r="AA35" i="8"/>
  <c r="AK35" i="8"/>
  <c r="X35" i="8"/>
  <c r="AM35" i="8"/>
  <c r="AL35" i="8"/>
  <c r="AI35" i="8"/>
  <c r="AJ35" i="8"/>
  <c r="S35" i="8"/>
  <c r="AK34" i="8"/>
  <c r="AC34" i="8"/>
  <c r="AE34" i="8"/>
  <c r="W35" i="8"/>
  <c r="Y34" i="8"/>
  <c r="V35" i="8"/>
  <c r="W34" i="8"/>
  <c r="V34" i="8"/>
  <c r="AF35" i="8"/>
  <c r="AB34" i="8"/>
  <c r="AL34" i="8"/>
  <c r="AA34" i="8"/>
  <c r="AI34" i="8"/>
  <c r="AH34" i="8"/>
  <c r="AJ34" i="8"/>
  <c r="AH35" i="8"/>
  <c r="AC35" i="8"/>
  <c r="S34" i="8"/>
  <c r="AM34" i="8"/>
  <c r="T34" i="8"/>
  <c r="AD34" i="8"/>
  <c r="AB35" i="8"/>
  <c r="U35" i="8"/>
  <c r="AF34" i="8"/>
  <c r="AD35" i="8"/>
  <c r="AG34" i="8"/>
  <c r="T35" i="8"/>
  <c r="AG35" i="8"/>
  <c r="Z34" i="8"/>
  <c r="Z35" i="8"/>
  <c r="U34" i="8"/>
  <c r="M33" i="8"/>
  <c r="N33" i="8"/>
  <c r="L33" i="8"/>
  <c r="M29" i="8"/>
  <c r="M47" i="8" s="1"/>
  <c r="N29" i="8"/>
  <c r="N47" i="8" s="1"/>
  <c r="L29" i="8"/>
  <c r="L47" i="8" s="1"/>
  <c r="O29" i="8"/>
  <c r="O47" i="8" s="1"/>
  <c r="P29" i="8"/>
  <c r="P47" i="8" s="1"/>
  <c r="Q29" i="8"/>
  <c r="Q47" i="8" s="1"/>
  <c r="O33" i="8"/>
  <c r="P33" i="8"/>
  <c r="Q33" i="8"/>
  <c r="Y33" i="8"/>
  <c r="Y45" i="8" s="1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L3" i="8"/>
  <c r="L76" i="8"/>
  <c r="K21" i="6"/>
  <c r="J16" i="6"/>
  <c r="J20" i="6" s="1"/>
  <c r="AE66" i="3"/>
  <c r="AE58" i="3" s="1"/>
  <c r="AF66" i="3"/>
  <c r="AF58" i="3" s="1"/>
  <c r="AG66" i="3"/>
  <c r="AG58" i="3" s="1"/>
  <c r="AH66" i="3"/>
  <c r="AH58" i="3" s="1"/>
  <c r="AI66" i="3"/>
  <c r="AI58" i="3" s="1"/>
  <c r="AJ66" i="3"/>
  <c r="AJ58" i="3" s="1"/>
  <c r="AK66" i="3"/>
  <c r="AK58" i="3" s="1"/>
  <c r="AL66" i="3"/>
  <c r="AL58" i="3" s="1"/>
  <c r="AM66" i="3"/>
  <c r="AM58" i="3" s="1"/>
  <c r="AN66" i="3"/>
  <c r="AN58" i="3" s="1"/>
  <c r="AO66" i="3"/>
  <c r="AO58" i="3" s="1"/>
  <c r="AP66" i="3"/>
  <c r="AP58" i="3" s="1"/>
  <c r="AD66" i="3"/>
  <c r="AD58" i="3" s="1"/>
  <c r="O148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AJ251" i="3"/>
  <c r="AK251" i="3"/>
  <c r="AL251" i="3"/>
  <c r="AM251" i="3"/>
  <c r="AN251" i="3"/>
  <c r="AO251" i="3"/>
  <c r="AP251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P179" i="3"/>
  <c r="Q179" i="3"/>
  <c r="Q128" i="3" s="1"/>
  <c r="R179" i="3"/>
  <c r="R128" i="3" s="1"/>
  <c r="S179" i="3"/>
  <c r="S128" i="3" s="1"/>
  <c r="T179" i="3"/>
  <c r="T128" i="3" s="1"/>
  <c r="U179" i="3"/>
  <c r="U128" i="3" s="1"/>
  <c r="V179" i="3"/>
  <c r="V128" i="3" s="1"/>
  <c r="W179" i="3"/>
  <c r="W128" i="3" s="1"/>
  <c r="X179" i="3"/>
  <c r="X128" i="3" s="1"/>
  <c r="Y179" i="3"/>
  <c r="Y128" i="3" s="1"/>
  <c r="Z179" i="3"/>
  <c r="Z128" i="3" s="1"/>
  <c r="AA179" i="3"/>
  <c r="AA128" i="3" s="1"/>
  <c r="AB179" i="3"/>
  <c r="AB128" i="3" s="1"/>
  <c r="AC179" i="3"/>
  <c r="AC128" i="3" s="1"/>
  <c r="AD179" i="3"/>
  <c r="AD128" i="3" s="1"/>
  <c r="AE179" i="3"/>
  <c r="AE128" i="3" s="1"/>
  <c r="AF179" i="3"/>
  <c r="AF128" i="3" s="1"/>
  <c r="AG179" i="3"/>
  <c r="AG128" i="3" s="1"/>
  <c r="AH179" i="3"/>
  <c r="AH128" i="3" s="1"/>
  <c r="AI179" i="3"/>
  <c r="AI128" i="3" s="1"/>
  <c r="AJ179" i="3"/>
  <c r="AJ128" i="3" s="1"/>
  <c r="AK179" i="3"/>
  <c r="AK128" i="3" s="1"/>
  <c r="AL179" i="3"/>
  <c r="AL128" i="3" s="1"/>
  <c r="AM179" i="3"/>
  <c r="AM128" i="3" s="1"/>
  <c r="AN179" i="3"/>
  <c r="AN128" i="3" s="1"/>
  <c r="AO179" i="3"/>
  <c r="AO128" i="3" s="1"/>
  <c r="AP179" i="3"/>
  <c r="AP128" i="3" s="1"/>
  <c r="P180" i="3"/>
  <c r="Q180" i="3"/>
  <c r="Q129" i="3" s="1"/>
  <c r="R180" i="3"/>
  <c r="R129" i="3" s="1"/>
  <c r="S180" i="3"/>
  <c r="S129" i="3" s="1"/>
  <c r="T180" i="3"/>
  <c r="T129" i="3" s="1"/>
  <c r="U180" i="3"/>
  <c r="U129" i="3" s="1"/>
  <c r="V180" i="3"/>
  <c r="V129" i="3" s="1"/>
  <c r="W180" i="3"/>
  <c r="W129" i="3" s="1"/>
  <c r="X180" i="3"/>
  <c r="X129" i="3" s="1"/>
  <c r="Y180" i="3"/>
  <c r="Y129" i="3" s="1"/>
  <c r="Z180" i="3"/>
  <c r="Z129" i="3" s="1"/>
  <c r="AA180" i="3"/>
  <c r="AA129" i="3" s="1"/>
  <c r="AB180" i="3"/>
  <c r="AB129" i="3" s="1"/>
  <c r="AC180" i="3"/>
  <c r="AC129" i="3" s="1"/>
  <c r="AD180" i="3"/>
  <c r="AD129" i="3" s="1"/>
  <c r="AE180" i="3"/>
  <c r="AE129" i="3" s="1"/>
  <c r="AF180" i="3"/>
  <c r="AF129" i="3" s="1"/>
  <c r="AG180" i="3"/>
  <c r="AG129" i="3" s="1"/>
  <c r="AH180" i="3"/>
  <c r="AH129" i="3" s="1"/>
  <c r="AI180" i="3"/>
  <c r="AI129" i="3" s="1"/>
  <c r="AJ180" i="3"/>
  <c r="AJ129" i="3" s="1"/>
  <c r="AK180" i="3"/>
  <c r="AK129" i="3" s="1"/>
  <c r="AL180" i="3"/>
  <c r="AL129" i="3" s="1"/>
  <c r="AM180" i="3"/>
  <c r="AM129" i="3" s="1"/>
  <c r="AN180" i="3"/>
  <c r="AN129" i="3" s="1"/>
  <c r="AO180" i="3"/>
  <c r="AO129" i="3" s="1"/>
  <c r="AP180" i="3"/>
  <c r="AP129" i="3" s="1"/>
  <c r="O124" i="3"/>
  <c r="O127" i="3" s="1"/>
  <c r="P124" i="3"/>
  <c r="Q124" i="3"/>
  <c r="Q127" i="3" s="1"/>
  <c r="R124" i="3"/>
  <c r="S124" i="3"/>
  <c r="S127" i="3" s="1"/>
  <c r="T124" i="3"/>
  <c r="U124" i="3"/>
  <c r="V124" i="3"/>
  <c r="W124" i="3"/>
  <c r="X124" i="3"/>
  <c r="Y124" i="3"/>
  <c r="Z124" i="3"/>
  <c r="AA124" i="3"/>
  <c r="AB124" i="3"/>
  <c r="AB127" i="3" s="1"/>
  <c r="AC124" i="3"/>
  <c r="AD124" i="3"/>
  <c r="AE124" i="3"/>
  <c r="AE127" i="3" s="1"/>
  <c r="AF124" i="3"/>
  <c r="AF127" i="3" s="1"/>
  <c r="AG124" i="3"/>
  <c r="AG127" i="3" s="1"/>
  <c r="AH124" i="3"/>
  <c r="AH127" i="3" s="1"/>
  <c r="AI124" i="3"/>
  <c r="AJ124" i="3"/>
  <c r="AK124" i="3"/>
  <c r="AL124" i="3"/>
  <c r="AM124" i="3"/>
  <c r="AN124" i="3"/>
  <c r="AN127" i="3" s="1"/>
  <c r="AO124" i="3"/>
  <c r="AP124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O215" i="3"/>
  <c r="O232" i="3" s="1"/>
  <c r="P215" i="3"/>
  <c r="P232" i="3" s="1"/>
  <c r="Q215" i="3"/>
  <c r="Q232" i="3" s="1"/>
  <c r="R215" i="3"/>
  <c r="R232" i="3" s="1"/>
  <c r="S215" i="3"/>
  <c r="S232" i="3" s="1"/>
  <c r="T215" i="3"/>
  <c r="T232" i="3" s="1"/>
  <c r="U215" i="3"/>
  <c r="U232" i="3" s="1"/>
  <c r="V215" i="3"/>
  <c r="V232" i="3" s="1"/>
  <c r="W215" i="3"/>
  <c r="W232" i="3" s="1"/>
  <c r="X215" i="3"/>
  <c r="X232" i="3" s="1"/>
  <c r="Y215" i="3"/>
  <c r="Y232" i="3" s="1"/>
  <c r="Z215" i="3"/>
  <c r="Z232" i="3" s="1"/>
  <c r="AA215" i="3"/>
  <c r="AA232" i="3" s="1"/>
  <c r="AB215" i="3"/>
  <c r="AB232" i="3" s="1"/>
  <c r="AC215" i="3"/>
  <c r="AC232" i="3" s="1"/>
  <c r="AD215" i="3"/>
  <c r="AD232" i="3" s="1"/>
  <c r="AE215" i="3"/>
  <c r="AE232" i="3" s="1"/>
  <c r="AF215" i="3"/>
  <c r="AF232" i="3" s="1"/>
  <c r="AG215" i="3"/>
  <c r="AG232" i="3" s="1"/>
  <c r="AH215" i="3"/>
  <c r="AH232" i="3" s="1"/>
  <c r="AI215" i="3"/>
  <c r="AI232" i="3" s="1"/>
  <c r="AJ215" i="3"/>
  <c r="AJ232" i="3" s="1"/>
  <c r="AK215" i="3"/>
  <c r="AK232" i="3" s="1"/>
  <c r="AL215" i="3"/>
  <c r="AL232" i="3" s="1"/>
  <c r="AM215" i="3"/>
  <c r="AM232" i="3" s="1"/>
  <c r="AN215" i="3"/>
  <c r="AN232" i="3" s="1"/>
  <c r="AO215" i="3"/>
  <c r="AO232" i="3" s="1"/>
  <c r="AP215" i="3"/>
  <c r="AP232" i="3" s="1"/>
  <c r="O216" i="3"/>
  <c r="O228" i="3" s="1"/>
  <c r="P216" i="3"/>
  <c r="P228" i="3" s="1"/>
  <c r="Q216" i="3"/>
  <c r="Q228" i="3" s="1"/>
  <c r="R216" i="3"/>
  <c r="R228" i="3" s="1"/>
  <c r="S216" i="3"/>
  <c r="S228" i="3" s="1"/>
  <c r="T216" i="3"/>
  <c r="T228" i="3" s="1"/>
  <c r="U216" i="3"/>
  <c r="U228" i="3" s="1"/>
  <c r="V216" i="3"/>
  <c r="V228" i="3" s="1"/>
  <c r="W216" i="3"/>
  <c r="W228" i="3" s="1"/>
  <c r="X216" i="3"/>
  <c r="X228" i="3" s="1"/>
  <c r="Y216" i="3"/>
  <c r="Y228" i="3" s="1"/>
  <c r="Z216" i="3"/>
  <c r="Z228" i="3" s="1"/>
  <c r="AA216" i="3"/>
  <c r="AA228" i="3" s="1"/>
  <c r="AB216" i="3"/>
  <c r="AB228" i="3" s="1"/>
  <c r="AC216" i="3"/>
  <c r="AC228" i="3" s="1"/>
  <c r="AD216" i="3"/>
  <c r="AD228" i="3" s="1"/>
  <c r="AE216" i="3"/>
  <c r="AE228" i="3" s="1"/>
  <c r="AF216" i="3"/>
  <c r="AF228" i="3" s="1"/>
  <c r="AG216" i="3"/>
  <c r="AG228" i="3" s="1"/>
  <c r="AH216" i="3"/>
  <c r="AH228" i="3" s="1"/>
  <c r="AI216" i="3"/>
  <c r="AI228" i="3" s="1"/>
  <c r="AJ216" i="3"/>
  <c r="AJ228" i="3" s="1"/>
  <c r="AK216" i="3"/>
  <c r="AK228" i="3" s="1"/>
  <c r="AL216" i="3"/>
  <c r="AL228" i="3" s="1"/>
  <c r="AM216" i="3"/>
  <c r="AM228" i="3" s="1"/>
  <c r="AN216" i="3"/>
  <c r="AN228" i="3" s="1"/>
  <c r="AO216" i="3"/>
  <c r="AO228" i="3" s="1"/>
  <c r="AP216" i="3"/>
  <c r="AP228" i="3" s="1"/>
  <c r="O217" i="3"/>
  <c r="O231" i="3" s="1"/>
  <c r="P217" i="3"/>
  <c r="P231" i="3" s="1"/>
  <c r="Q217" i="3"/>
  <c r="Q231" i="3" s="1"/>
  <c r="R217" i="3"/>
  <c r="R231" i="3" s="1"/>
  <c r="S217" i="3"/>
  <c r="S231" i="3" s="1"/>
  <c r="T217" i="3"/>
  <c r="T231" i="3" s="1"/>
  <c r="U217" i="3"/>
  <c r="U231" i="3" s="1"/>
  <c r="V217" i="3"/>
  <c r="V231" i="3" s="1"/>
  <c r="W217" i="3"/>
  <c r="W231" i="3" s="1"/>
  <c r="X217" i="3"/>
  <c r="X231" i="3" s="1"/>
  <c r="Y217" i="3"/>
  <c r="Y231" i="3" s="1"/>
  <c r="Z217" i="3"/>
  <c r="Z231" i="3" s="1"/>
  <c r="AA217" i="3"/>
  <c r="AA231" i="3" s="1"/>
  <c r="AB217" i="3"/>
  <c r="AB231" i="3" s="1"/>
  <c r="AC217" i="3"/>
  <c r="AC231" i="3" s="1"/>
  <c r="AD217" i="3"/>
  <c r="AD231" i="3" s="1"/>
  <c r="AE217" i="3"/>
  <c r="AE231" i="3" s="1"/>
  <c r="AF217" i="3"/>
  <c r="AF231" i="3" s="1"/>
  <c r="AG217" i="3"/>
  <c r="AG231" i="3" s="1"/>
  <c r="AH217" i="3"/>
  <c r="AH231" i="3" s="1"/>
  <c r="AI217" i="3"/>
  <c r="AI231" i="3" s="1"/>
  <c r="AJ217" i="3"/>
  <c r="AJ231" i="3" s="1"/>
  <c r="AK217" i="3"/>
  <c r="AK231" i="3" s="1"/>
  <c r="AL217" i="3"/>
  <c r="AL231" i="3" s="1"/>
  <c r="AM217" i="3"/>
  <c r="AM231" i="3" s="1"/>
  <c r="AN217" i="3"/>
  <c r="AN231" i="3" s="1"/>
  <c r="AO217" i="3"/>
  <c r="AO231" i="3" s="1"/>
  <c r="AP217" i="3"/>
  <c r="AP231" i="3" s="1"/>
  <c r="O218" i="3"/>
  <c r="O229" i="3" s="1"/>
  <c r="P218" i="3"/>
  <c r="P229" i="3" s="1"/>
  <c r="Q218" i="3"/>
  <c r="Q229" i="3" s="1"/>
  <c r="R218" i="3"/>
  <c r="R229" i="3" s="1"/>
  <c r="S218" i="3"/>
  <c r="S229" i="3" s="1"/>
  <c r="T218" i="3"/>
  <c r="T229" i="3" s="1"/>
  <c r="U218" i="3"/>
  <c r="U229" i="3" s="1"/>
  <c r="V218" i="3"/>
  <c r="V229" i="3" s="1"/>
  <c r="W218" i="3"/>
  <c r="W229" i="3" s="1"/>
  <c r="X218" i="3"/>
  <c r="X229" i="3" s="1"/>
  <c r="Y218" i="3"/>
  <c r="Y229" i="3" s="1"/>
  <c r="Z218" i="3"/>
  <c r="Z229" i="3" s="1"/>
  <c r="AA218" i="3"/>
  <c r="AA229" i="3" s="1"/>
  <c r="AB218" i="3"/>
  <c r="AB229" i="3" s="1"/>
  <c r="AC218" i="3"/>
  <c r="AC229" i="3" s="1"/>
  <c r="AD218" i="3"/>
  <c r="AD229" i="3" s="1"/>
  <c r="AE218" i="3"/>
  <c r="AE229" i="3" s="1"/>
  <c r="AF218" i="3"/>
  <c r="AF229" i="3" s="1"/>
  <c r="AG218" i="3"/>
  <c r="AG229" i="3" s="1"/>
  <c r="AH218" i="3"/>
  <c r="AH229" i="3" s="1"/>
  <c r="AI218" i="3"/>
  <c r="AI229" i="3" s="1"/>
  <c r="AJ218" i="3"/>
  <c r="AJ229" i="3" s="1"/>
  <c r="AK218" i="3"/>
  <c r="AK229" i="3" s="1"/>
  <c r="AL218" i="3"/>
  <c r="AL229" i="3" s="1"/>
  <c r="AM218" i="3"/>
  <c r="AM229" i="3" s="1"/>
  <c r="AN218" i="3"/>
  <c r="AN229" i="3" s="1"/>
  <c r="AO218" i="3"/>
  <c r="AO229" i="3" s="1"/>
  <c r="AP218" i="3"/>
  <c r="AP229" i="3" s="1"/>
  <c r="O219" i="3"/>
  <c r="O230" i="3" s="1"/>
  <c r="P219" i="3"/>
  <c r="P230" i="3" s="1"/>
  <c r="Q219" i="3"/>
  <c r="Q230" i="3" s="1"/>
  <c r="R219" i="3"/>
  <c r="R230" i="3" s="1"/>
  <c r="S219" i="3"/>
  <c r="S230" i="3" s="1"/>
  <c r="T219" i="3"/>
  <c r="T230" i="3" s="1"/>
  <c r="U219" i="3"/>
  <c r="U230" i="3" s="1"/>
  <c r="V219" i="3"/>
  <c r="V230" i="3" s="1"/>
  <c r="W219" i="3"/>
  <c r="W230" i="3" s="1"/>
  <c r="X219" i="3"/>
  <c r="X230" i="3" s="1"/>
  <c r="Y219" i="3"/>
  <c r="Y230" i="3" s="1"/>
  <c r="Z219" i="3"/>
  <c r="Z230" i="3" s="1"/>
  <c r="AA219" i="3"/>
  <c r="AA230" i="3" s="1"/>
  <c r="AB219" i="3"/>
  <c r="AB230" i="3" s="1"/>
  <c r="AC219" i="3"/>
  <c r="AC230" i="3" s="1"/>
  <c r="AD219" i="3"/>
  <c r="AD230" i="3" s="1"/>
  <c r="AE219" i="3"/>
  <c r="AE230" i="3" s="1"/>
  <c r="AF219" i="3"/>
  <c r="AF230" i="3" s="1"/>
  <c r="AG219" i="3"/>
  <c r="AG230" i="3" s="1"/>
  <c r="AH219" i="3"/>
  <c r="AH230" i="3" s="1"/>
  <c r="AI219" i="3"/>
  <c r="AI230" i="3" s="1"/>
  <c r="AJ219" i="3"/>
  <c r="AJ230" i="3" s="1"/>
  <c r="AK219" i="3"/>
  <c r="AK230" i="3" s="1"/>
  <c r="AL219" i="3"/>
  <c r="AL230" i="3" s="1"/>
  <c r="AM219" i="3"/>
  <c r="AM230" i="3" s="1"/>
  <c r="AN219" i="3"/>
  <c r="AN230" i="3" s="1"/>
  <c r="AO219" i="3"/>
  <c r="AO230" i="3" s="1"/>
  <c r="AP219" i="3"/>
  <c r="AP230" i="3" s="1"/>
  <c r="O220" i="3"/>
  <c r="O233" i="3" s="1"/>
  <c r="P220" i="3"/>
  <c r="P233" i="3" s="1"/>
  <c r="Q220" i="3"/>
  <c r="Q233" i="3" s="1"/>
  <c r="R220" i="3"/>
  <c r="R233" i="3" s="1"/>
  <c r="S220" i="3"/>
  <c r="S233" i="3" s="1"/>
  <c r="T220" i="3"/>
  <c r="T233" i="3" s="1"/>
  <c r="U220" i="3"/>
  <c r="U233" i="3" s="1"/>
  <c r="V220" i="3"/>
  <c r="V233" i="3" s="1"/>
  <c r="W220" i="3"/>
  <c r="W233" i="3" s="1"/>
  <c r="X220" i="3"/>
  <c r="X233" i="3" s="1"/>
  <c r="Y220" i="3"/>
  <c r="Y233" i="3" s="1"/>
  <c r="Z220" i="3"/>
  <c r="Z233" i="3" s="1"/>
  <c r="AA220" i="3"/>
  <c r="AA233" i="3" s="1"/>
  <c r="AB220" i="3"/>
  <c r="AB233" i="3" s="1"/>
  <c r="AC220" i="3"/>
  <c r="AC233" i="3" s="1"/>
  <c r="AD220" i="3"/>
  <c r="AD233" i="3" s="1"/>
  <c r="AE220" i="3"/>
  <c r="AE233" i="3" s="1"/>
  <c r="AF220" i="3"/>
  <c r="AF233" i="3" s="1"/>
  <c r="AG220" i="3"/>
  <c r="AG233" i="3" s="1"/>
  <c r="AH220" i="3"/>
  <c r="AH233" i="3" s="1"/>
  <c r="AI220" i="3"/>
  <c r="AI233" i="3" s="1"/>
  <c r="AJ220" i="3"/>
  <c r="AJ233" i="3" s="1"/>
  <c r="AK220" i="3"/>
  <c r="AK233" i="3" s="1"/>
  <c r="AL220" i="3"/>
  <c r="AL233" i="3" s="1"/>
  <c r="AM220" i="3"/>
  <c r="AM233" i="3" s="1"/>
  <c r="AN220" i="3"/>
  <c r="AN233" i="3" s="1"/>
  <c r="AO220" i="3"/>
  <c r="AO233" i="3" s="1"/>
  <c r="AP220" i="3"/>
  <c r="AP233" i="3" s="1"/>
  <c r="N45" i="8" l="1"/>
  <c r="N48" i="8"/>
  <c r="M48" i="8"/>
  <c r="M49" i="8" s="1"/>
  <c r="M45" i="8"/>
  <c r="Q45" i="8"/>
  <c r="Q48" i="8"/>
  <c r="Q49" i="8" s="1"/>
  <c r="P48" i="8"/>
  <c r="P49" i="8" s="1"/>
  <c r="P45" i="8"/>
  <c r="O45" i="8"/>
  <c r="O48" i="8"/>
  <c r="O49" i="8" s="1"/>
  <c r="Y48" i="8"/>
  <c r="L45" i="8"/>
  <c r="L48" i="8"/>
  <c r="L49" i="8" s="1"/>
  <c r="N49" i="8"/>
  <c r="T14" i="6"/>
  <c r="S16" i="6"/>
  <c r="K36" i="14"/>
  <c r="U36" i="14"/>
  <c r="AD36" i="14"/>
  <c r="Q36" i="14"/>
  <c r="AB36" i="14"/>
  <c r="P36" i="14"/>
  <c r="D36" i="14"/>
  <c r="L36" i="14"/>
  <c r="V36" i="14"/>
  <c r="I36" i="14"/>
  <c r="H36" i="14"/>
  <c r="S36" i="14"/>
  <c r="E36" i="14"/>
  <c r="AA36" i="14"/>
  <c r="O36" i="14"/>
  <c r="X36" i="14"/>
  <c r="W36" i="14"/>
  <c r="J36" i="14"/>
  <c r="AF36" i="14"/>
  <c r="G36" i="14"/>
  <c r="F36" i="14"/>
  <c r="AC36" i="14"/>
  <c r="Z36" i="14"/>
  <c r="N36" i="14"/>
  <c r="T36" i="14"/>
  <c r="AE36" i="14"/>
  <c r="R36" i="14"/>
  <c r="Y36" i="14"/>
  <c r="M36" i="14"/>
  <c r="N18" i="7"/>
  <c r="N15" i="7"/>
  <c r="L77" i="8"/>
  <c r="R69" i="8"/>
  <c r="L18" i="7"/>
  <c r="J21" i="6"/>
  <c r="L17" i="7"/>
  <c r="L22" i="7"/>
  <c r="L20" i="7"/>
  <c r="L21" i="7"/>
  <c r="E13" i="14" s="1"/>
  <c r="L16" i="7"/>
  <c r="N19" i="7"/>
  <c r="G62" i="14" s="1"/>
  <c r="N16" i="7"/>
  <c r="M19" i="7"/>
  <c r="F62" i="14" s="1"/>
  <c r="M16" i="7"/>
  <c r="N22" i="7"/>
  <c r="N17" i="7"/>
  <c r="M20" i="7"/>
  <c r="M21" i="7"/>
  <c r="F13" i="14" s="1"/>
  <c r="M22" i="7"/>
  <c r="M17" i="7"/>
  <c r="N21" i="7"/>
  <c r="G13" i="14" s="1"/>
  <c r="N20" i="7"/>
  <c r="M18" i="7"/>
  <c r="M15" i="7"/>
  <c r="L21" i="6"/>
  <c r="L20" i="6"/>
  <c r="K20" i="6"/>
  <c r="Q39" i="8"/>
  <c r="L12" i="7"/>
  <c r="L73" i="9" s="1"/>
  <c r="L15" i="7"/>
  <c r="L19" i="7"/>
  <c r="E62" i="14" s="1"/>
  <c r="S12" i="7"/>
  <c r="U12" i="7"/>
  <c r="Q12" i="7"/>
  <c r="AM12" i="7"/>
  <c r="N12" i="7"/>
  <c r="Y12" i="7"/>
  <c r="X12" i="7"/>
  <c r="T12" i="7"/>
  <c r="AE12" i="7"/>
  <c r="R12" i="7"/>
  <c r="AC12" i="7"/>
  <c r="AB12" i="7"/>
  <c r="AA12" i="7"/>
  <c r="Z12" i="7"/>
  <c r="AK12" i="7"/>
  <c r="AJ12" i="7"/>
  <c r="AI12" i="7"/>
  <c r="W12" i="7"/>
  <c r="AG12" i="7"/>
  <c r="AF12" i="7"/>
  <c r="AD12" i="7"/>
  <c r="P12" i="7"/>
  <c r="O12" i="7"/>
  <c r="AL12" i="7"/>
  <c r="M12" i="7"/>
  <c r="AH12" i="7"/>
  <c r="V12" i="7"/>
  <c r="AK39" i="8"/>
  <c r="Y39" i="8"/>
  <c r="M39" i="8"/>
  <c r="AL39" i="8"/>
  <c r="Z39" i="8"/>
  <c r="N39" i="8"/>
  <c r="AD39" i="8"/>
  <c r="R39" i="8"/>
  <c r="N38" i="7"/>
  <c r="V39" i="7"/>
  <c r="AC39" i="8"/>
  <c r="S39" i="8"/>
  <c r="AI7" i="6"/>
  <c r="W7" i="6"/>
  <c r="K7" i="6"/>
  <c r="V41" i="7"/>
  <c r="L39" i="8"/>
  <c r="P38" i="7"/>
  <c r="AL29" i="8"/>
  <c r="AL47" i="8" s="1"/>
  <c r="Z29" i="8"/>
  <c r="Z47" i="8" s="1"/>
  <c r="AK29" i="8"/>
  <c r="AK47" i="8" s="1"/>
  <c r="AJ29" i="8"/>
  <c r="AJ47" i="8" s="1"/>
  <c r="AI29" i="8"/>
  <c r="AI47" i="8" s="1"/>
  <c r="T39" i="8"/>
  <c r="AJ38" i="7"/>
  <c r="X38" i="7"/>
  <c r="AF39" i="7"/>
  <c r="AH29" i="8"/>
  <c r="AH47" i="8" s="1"/>
  <c r="V38" i="7"/>
  <c r="AD39" i="7"/>
  <c r="AH41" i="7"/>
  <c r="AF29" i="8"/>
  <c r="AF47" i="8" s="1"/>
  <c r="T29" i="8"/>
  <c r="T47" i="8" s="1"/>
  <c r="AE38" i="7"/>
  <c r="S38" i="7"/>
  <c r="AM39" i="7"/>
  <c r="AA39" i="7"/>
  <c r="O39" i="7"/>
  <c r="AE41" i="7"/>
  <c r="S41" i="7"/>
  <c r="AJ7" i="6"/>
  <c r="X7" i="6"/>
  <c r="L7" i="6"/>
  <c r="O38" i="7"/>
  <c r="AB33" i="8"/>
  <c r="AB45" i="8" s="1"/>
  <c r="Y29" i="8"/>
  <c r="Y47" i="8" s="1"/>
  <c r="AE69" i="8"/>
  <c r="S69" i="8"/>
  <c r="AM33" i="8"/>
  <c r="AM45" i="8" s="1"/>
  <c r="AA33" i="8"/>
  <c r="AA45" i="8" s="1"/>
  <c r="X29" i="8"/>
  <c r="X47" i="8" s="1"/>
  <c r="AD69" i="8"/>
  <c r="AB37" i="6"/>
  <c r="P37" i="6"/>
  <c r="AL38" i="7"/>
  <c r="AL33" i="8"/>
  <c r="AL45" i="8" s="1"/>
  <c r="Z33" i="8"/>
  <c r="Z45" i="8" s="1"/>
  <c r="W29" i="8"/>
  <c r="W47" i="8" s="1"/>
  <c r="AC69" i="8"/>
  <c r="AF69" i="8"/>
  <c r="AK33" i="8"/>
  <c r="AK45" i="8" s="1"/>
  <c r="V29" i="8"/>
  <c r="V47" i="8" s="1"/>
  <c r="AB69" i="8"/>
  <c r="W38" i="7"/>
  <c r="AE39" i="7"/>
  <c r="AJ33" i="8"/>
  <c r="AJ45" i="8" s="1"/>
  <c r="X33" i="8"/>
  <c r="X45" i="8" s="1"/>
  <c r="AG29" i="8"/>
  <c r="AG47" i="8" s="1"/>
  <c r="U29" i="8"/>
  <c r="U47" i="8" s="1"/>
  <c r="AM69" i="8"/>
  <c r="AA69" i="8"/>
  <c r="AL69" i="8"/>
  <c r="Z69" i="8"/>
  <c r="AH39" i="8"/>
  <c r="V39" i="8"/>
  <c r="T69" i="8"/>
  <c r="AE29" i="8"/>
  <c r="AE47" i="8" s="1"/>
  <c r="S29" i="8"/>
  <c r="S47" i="8" s="1"/>
  <c r="AK69" i="8"/>
  <c r="Y69" i="8"/>
  <c r="AG39" i="8"/>
  <c r="U39" i="8"/>
  <c r="AC33" i="8"/>
  <c r="AC45" i="8" s="1"/>
  <c r="AF38" i="7"/>
  <c r="AB39" i="7"/>
  <c r="P39" i="7"/>
  <c r="T41" i="7"/>
  <c r="AG33" i="8"/>
  <c r="AG45" i="8" s="1"/>
  <c r="U33" i="8"/>
  <c r="U45" i="8" s="1"/>
  <c r="AD29" i="8"/>
  <c r="AD47" i="8" s="1"/>
  <c r="R29" i="8"/>
  <c r="R47" i="8" s="1"/>
  <c r="AJ69" i="8"/>
  <c r="X69" i="8"/>
  <c r="AF39" i="8"/>
  <c r="AF33" i="8"/>
  <c r="AF45" i="8" s="1"/>
  <c r="T33" i="8"/>
  <c r="T45" i="8" s="1"/>
  <c r="AI69" i="8"/>
  <c r="W69" i="8"/>
  <c r="AE39" i="8"/>
  <c r="AE33" i="8"/>
  <c r="AE45" i="8" s="1"/>
  <c r="S33" i="8"/>
  <c r="S45" i="8" s="1"/>
  <c r="AH69" i="8"/>
  <c r="V69" i="8"/>
  <c r="J37" i="6"/>
  <c r="AC38" i="7"/>
  <c r="Q38" i="7"/>
  <c r="AK39" i="7"/>
  <c r="Y39" i="7"/>
  <c r="AC41" i="7"/>
  <c r="Q41" i="7"/>
  <c r="AD33" i="8"/>
  <c r="AD45" i="8" s="1"/>
  <c r="R33" i="8"/>
  <c r="AM29" i="8"/>
  <c r="AM47" i="8" s="1"/>
  <c r="AA29" i="8"/>
  <c r="AA47" i="8" s="1"/>
  <c r="AG69" i="8"/>
  <c r="U69" i="8"/>
  <c r="V33" i="8"/>
  <c r="V45" i="8" s="1"/>
  <c r="W33" i="8"/>
  <c r="W45" i="8" s="1"/>
  <c r="AB29" i="8"/>
  <c r="AB47" i="8" s="1"/>
  <c r="AI33" i="8"/>
  <c r="AI45" i="8" s="1"/>
  <c r="AH33" i="8"/>
  <c r="AH45" i="8" s="1"/>
  <c r="AC29" i="8"/>
  <c r="AC47" i="8" s="1"/>
  <c r="AB39" i="8"/>
  <c r="P39" i="8"/>
  <c r="AJ39" i="8"/>
  <c r="X39" i="8"/>
  <c r="AM39" i="8"/>
  <c r="AA39" i="8"/>
  <c r="O39" i="8"/>
  <c r="AI39" i="8"/>
  <c r="W39" i="8"/>
  <c r="M38" i="7"/>
  <c r="AD37" i="6"/>
  <c r="R37" i="6"/>
  <c r="Z38" i="7"/>
  <c r="AH39" i="7"/>
  <c r="AL41" i="7"/>
  <c r="Z41" i="7"/>
  <c r="N41" i="7"/>
  <c r="AC37" i="6"/>
  <c r="Q37" i="6"/>
  <c r="Y38" i="7"/>
  <c r="AI37" i="6"/>
  <c r="W37" i="6"/>
  <c r="K37" i="6"/>
  <c r="AM38" i="7"/>
  <c r="AA38" i="7"/>
  <c r="AI39" i="7"/>
  <c r="W39" i="7"/>
  <c r="AM41" i="7"/>
  <c r="AA41" i="7"/>
  <c r="O41" i="7"/>
  <c r="U39" i="7"/>
  <c r="AH37" i="6"/>
  <c r="V37" i="6"/>
  <c r="AG37" i="6"/>
  <c r="U37" i="6"/>
  <c r="M7" i="6"/>
  <c r="AD38" i="7"/>
  <c r="R38" i="7"/>
  <c r="AL39" i="7"/>
  <c r="Z39" i="7"/>
  <c r="N39" i="7"/>
  <c r="AD41" i="7"/>
  <c r="R41" i="7"/>
  <c r="AG39" i="7"/>
  <c r="M39" i="7"/>
  <c r="AE37" i="6"/>
  <c r="S37" i="6"/>
  <c r="AA37" i="6"/>
  <c r="O37" i="6"/>
  <c r="N37" i="6"/>
  <c r="Z37" i="6"/>
  <c r="AG7" i="6"/>
  <c r="AK37" i="6"/>
  <c r="Y37" i="6"/>
  <c r="M37" i="6"/>
  <c r="AK38" i="7"/>
  <c r="AJ37" i="6"/>
  <c r="X37" i="6"/>
  <c r="L37" i="6"/>
  <c r="AK41" i="7"/>
  <c r="Y41" i="7"/>
  <c r="M41" i="7"/>
  <c r="AK7" i="6"/>
  <c r="AF37" i="6"/>
  <c r="T37" i="6"/>
  <c r="J7" i="6"/>
  <c r="J19" i="6"/>
  <c r="J23" i="6" s="1"/>
  <c r="V7" i="6"/>
  <c r="Y7" i="6"/>
  <c r="R39" i="7"/>
  <c r="S39" i="7"/>
  <c r="K19" i="6"/>
  <c r="P7" i="6"/>
  <c r="L19" i="6"/>
  <c r="AH38" i="7"/>
  <c r="AI38" i="7"/>
  <c r="AB7" i="6"/>
  <c r="AH7" i="6"/>
  <c r="U38" i="7"/>
  <c r="AJ39" i="7"/>
  <c r="X40" i="7"/>
  <c r="AB41" i="7"/>
  <c r="P41" i="7"/>
  <c r="AB38" i="7"/>
  <c r="AG41" i="7"/>
  <c r="AJ41" i="7"/>
  <c r="X41" i="7"/>
  <c r="U7" i="6"/>
  <c r="AI41" i="7"/>
  <c r="W41" i="7"/>
  <c r="U41" i="7"/>
  <c r="AF41" i="7"/>
  <c r="AC39" i="7"/>
  <c r="AG38" i="7"/>
  <c r="Q39" i="7"/>
  <c r="X39" i="7"/>
  <c r="AE7" i="6"/>
  <c r="AD7" i="6"/>
  <c r="R7" i="6"/>
  <c r="AC7" i="6"/>
  <c r="Q7" i="6"/>
  <c r="AF7" i="6"/>
  <c r="T7" i="6"/>
  <c r="S7" i="6"/>
  <c r="Z7" i="6"/>
  <c r="N7" i="6"/>
  <c r="O7" i="6"/>
  <c r="AA7" i="6"/>
  <c r="AF144" i="3"/>
  <c r="P127" i="3"/>
  <c r="P144" i="3" s="1"/>
  <c r="Q144" i="3"/>
  <c r="AN144" i="3"/>
  <c r="AB144" i="3"/>
  <c r="AP127" i="3"/>
  <c r="AP144" i="3" s="1"/>
  <c r="AD127" i="3"/>
  <c r="AD144" i="3" s="1"/>
  <c r="R127" i="3"/>
  <c r="R144" i="3" s="1"/>
  <c r="S144" i="3"/>
  <c r="AH144" i="3"/>
  <c r="AO127" i="3"/>
  <c r="AO144" i="3" s="1"/>
  <c r="AC127" i="3"/>
  <c r="AC144" i="3" s="1"/>
  <c r="AG144" i="3"/>
  <c r="AM127" i="3"/>
  <c r="AM144" i="3" s="1"/>
  <c r="AA127" i="3"/>
  <c r="AA144" i="3" s="1"/>
  <c r="AE144" i="3"/>
  <c r="AL127" i="3"/>
  <c r="AL144" i="3" s="1"/>
  <c r="Z127" i="3"/>
  <c r="Z144" i="3" s="1"/>
  <c r="AK127" i="3"/>
  <c r="AK144" i="3" s="1"/>
  <c r="Y127" i="3"/>
  <c r="Y144" i="3" s="1"/>
  <c r="AJ127" i="3"/>
  <c r="AJ144" i="3" s="1"/>
  <c r="X127" i="3"/>
  <c r="X144" i="3" s="1"/>
  <c r="AI127" i="3"/>
  <c r="AI144" i="3" s="1"/>
  <c r="W127" i="3"/>
  <c r="W144" i="3" s="1"/>
  <c r="V127" i="3"/>
  <c r="V144" i="3" s="1"/>
  <c r="U127" i="3"/>
  <c r="U144" i="3" s="1"/>
  <c r="T127" i="3"/>
  <c r="T144" i="3" s="1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F59" i="14" l="1"/>
  <c r="F83" i="14"/>
  <c r="N98" i="7"/>
  <c r="G58" i="14"/>
  <c r="G81" i="14"/>
  <c r="M98" i="7"/>
  <c r="F58" i="14"/>
  <c r="F81" i="14"/>
  <c r="G59" i="14"/>
  <c r="G83" i="14"/>
  <c r="N96" i="7"/>
  <c r="G86" i="14"/>
  <c r="G61" i="14"/>
  <c r="M96" i="7"/>
  <c r="F86" i="14"/>
  <c r="F61" i="14"/>
  <c r="G63" i="14"/>
  <c r="G90" i="14"/>
  <c r="E83" i="14"/>
  <c r="E59" i="14"/>
  <c r="M95" i="7"/>
  <c r="F85" i="14"/>
  <c r="F60" i="14"/>
  <c r="E63" i="14"/>
  <c r="E90" i="14"/>
  <c r="M93" i="7"/>
  <c r="F94" i="14"/>
  <c r="L93" i="7"/>
  <c r="E94" i="14"/>
  <c r="L98" i="7"/>
  <c r="E81" i="14"/>
  <c r="E58" i="14"/>
  <c r="L95" i="7"/>
  <c r="E60" i="14"/>
  <c r="E85" i="14"/>
  <c r="F63" i="14"/>
  <c r="F90" i="14"/>
  <c r="N95" i="7"/>
  <c r="G85" i="14"/>
  <c r="G60" i="14"/>
  <c r="L96" i="7"/>
  <c r="E61" i="14"/>
  <c r="E86" i="14"/>
  <c r="N93" i="7"/>
  <c r="G94" i="14"/>
  <c r="M8" i="8"/>
  <c r="AK48" i="8"/>
  <c r="AK49" i="8" s="1"/>
  <c r="AI48" i="8"/>
  <c r="AI49" i="8" s="1"/>
  <c r="U48" i="8"/>
  <c r="U49" i="8" s="1"/>
  <c r="AB48" i="8"/>
  <c r="AB49" i="8" s="1"/>
  <c r="X48" i="8"/>
  <c r="X49" i="8" s="1"/>
  <c r="AM48" i="8"/>
  <c r="AM49" i="8" s="1"/>
  <c r="Y49" i="8"/>
  <c r="V48" i="8"/>
  <c r="V49" i="8" s="1"/>
  <c r="L8" i="8"/>
  <c r="Z48" i="8"/>
  <c r="Z49" i="8" s="1"/>
  <c r="T48" i="8"/>
  <c r="T49" i="8" s="1"/>
  <c r="AC48" i="8"/>
  <c r="AC49" i="8" s="1"/>
  <c r="R45" i="8"/>
  <c r="R48" i="8"/>
  <c r="R49" i="8" s="1"/>
  <c r="AH48" i="8"/>
  <c r="AH49" i="8" s="1"/>
  <c r="AG48" i="8"/>
  <c r="AG49" i="8" s="1"/>
  <c r="S48" i="8"/>
  <c r="S49" i="8" s="1"/>
  <c r="AD48" i="8"/>
  <c r="AD49" i="8" s="1"/>
  <c r="AA48" i="8"/>
  <c r="AA49" i="8" s="1"/>
  <c r="AE48" i="8"/>
  <c r="AE49" i="8" s="1"/>
  <c r="N8" i="8"/>
  <c r="AF48" i="8"/>
  <c r="AF49" i="8" s="1"/>
  <c r="AJ48" i="8"/>
  <c r="AJ49" i="8" s="1"/>
  <c r="W48" i="8"/>
  <c r="W49" i="8" s="1"/>
  <c r="AL48" i="8"/>
  <c r="AL49" i="8" s="1"/>
  <c r="L23" i="6"/>
  <c r="U14" i="6"/>
  <c r="T16" i="6"/>
  <c r="N97" i="7"/>
  <c r="N27" i="7"/>
  <c r="M97" i="7"/>
  <c r="M27" i="7"/>
  <c r="L97" i="7"/>
  <c r="L27" i="7"/>
  <c r="O8" i="8"/>
  <c r="O9" i="8" s="1"/>
  <c r="O10" i="8" s="1"/>
  <c r="N23" i="7"/>
  <c r="N26" i="7" s="1"/>
  <c r="N94" i="7"/>
  <c r="L23" i="7"/>
  <c r="L26" i="7" s="1"/>
  <c r="L94" i="7"/>
  <c r="M23" i="7"/>
  <c r="M26" i="7" s="1"/>
  <c r="M94" i="7"/>
  <c r="P8" i="8"/>
  <c r="P9" i="8" s="1"/>
  <c r="P10" i="8" s="1"/>
  <c r="N25" i="7"/>
  <c r="Q8" i="8"/>
  <c r="Q9" i="8" s="1"/>
  <c r="Q10" i="8" s="1"/>
  <c r="M25" i="7"/>
  <c r="K23" i="6"/>
  <c r="L25" i="7"/>
  <c r="X8" i="6"/>
  <c r="AH8" i="6"/>
  <c r="AI8" i="6"/>
  <c r="W8" i="6"/>
  <c r="V8" i="6"/>
  <c r="K8" i="6"/>
  <c r="AJ8" i="6"/>
  <c r="L8" i="6"/>
  <c r="S8" i="6"/>
  <c r="M75" i="9"/>
  <c r="M74" i="9"/>
  <c r="M77" i="9"/>
  <c r="M76" i="9"/>
  <c r="M78" i="9"/>
  <c r="AB8" i="6"/>
  <c r="O8" i="6"/>
  <c r="U8" i="6"/>
  <c r="AG8" i="6"/>
  <c r="AC8" i="6"/>
  <c r="AK8" i="6"/>
  <c r="M8" i="6"/>
  <c r="P8" i="6"/>
  <c r="AF8" i="6"/>
  <c r="AE8" i="6"/>
  <c r="AD8" i="6"/>
  <c r="T8" i="6"/>
  <c r="Y8" i="6"/>
  <c r="AA8" i="6"/>
  <c r="R8" i="6"/>
  <c r="Q8" i="6"/>
  <c r="Z8" i="6"/>
  <c r="N8" i="6"/>
  <c r="Y5" i="3"/>
  <c r="V14" i="6" l="1"/>
  <c r="U16" i="6"/>
  <c r="AK8" i="8"/>
  <c r="Z8" i="8"/>
  <c r="AI8" i="8"/>
  <c r="Y8" i="8"/>
  <c r="Y9" i="8" s="1"/>
  <c r="Y10" i="8" s="1"/>
  <c r="AH8" i="8"/>
  <c r="W8" i="8"/>
  <c r="T8" i="8"/>
  <c r="T9" i="8" s="1"/>
  <c r="T10" i="8" s="1"/>
  <c r="AJ8" i="8"/>
  <c r="AJ13" i="8" s="1"/>
  <c r="AJ14" i="8" s="1"/>
  <c r="AF8" i="8"/>
  <c r="AF13" i="8" s="1"/>
  <c r="AF14" i="8" s="1"/>
  <c r="X8" i="8"/>
  <c r="X13" i="8" s="1"/>
  <c r="X14" i="8" s="1"/>
  <c r="AM8" i="8"/>
  <c r="AM9" i="8" s="1"/>
  <c r="AM10" i="8" s="1"/>
  <c r="AL8" i="8"/>
  <c r="AL13" i="8" s="1"/>
  <c r="AL14" i="8" s="1"/>
  <c r="V8" i="8"/>
  <c r="V13" i="8" s="1"/>
  <c r="V14" i="8" s="1"/>
  <c r="AA8" i="8"/>
  <c r="AA9" i="8" s="1"/>
  <c r="AA10" i="8" s="1"/>
  <c r="K24" i="6"/>
  <c r="L25" i="6"/>
  <c r="L24" i="6"/>
  <c r="AG8" i="8"/>
  <c r="U8" i="8"/>
  <c r="AE8" i="8"/>
  <c r="AC8" i="8"/>
  <c r="AB8" i="8"/>
  <c r="S8" i="8"/>
  <c r="AD8" i="8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W10" i="3"/>
  <c r="W12" i="3" s="1"/>
  <c r="O12" i="3"/>
  <c r="P12" i="3"/>
  <c r="Q12" i="3"/>
  <c r="R12" i="3"/>
  <c r="S12" i="3"/>
  <c r="T12" i="3"/>
  <c r="U12" i="3"/>
  <c r="V12" i="3"/>
  <c r="AP12" i="3"/>
  <c r="W14" i="6" l="1"/>
  <c r="V16" i="6"/>
  <c r="Y13" i="8"/>
  <c r="Y14" i="8" s="1"/>
  <c r="R8" i="8"/>
  <c r="R13" i="8" s="1"/>
  <c r="R14" i="8" s="1"/>
  <c r="AL9" i="8"/>
  <c r="AL10" i="8" s="1"/>
  <c r="T13" i="8"/>
  <c r="T14" i="8" s="1"/>
  <c r="AM13" i="8"/>
  <c r="AM14" i="8" s="1"/>
  <c r="V9" i="8"/>
  <c r="V10" i="8" s="1"/>
  <c r="X9" i="8"/>
  <c r="X10" i="8" s="1"/>
  <c r="AF9" i="8"/>
  <c r="AF10" i="8" s="1"/>
  <c r="AJ9" i="8"/>
  <c r="AJ10" i="8" s="1"/>
  <c r="AA13" i="8"/>
  <c r="AA14" i="8" s="1"/>
  <c r="AE13" i="8"/>
  <c r="AE14" i="8" s="1"/>
  <c r="AE9" i="8"/>
  <c r="AE10" i="8" s="1"/>
  <c r="S9" i="8"/>
  <c r="S10" i="8" s="1"/>
  <c r="S13" i="8"/>
  <c r="S14" i="8" s="1"/>
  <c r="AB13" i="8"/>
  <c r="AB14" i="8" s="1"/>
  <c r="AB9" i="8"/>
  <c r="AB10" i="8" s="1"/>
  <c r="U13" i="8"/>
  <c r="U14" i="8" s="1"/>
  <c r="U9" i="8"/>
  <c r="U10" i="8" s="1"/>
  <c r="AC13" i="8"/>
  <c r="AC14" i="8" s="1"/>
  <c r="AC9" i="8"/>
  <c r="AC10" i="8" s="1"/>
  <c r="AH13" i="8"/>
  <c r="AH14" i="8" s="1"/>
  <c r="AH9" i="8"/>
  <c r="AH10" i="8" s="1"/>
  <c r="W9" i="8"/>
  <c r="W10" i="8" s="1"/>
  <c r="W13" i="8"/>
  <c r="W14" i="8" s="1"/>
  <c r="AG9" i="8"/>
  <c r="AG10" i="8" s="1"/>
  <c r="AG13" i="8"/>
  <c r="AG14" i="8" s="1"/>
  <c r="Z13" i="8"/>
  <c r="Z14" i="8" s="1"/>
  <c r="Z9" i="8"/>
  <c r="Z10" i="8" s="1"/>
  <c r="AD13" i="8"/>
  <c r="AD14" i="8" s="1"/>
  <c r="AD9" i="8"/>
  <c r="AD10" i="8" s="1"/>
  <c r="AI13" i="8"/>
  <c r="AI14" i="8" s="1"/>
  <c r="AI9" i="8"/>
  <c r="AI10" i="8" s="1"/>
  <c r="AK13" i="8"/>
  <c r="AK14" i="8" s="1"/>
  <c r="AK9" i="8"/>
  <c r="AK10" i="8" s="1"/>
  <c r="X12" i="3"/>
  <c r="X14" i="6" l="1"/>
  <c r="W16" i="6"/>
  <c r="R9" i="8"/>
  <c r="R10" i="8" s="1"/>
  <c r="Y12" i="3"/>
  <c r="Y14" i="6" l="1"/>
  <c r="X16" i="6"/>
  <c r="Z12" i="3"/>
  <c r="Z14" i="6" l="1"/>
  <c r="Y16" i="6"/>
  <c r="AA12" i="3"/>
  <c r="AA14" i="6" l="1"/>
  <c r="Z16" i="6"/>
  <c r="AB12" i="3"/>
  <c r="AB14" i="6" l="1"/>
  <c r="AA16" i="6"/>
  <c r="AC12" i="3"/>
  <c r="AC14" i="6" l="1"/>
  <c r="AB16" i="6"/>
  <c r="AD12" i="3"/>
  <c r="AD14" i="6" l="1"/>
  <c r="AC16" i="6"/>
  <c r="AE12" i="3"/>
  <c r="AE14" i="6" l="1"/>
  <c r="AD16" i="6"/>
  <c r="AF12" i="3"/>
  <c r="AF14" i="6" l="1"/>
  <c r="AE16" i="6"/>
  <c r="AG12" i="3"/>
  <c r="AG14" i="6" l="1"/>
  <c r="AF16" i="6"/>
  <c r="AH12" i="3"/>
  <c r="AH14" i="6" l="1"/>
  <c r="AG16" i="6"/>
  <c r="AI12" i="3"/>
  <c r="AI14" i="6" l="1"/>
  <c r="AH16" i="6"/>
  <c r="AJ12" i="3"/>
  <c r="AJ14" i="6" l="1"/>
  <c r="AJ16" i="6" s="1"/>
  <c r="AI16" i="6"/>
  <c r="AK12" i="3"/>
  <c r="AL12" i="3" l="1"/>
  <c r="AM12" i="3" l="1"/>
  <c r="AN12" i="3" l="1"/>
  <c r="AO12" i="3"/>
  <c r="O109" i="3" l="1"/>
  <c r="AO131" i="3"/>
  <c r="AP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P213" i="3" l="1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AP190" i="3"/>
  <c r="AO190" i="3"/>
  <c r="AN190" i="3"/>
  <c r="AM190" i="3"/>
  <c r="AM226" i="3" s="1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AA226" i="3" s="1"/>
  <c r="Z190" i="3"/>
  <c r="Y190" i="3"/>
  <c r="X190" i="3"/>
  <c r="W190" i="3"/>
  <c r="V190" i="3"/>
  <c r="U190" i="3"/>
  <c r="T190" i="3"/>
  <c r="S190" i="3"/>
  <c r="R190" i="3"/>
  <c r="Q190" i="3"/>
  <c r="P190" i="3"/>
  <c r="O190" i="3"/>
  <c r="O226" i="3" s="1"/>
  <c r="AP189" i="3"/>
  <c r="AO189" i="3"/>
  <c r="AN189" i="3"/>
  <c r="AM189" i="3"/>
  <c r="AL189" i="3"/>
  <c r="AK189" i="3"/>
  <c r="AJ189" i="3"/>
  <c r="AJ225" i="3" s="1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X225" i="3" s="1"/>
  <c r="W189" i="3"/>
  <c r="V189" i="3"/>
  <c r="U189" i="3"/>
  <c r="T189" i="3"/>
  <c r="S189" i="3"/>
  <c r="R189" i="3"/>
  <c r="Q189" i="3"/>
  <c r="P189" i="3"/>
  <c r="O189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V135" i="2"/>
  <c r="V144" i="2" s="1"/>
  <c r="U135" i="2"/>
  <c r="U144" i="2" s="1"/>
  <c r="T135" i="2"/>
  <c r="T144" i="2" s="1"/>
  <c r="S135" i="2"/>
  <c r="S144" i="2" s="1"/>
  <c r="R135" i="2"/>
  <c r="R144" i="2" s="1"/>
  <c r="Q135" i="2"/>
  <c r="Q144" i="2" s="1"/>
  <c r="P135" i="2"/>
  <c r="P144" i="2" s="1"/>
  <c r="O135" i="2"/>
  <c r="O144" i="2" s="1"/>
  <c r="N135" i="2"/>
  <c r="N144" i="2" s="1"/>
  <c r="M135" i="2"/>
  <c r="M144" i="2" s="1"/>
  <c r="L135" i="2"/>
  <c r="L144" i="2" s="1"/>
  <c r="K135" i="2"/>
  <c r="K144" i="2" s="1"/>
  <c r="J135" i="2"/>
  <c r="J144" i="2" s="1"/>
  <c r="V134" i="2"/>
  <c r="V142" i="2" s="1"/>
  <c r="U134" i="2"/>
  <c r="U142" i="2" s="1"/>
  <c r="T134" i="2"/>
  <c r="T142" i="2" s="1"/>
  <c r="S134" i="2"/>
  <c r="S142" i="2" s="1"/>
  <c r="R134" i="2"/>
  <c r="R142" i="2" s="1"/>
  <c r="Q134" i="2"/>
  <c r="Q142" i="2" s="1"/>
  <c r="P134" i="2"/>
  <c r="P142" i="2" s="1"/>
  <c r="O134" i="2"/>
  <c r="O142" i="2" s="1"/>
  <c r="N134" i="2"/>
  <c r="N142" i="2" s="1"/>
  <c r="M134" i="2"/>
  <c r="M142" i="2" s="1"/>
  <c r="L134" i="2"/>
  <c r="L142" i="2" s="1"/>
  <c r="K134" i="2"/>
  <c r="K142" i="2" s="1"/>
  <c r="J134" i="2"/>
  <c r="J142" i="2" s="1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K121" i="2"/>
  <c r="J121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V121" i="2"/>
  <c r="U121" i="2"/>
  <c r="T121" i="2"/>
  <c r="S121" i="2"/>
  <c r="R121" i="2"/>
  <c r="Q121" i="2"/>
  <c r="P121" i="2"/>
  <c r="O121" i="2"/>
  <c r="N121" i="2"/>
  <c r="M121" i="2"/>
  <c r="L121" i="2"/>
  <c r="U159" i="3" l="1"/>
  <c r="P159" i="3"/>
  <c r="R159" i="3"/>
  <c r="S159" i="3"/>
  <c r="V159" i="3"/>
  <c r="O159" i="3"/>
  <c r="Q159" i="3"/>
  <c r="T159" i="3"/>
  <c r="S225" i="3"/>
  <c r="AE225" i="3"/>
  <c r="V226" i="3"/>
  <c r="AH226" i="3"/>
  <c r="R173" i="3"/>
  <c r="AD173" i="3"/>
  <c r="AP173" i="3"/>
  <c r="U173" i="3"/>
  <c r="AG173" i="3"/>
  <c r="T173" i="3"/>
  <c r="V173" i="3"/>
  <c r="AH173" i="3"/>
  <c r="W173" i="3"/>
  <c r="AI173" i="3"/>
  <c r="X173" i="3"/>
  <c r="AJ173" i="3"/>
  <c r="AE173" i="3"/>
  <c r="Y173" i="3"/>
  <c r="AK173" i="3"/>
  <c r="Z173" i="3"/>
  <c r="AL173" i="3"/>
  <c r="S173" i="3"/>
  <c r="O173" i="3"/>
  <c r="AA173" i="3"/>
  <c r="AM173" i="3"/>
  <c r="AF173" i="3"/>
  <c r="P173" i="3"/>
  <c r="AB173" i="3"/>
  <c r="AN173" i="3"/>
  <c r="Q173" i="3"/>
  <c r="AC173" i="3"/>
  <c r="AO173" i="3"/>
  <c r="P225" i="3"/>
  <c r="AB225" i="3"/>
  <c r="AN225" i="3"/>
  <c r="S226" i="3"/>
  <c r="AE226" i="3"/>
  <c r="AD225" i="3"/>
  <c r="AP225" i="3"/>
  <c r="U226" i="3"/>
  <c r="AG226" i="3"/>
  <c r="N139" i="2"/>
  <c r="P143" i="2"/>
  <c r="U139" i="2"/>
  <c r="S140" i="2"/>
  <c r="K143" i="2"/>
  <c r="R139" i="2"/>
  <c r="P140" i="2"/>
  <c r="T143" i="2"/>
  <c r="J139" i="2"/>
  <c r="T140" i="2"/>
  <c r="L143" i="2"/>
  <c r="M139" i="2"/>
  <c r="K140" i="2"/>
  <c r="O143" i="2"/>
  <c r="V139" i="2"/>
  <c r="K139" i="2"/>
  <c r="U140" i="2"/>
  <c r="U141" i="2"/>
  <c r="V141" i="2"/>
  <c r="O139" i="2"/>
  <c r="M140" i="2"/>
  <c r="Q143" i="2"/>
  <c r="S139" i="2"/>
  <c r="Q140" i="2"/>
  <c r="O141" i="2"/>
  <c r="U143" i="2"/>
  <c r="R141" i="2"/>
  <c r="S141" i="2"/>
  <c r="L139" i="2"/>
  <c r="V140" i="2"/>
  <c r="N143" i="2"/>
  <c r="Q139" i="2"/>
  <c r="O140" i="2"/>
  <c r="M141" i="2"/>
  <c r="S143" i="2"/>
  <c r="M143" i="2"/>
  <c r="J140" i="2"/>
  <c r="J141" i="2"/>
  <c r="L140" i="2"/>
  <c r="K141" i="2"/>
  <c r="T141" i="2"/>
  <c r="P139" i="2"/>
  <c r="N140" i="2"/>
  <c r="L141" i="2"/>
  <c r="R143" i="2"/>
  <c r="P141" i="2"/>
  <c r="T139" i="2"/>
  <c r="R140" i="2"/>
  <c r="Q141" i="2"/>
  <c r="N141" i="2"/>
  <c r="J143" i="2"/>
  <c r="V143" i="2"/>
  <c r="Q225" i="3"/>
  <c r="AC225" i="3"/>
  <c r="AO225" i="3"/>
  <c r="T226" i="3"/>
  <c r="AF226" i="3"/>
  <c r="AA172" i="3"/>
  <c r="AR155" i="3"/>
  <c r="AR162" i="3"/>
  <c r="AR165" i="3"/>
  <c r="Q172" i="3"/>
  <c r="AC172" i="3"/>
  <c r="AO172" i="3"/>
  <c r="AM172" i="3"/>
  <c r="P172" i="3"/>
  <c r="AR171" i="3"/>
  <c r="AD172" i="3"/>
  <c r="R172" i="3"/>
  <c r="AP172" i="3"/>
  <c r="S172" i="3"/>
  <c r="AE172" i="3"/>
  <c r="AR170" i="3"/>
  <c r="AN172" i="3"/>
  <c r="AR154" i="3"/>
  <c r="AR157" i="3"/>
  <c r="AR164" i="3"/>
  <c r="U172" i="3"/>
  <c r="AG172" i="3"/>
  <c r="O172" i="3"/>
  <c r="AB172" i="3"/>
  <c r="AR167" i="3"/>
  <c r="AF172" i="3"/>
  <c r="V172" i="3"/>
  <c r="AH172" i="3"/>
  <c r="AR168" i="3"/>
  <c r="W172" i="3"/>
  <c r="AI172" i="3"/>
  <c r="T172" i="3"/>
  <c r="AR166" i="3"/>
  <c r="AR169" i="3"/>
  <c r="X172" i="3"/>
  <c r="AJ172" i="3"/>
  <c r="Y172" i="3"/>
  <c r="AR156" i="3"/>
  <c r="AR163" i="3"/>
  <c r="AK172" i="3"/>
  <c r="Z172" i="3"/>
  <c r="AL172" i="3"/>
  <c r="AL226" i="3"/>
  <c r="T225" i="3"/>
  <c r="AF225" i="3"/>
  <c r="W226" i="3"/>
  <c r="AI226" i="3"/>
  <c r="R225" i="3"/>
  <c r="W225" i="3"/>
  <c r="AI225" i="3"/>
  <c r="Z226" i="3"/>
  <c r="U225" i="3"/>
  <c r="AG225" i="3"/>
  <c r="X226" i="3"/>
  <c r="AJ226" i="3"/>
  <c r="V225" i="3"/>
  <c r="AH225" i="3"/>
  <c r="Y226" i="3"/>
  <c r="AK226" i="3"/>
  <c r="O225" i="3"/>
  <c r="AA225" i="3"/>
  <c r="AM225" i="3"/>
  <c r="R226" i="3"/>
  <c r="AD226" i="3"/>
  <c r="AP226" i="3"/>
  <c r="Y225" i="3"/>
  <c r="AK225" i="3"/>
  <c r="P226" i="3"/>
  <c r="AB226" i="3"/>
  <c r="AN226" i="3"/>
  <c r="Z225" i="3"/>
  <c r="AL225" i="3"/>
  <c r="Q226" i="3"/>
  <c r="AC226" i="3"/>
  <c r="AO226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AP122" i="3"/>
  <c r="AO122" i="3"/>
  <c r="AO126" i="3" s="1"/>
  <c r="AO143" i="3" s="1"/>
  <c r="AN122" i="3"/>
  <c r="AN126" i="3" s="1"/>
  <c r="AN143" i="3" s="1"/>
  <c r="AM122" i="3"/>
  <c r="AL122" i="3"/>
  <c r="AK122" i="3"/>
  <c r="AJ122" i="3"/>
  <c r="AJ126" i="3" s="1"/>
  <c r="AJ143" i="3" s="1"/>
  <c r="AI122" i="3"/>
  <c r="AH122" i="3"/>
  <c r="AH126" i="3" s="1"/>
  <c r="AH143" i="3" s="1"/>
  <c r="AG122" i="3"/>
  <c r="AG126" i="3" s="1"/>
  <c r="AG143" i="3" s="1"/>
  <c r="AF122" i="3"/>
  <c r="AF126" i="3" s="1"/>
  <c r="AF143" i="3" s="1"/>
  <c r="AE122" i="3"/>
  <c r="AD122" i="3"/>
  <c r="AC122" i="3"/>
  <c r="AC126" i="3" s="1"/>
  <c r="AC143" i="3" s="1"/>
  <c r="AB122" i="3"/>
  <c r="AB126" i="3" s="1"/>
  <c r="AB143" i="3" s="1"/>
  <c r="AA122" i="3"/>
  <c r="Z122" i="3"/>
  <c r="Y122" i="3"/>
  <c r="X122" i="3"/>
  <c r="W122" i="3"/>
  <c r="V122" i="3"/>
  <c r="U122" i="3"/>
  <c r="T122" i="3"/>
  <c r="S122" i="3"/>
  <c r="S126" i="3" s="1"/>
  <c r="S143" i="3" s="1"/>
  <c r="R122" i="3"/>
  <c r="Q122" i="3"/>
  <c r="P122" i="3"/>
  <c r="P126" i="3" s="1"/>
  <c r="O122" i="3"/>
  <c r="O126" i="3" s="1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AP100" i="3"/>
  <c r="AP107" i="3" s="1"/>
  <c r="AO100" i="3"/>
  <c r="AO107" i="3" s="1"/>
  <c r="AN100" i="3"/>
  <c r="AN107" i="3" s="1"/>
  <c r="AM100" i="3"/>
  <c r="AM107" i="3" s="1"/>
  <c r="AL100" i="3"/>
  <c r="AL107" i="3" s="1"/>
  <c r="AK100" i="3"/>
  <c r="AK107" i="3" s="1"/>
  <c r="AJ100" i="3"/>
  <c r="AJ107" i="3" s="1"/>
  <c r="AI100" i="3"/>
  <c r="AI107" i="3" s="1"/>
  <c r="AH100" i="3"/>
  <c r="AH107" i="3" s="1"/>
  <c r="AG100" i="3"/>
  <c r="AG107" i="3" s="1"/>
  <c r="AF100" i="3"/>
  <c r="AF107" i="3" s="1"/>
  <c r="AE100" i="3"/>
  <c r="AE107" i="3" s="1"/>
  <c r="AD100" i="3"/>
  <c r="AD107" i="3" s="1"/>
  <c r="AC100" i="3"/>
  <c r="AC107" i="3" s="1"/>
  <c r="AB100" i="3"/>
  <c r="AB107" i="3" s="1"/>
  <c r="AA100" i="3"/>
  <c r="AA107" i="3" s="1"/>
  <c r="Z100" i="3"/>
  <c r="Z107" i="3" s="1"/>
  <c r="Y100" i="3"/>
  <c r="Y107" i="3" s="1"/>
  <c r="X100" i="3"/>
  <c r="X107" i="3" s="1"/>
  <c r="W100" i="3"/>
  <c r="W107" i="3" s="1"/>
  <c r="V100" i="3"/>
  <c r="V107" i="3" s="1"/>
  <c r="U100" i="3"/>
  <c r="U107" i="3" s="1"/>
  <c r="T100" i="3"/>
  <c r="T107" i="3" s="1"/>
  <c r="S100" i="3"/>
  <c r="S107" i="3" s="1"/>
  <c r="R100" i="3"/>
  <c r="R107" i="3" s="1"/>
  <c r="Q100" i="3"/>
  <c r="Q107" i="3" s="1"/>
  <c r="P100" i="3"/>
  <c r="O100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AP41" i="3"/>
  <c r="AP50" i="3" s="1"/>
  <c r="AO41" i="3"/>
  <c r="AO50" i="3" s="1"/>
  <c r="AN41" i="3"/>
  <c r="AN50" i="3" s="1"/>
  <c r="AM41" i="3"/>
  <c r="AM50" i="3" s="1"/>
  <c r="AL41" i="3"/>
  <c r="AL50" i="3" s="1"/>
  <c r="AK41" i="3"/>
  <c r="AK50" i="3" s="1"/>
  <c r="AJ41" i="3"/>
  <c r="AJ50" i="3" s="1"/>
  <c r="AI41" i="3"/>
  <c r="AI50" i="3" s="1"/>
  <c r="AH41" i="3"/>
  <c r="AH50" i="3" s="1"/>
  <c r="AG41" i="3"/>
  <c r="AG50" i="3" s="1"/>
  <c r="AF41" i="3"/>
  <c r="AF50" i="3" s="1"/>
  <c r="AE41" i="3"/>
  <c r="AE50" i="3" s="1"/>
  <c r="AD41" i="3"/>
  <c r="AD50" i="3" s="1"/>
  <c r="AC41" i="3"/>
  <c r="AC50" i="3" s="1"/>
  <c r="AB41" i="3"/>
  <c r="AB50" i="3" s="1"/>
  <c r="AA41" i="3"/>
  <c r="AA50" i="3" s="1"/>
  <c r="Z41" i="3"/>
  <c r="Z50" i="3" s="1"/>
  <c r="Y41" i="3"/>
  <c r="Y50" i="3" s="1"/>
  <c r="X41" i="3"/>
  <c r="X50" i="3" s="1"/>
  <c r="W41" i="3"/>
  <c r="W50" i="3" s="1"/>
  <c r="V41" i="3"/>
  <c r="V50" i="3" s="1"/>
  <c r="U41" i="3"/>
  <c r="U50" i="3" s="1"/>
  <c r="T41" i="3"/>
  <c r="T50" i="3" s="1"/>
  <c r="S41" i="3"/>
  <c r="S50" i="3" s="1"/>
  <c r="R41" i="3"/>
  <c r="R50" i="3" s="1"/>
  <c r="Q41" i="3"/>
  <c r="Q50" i="3" s="1"/>
  <c r="P41" i="3"/>
  <c r="P50" i="3" s="1"/>
  <c r="O41" i="3"/>
  <c r="O50" i="3" s="1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C49" i="3" s="1"/>
  <c r="AC51" i="3" s="1"/>
  <c r="AB40" i="3"/>
  <c r="AB49" i="3" s="1"/>
  <c r="AB51" i="3" s="1"/>
  <c r="AA40" i="3"/>
  <c r="AA49" i="3" s="1"/>
  <c r="AA51" i="3" s="1"/>
  <c r="Z40" i="3"/>
  <c r="Z49" i="3" s="1"/>
  <c r="Z51" i="3" s="1"/>
  <c r="Y40" i="3"/>
  <c r="Y49" i="3" s="1"/>
  <c r="Y51" i="3" s="1"/>
  <c r="X40" i="3"/>
  <c r="X49" i="3" s="1"/>
  <c r="X51" i="3" s="1"/>
  <c r="W40" i="3"/>
  <c r="W49" i="3" s="1"/>
  <c r="W51" i="3" s="1"/>
  <c r="V40" i="3"/>
  <c r="V49" i="3" s="1"/>
  <c r="V51" i="3" s="1"/>
  <c r="U40" i="3"/>
  <c r="U49" i="3" s="1"/>
  <c r="U51" i="3" s="1"/>
  <c r="T40" i="3"/>
  <c r="T49" i="3" s="1"/>
  <c r="T51" i="3" s="1"/>
  <c r="S40" i="3"/>
  <c r="S49" i="3" s="1"/>
  <c r="S51" i="3" s="1"/>
  <c r="R40" i="3"/>
  <c r="R49" i="3" s="1"/>
  <c r="R51" i="3" s="1"/>
  <c r="Q40" i="3"/>
  <c r="Q49" i="3" s="1"/>
  <c r="Q51" i="3" s="1"/>
  <c r="P40" i="3"/>
  <c r="P49" i="3" s="1"/>
  <c r="P51" i="3" s="1"/>
  <c r="O40" i="3"/>
  <c r="O49" i="3" s="1"/>
  <c r="O51" i="3" s="1"/>
  <c r="AP39" i="3"/>
  <c r="AP48" i="3" s="1"/>
  <c r="AO39" i="3"/>
  <c r="AO48" i="3" s="1"/>
  <c r="AN39" i="3"/>
  <c r="AN48" i="3" s="1"/>
  <c r="AM39" i="3"/>
  <c r="AM48" i="3" s="1"/>
  <c r="AL39" i="3"/>
  <c r="AL48" i="3" s="1"/>
  <c r="AK39" i="3"/>
  <c r="AK48" i="3" s="1"/>
  <c r="AJ39" i="3"/>
  <c r="AJ48" i="3" s="1"/>
  <c r="AI39" i="3"/>
  <c r="AI48" i="3" s="1"/>
  <c r="AH39" i="3"/>
  <c r="AH48" i="3" s="1"/>
  <c r="AG39" i="3"/>
  <c r="AG48" i="3" s="1"/>
  <c r="AF39" i="3"/>
  <c r="AF48" i="3" s="1"/>
  <c r="AE39" i="3"/>
  <c r="AE48" i="3" s="1"/>
  <c r="AD39" i="3"/>
  <c r="AD48" i="3" s="1"/>
  <c r="AC39" i="3"/>
  <c r="AC48" i="3" s="1"/>
  <c r="AB39" i="3"/>
  <c r="AB48" i="3" s="1"/>
  <c r="AA39" i="3"/>
  <c r="AA48" i="3" s="1"/>
  <c r="Z39" i="3"/>
  <c r="Z48" i="3" s="1"/>
  <c r="Y39" i="3"/>
  <c r="Y48" i="3" s="1"/>
  <c r="X39" i="3"/>
  <c r="X48" i="3" s="1"/>
  <c r="W39" i="3"/>
  <c r="W48" i="3" s="1"/>
  <c r="V39" i="3"/>
  <c r="V48" i="3" s="1"/>
  <c r="U39" i="3"/>
  <c r="U48" i="3" s="1"/>
  <c r="T39" i="3"/>
  <c r="T48" i="3" s="1"/>
  <c r="S39" i="3"/>
  <c r="S48" i="3" s="1"/>
  <c r="R39" i="3"/>
  <c r="R48" i="3" s="1"/>
  <c r="Q39" i="3"/>
  <c r="Q48" i="3" s="1"/>
  <c r="P39" i="3"/>
  <c r="P48" i="3" s="1"/>
  <c r="O39" i="3"/>
  <c r="O48" i="3" s="1"/>
  <c r="AP38" i="3"/>
  <c r="AP34" i="3" s="1"/>
  <c r="AO38" i="3"/>
  <c r="AO34" i="3" s="1"/>
  <c r="AN38" i="3"/>
  <c r="AN34" i="3" s="1"/>
  <c r="AM38" i="3"/>
  <c r="AM34" i="3" s="1"/>
  <c r="AL38" i="3"/>
  <c r="AL34" i="3" s="1"/>
  <c r="AK38" i="3"/>
  <c r="AK34" i="3" s="1"/>
  <c r="AJ38" i="3"/>
  <c r="AJ34" i="3" s="1"/>
  <c r="AI38" i="3"/>
  <c r="AI34" i="3" s="1"/>
  <c r="AH38" i="3"/>
  <c r="AH34" i="3" s="1"/>
  <c r="AG38" i="3"/>
  <c r="AG34" i="3" s="1"/>
  <c r="AF38" i="3"/>
  <c r="AF34" i="3" s="1"/>
  <c r="AE38" i="3"/>
  <c r="AE34" i="3" s="1"/>
  <c r="AD38" i="3"/>
  <c r="AD34" i="3" s="1"/>
  <c r="AC38" i="3"/>
  <c r="AB38" i="3"/>
  <c r="AB47" i="3" s="1"/>
  <c r="AA38" i="3"/>
  <c r="AA47" i="3" s="1"/>
  <c r="Z38" i="3"/>
  <c r="Z47" i="3" s="1"/>
  <c r="Y38" i="3"/>
  <c r="Y47" i="3" s="1"/>
  <c r="X38" i="3"/>
  <c r="X47" i="3" s="1"/>
  <c r="W38" i="3"/>
  <c r="W47" i="3" s="1"/>
  <c r="V38" i="3"/>
  <c r="V47" i="3" s="1"/>
  <c r="U38" i="3"/>
  <c r="U47" i="3" s="1"/>
  <c r="T38" i="3"/>
  <c r="T47" i="3" s="1"/>
  <c r="S38" i="3"/>
  <c r="S47" i="3" s="1"/>
  <c r="R38" i="3"/>
  <c r="R47" i="3" s="1"/>
  <c r="Q38" i="3"/>
  <c r="Q47" i="3" s="1"/>
  <c r="P38" i="3"/>
  <c r="P47" i="3" s="1"/>
  <c r="O38" i="3"/>
  <c r="O47" i="3" s="1"/>
  <c r="AP37" i="3"/>
  <c r="AP46" i="3" s="1"/>
  <c r="AO37" i="3"/>
  <c r="AO46" i="3" s="1"/>
  <c r="AN37" i="3"/>
  <c r="AN46" i="3" s="1"/>
  <c r="AM37" i="3"/>
  <c r="AM46" i="3" s="1"/>
  <c r="AL37" i="3"/>
  <c r="AL46" i="3" s="1"/>
  <c r="AK37" i="3"/>
  <c r="AK46" i="3" s="1"/>
  <c r="AJ37" i="3"/>
  <c r="AJ46" i="3" s="1"/>
  <c r="AI37" i="3"/>
  <c r="AI46" i="3" s="1"/>
  <c r="AH37" i="3"/>
  <c r="AH46" i="3" s="1"/>
  <c r="AG37" i="3"/>
  <c r="AG46" i="3" s="1"/>
  <c r="AF37" i="3"/>
  <c r="AF46" i="3" s="1"/>
  <c r="AE37" i="3"/>
  <c r="AE46" i="3" s="1"/>
  <c r="AD37" i="3"/>
  <c r="AD46" i="3" s="1"/>
  <c r="AC37" i="3"/>
  <c r="AC46" i="3" s="1"/>
  <c r="AB37" i="3"/>
  <c r="AB46" i="3" s="1"/>
  <c r="AA37" i="3"/>
  <c r="AA46" i="3" s="1"/>
  <c r="Z37" i="3"/>
  <c r="Z46" i="3" s="1"/>
  <c r="Y37" i="3"/>
  <c r="Y46" i="3" s="1"/>
  <c r="X37" i="3"/>
  <c r="X46" i="3" s="1"/>
  <c r="W37" i="3"/>
  <c r="W46" i="3" s="1"/>
  <c r="V37" i="3"/>
  <c r="V46" i="3" s="1"/>
  <c r="U37" i="3"/>
  <c r="U46" i="3" s="1"/>
  <c r="T37" i="3"/>
  <c r="T46" i="3" s="1"/>
  <c r="S37" i="3"/>
  <c r="S46" i="3" s="1"/>
  <c r="R37" i="3"/>
  <c r="R46" i="3" s="1"/>
  <c r="Q37" i="3"/>
  <c r="Q46" i="3" s="1"/>
  <c r="P37" i="3"/>
  <c r="P46" i="3" s="1"/>
  <c r="O37" i="3"/>
  <c r="O46" i="3" s="1"/>
  <c r="AP36" i="3"/>
  <c r="AP45" i="3" s="1"/>
  <c r="AO36" i="3"/>
  <c r="AO45" i="3" s="1"/>
  <c r="AN36" i="3"/>
  <c r="AN45" i="3" s="1"/>
  <c r="AM36" i="3"/>
  <c r="AM45" i="3" s="1"/>
  <c r="AL36" i="3"/>
  <c r="AL45" i="3" s="1"/>
  <c r="AK36" i="3"/>
  <c r="AK45" i="3" s="1"/>
  <c r="AJ36" i="3"/>
  <c r="AJ45" i="3" s="1"/>
  <c r="AI36" i="3"/>
  <c r="AI45" i="3" s="1"/>
  <c r="AH36" i="3"/>
  <c r="AH45" i="3" s="1"/>
  <c r="AG36" i="3"/>
  <c r="AG45" i="3" s="1"/>
  <c r="AF36" i="3"/>
  <c r="AF45" i="3" s="1"/>
  <c r="AE36" i="3"/>
  <c r="AE45" i="3" s="1"/>
  <c r="AD36" i="3"/>
  <c r="AD45" i="3" s="1"/>
  <c r="AC36" i="3"/>
  <c r="AC45" i="3" s="1"/>
  <c r="AB36" i="3"/>
  <c r="AB45" i="3" s="1"/>
  <c r="AA36" i="3"/>
  <c r="AA45" i="3" s="1"/>
  <c r="Z36" i="3"/>
  <c r="Z45" i="3" s="1"/>
  <c r="Y36" i="3"/>
  <c r="Y45" i="3" s="1"/>
  <c r="X36" i="3"/>
  <c r="X45" i="3" s="1"/>
  <c r="W36" i="3"/>
  <c r="W45" i="3" s="1"/>
  <c r="V36" i="3"/>
  <c r="V45" i="3" s="1"/>
  <c r="U36" i="3"/>
  <c r="U45" i="3" s="1"/>
  <c r="T36" i="3"/>
  <c r="T45" i="3" s="1"/>
  <c r="S36" i="3"/>
  <c r="S45" i="3" s="1"/>
  <c r="R36" i="3"/>
  <c r="R45" i="3" s="1"/>
  <c r="Q36" i="3"/>
  <c r="Q45" i="3" s="1"/>
  <c r="P36" i="3"/>
  <c r="P45" i="3" s="1"/>
  <c r="O36" i="3"/>
  <c r="O45" i="3" s="1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O23" i="3"/>
  <c r="P23" i="3"/>
  <c r="Q23" i="3"/>
  <c r="R23" i="3"/>
  <c r="S23" i="3"/>
  <c r="T23" i="3"/>
  <c r="U23" i="3"/>
  <c r="V23" i="3"/>
  <c r="W23" i="3"/>
  <c r="X23" i="3"/>
  <c r="Y23" i="3"/>
  <c r="Z23" i="3"/>
  <c r="O24" i="3"/>
  <c r="P24" i="3"/>
  <c r="Q24" i="3"/>
  <c r="R24" i="3"/>
  <c r="S24" i="3"/>
  <c r="T24" i="3"/>
  <c r="U24" i="3"/>
  <c r="V24" i="3"/>
  <c r="W24" i="3"/>
  <c r="X24" i="3"/>
  <c r="Y24" i="3"/>
  <c r="Z24" i="3"/>
  <c r="O25" i="3"/>
  <c r="P25" i="3"/>
  <c r="Q25" i="3"/>
  <c r="R25" i="3"/>
  <c r="S25" i="3"/>
  <c r="T25" i="3"/>
  <c r="U25" i="3"/>
  <c r="V25" i="3"/>
  <c r="W25" i="3"/>
  <c r="X25" i="3"/>
  <c r="Y25" i="3"/>
  <c r="Z25" i="3"/>
  <c r="O26" i="3"/>
  <c r="P26" i="3"/>
  <c r="Q26" i="3"/>
  <c r="R26" i="3"/>
  <c r="S26" i="3"/>
  <c r="T26" i="3"/>
  <c r="U26" i="3"/>
  <c r="V26" i="3"/>
  <c r="W26" i="3"/>
  <c r="X26" i="3"/>
  <c r="Y26" i="3"/>
  <c r="Z26" i="3"/>
  <c r="O27" i="3"/>
  <c r="P27" i="3"/>
  <c r="Q27" i="3"/>
  <c r="R27" i="3"/>
  <c r="S27" i="3"/>
  <c r="T27" i="3"/>
  <c r="U27" i="3"/>
  <c r="V27" i="3"/>
  <c r="W27" i="3"/>
  <c r="X27" i="3"/>
  <c r="Y27" i="3"/>
  <c r="Z27" i="3"/>
  <c r="O28" i="3"/>
  <c r="P28" i="3"/>
  <c r="Q28" i="3"/>
  <c r="R28" i="3"/>
  <c r="S28" i="3"/>
  <c r="T28" i="3"/>
  <c r="U28" i="3"/>
  <c r="V28" i="3"/>
  <c r="W28" i="3"/>
  <c r="X28" i="3"/>
  <c r="Y28" i="3"/>
  <c r="Z28" i="3"/>
  <c r="O29" i="3"/>
  <c r="P29" i="3"/>
  <c r="Q29" i="3"/>
  <c r="R29" i="3"/>
  <c r="S29" i="3"/>
  <c r="T29" i="3"/>
  <c r="U29" i="3"/>
  <c r="V29" i="3"/>
  <c r="W29" i="3"/>
  <c r="X29" i="3"/>
  <c r="Y29" i="3"/>
  <c r="Z29" i="3"/>
  <c r="AC3" i="3"/>
  <c r="AC15" i="3" s="1"/>
  <c r="AD3" i="3"/>
  <c r="AD15" i="3" s="1"/>
  <c r="AE3" i="3"/>
  <c r="AE15" i="3" s="1"/>
  <c r="AF3" i="3"/>
  <c r="AF15" i="3" s="1"/>
  <c r="AG3" i="3"/>
  <c r="AG15" i="3" s="1"/>
  <c r="AH3" i="3"/>
  <c r="AH15" i="3" s="1"/>
  <c r="AI3" i="3"/>
  <c r="AI15" i="3" s="1"/>
  <c r="AJ3" i="3"/>
  <c r="AJ15" i="3" s="1"/>
  <c r="AK3" i="3"/>
  <c r="AK15" i="3" s="1"/>
  <c r="AL3" i="3"/>
  <c r="AL15" i="3" s="1"/>
  <c r="AM3" i="3"/>
  <c r="AM15" i="3" s="1"/>
  <c r="AN3" i="3"/>
  <c r="AN15" i="3" s="1"/>
  <c r="AO3" i="3"/>
  <c r="AO15" i="3" s="1"/>
  <c r="AP3" i="3"/>
  <c r="AP15" i="3" s="1"/>
  <c r="AC4" i="3"/>
  <c r="AC16" i="3" s="1"/>
  <c r="AD4" i="3"/>
  <c r="AD16" i="3" s="1"/>
  <c r="AE4" i="3"/>
  <c r="AE16" i="3" s="1"/>
  <c r="AF4" i="3"/>
  <c r="AF16" i="3" s="1"/>
  <c r="AG4" i="3"/>
  <c r="AG16" i="3" s="1"/>
  <c r="AH4" i="3"/>
  <c r="AH16" i="3" s="1"/>
  <c r="AI4" i="3"/>
  <c r="AI16" i="3" s="1"/>
  <c r="AJ4" i="3"/>
  <c r="AJ16" i="3" s="1"/>
  <c r="AK4" i="3"/>
  <c r="AK16" i="3" s="1"/>
  <c r="AL4" i="3"/>
  <c r="AL16" i="3" s="1"/>
  <c r="AM4" i="3"/>
  <c r="AM16" i="3" s="1"/>
  <c r="AN4" i="3"/>
  <c r="AN16" i="3" s="1"/>
  <c r="AO4" i="3"/>
  <c r="AO16" i="3" s="1"/>
  <c r="AP4" i="3"/>
  <c r="AP16" i="3" s="1"/>
  <c r="AC5" i="3"/>
  <c r="AC17" i="3" s="1"/>
  <c r="AD5" i="3"/>
  <c r="AD17" i="3" s="1"/>
  <c r="AE5" i="3"/>
  <c r="AE17" i="3" s="1"/>
  <c r="AF5" i="3"/>
  <c r="AF17" i="3" s="1"/>
  <c r="AG5" i="3"/>
  <c r="AG17" i="3" s="1"/>
  <c r="AH5" i="3"/>
  <c r="AH17" i="3" s="1"/>
  <c r="AI5" i="3"/>
  <c r="AI17" i="3" s="1"/>
  <c r="AJ5" i="3"/>
  <c r="AJ17" i="3" s="1"/>
  <c r="AK5" i="3"/>
  <c r="AK17" i="3" s="1"/>
  <c r="AL5" i="3"/>
  <c r="AL17" i="3" s="1"/>
  <c r="AM5" i="3"/>
  <c r="AM17" i="3" s="1"/>
  <c r="AN5" i="3"/>
  <c r="AN17" i="3" s="1"/>
  <c r="AO5" i="3"/>
  <c r="AO17" i="3" s="1"/>
  <c r="AP5" i="3"/>
  <c r="AP17" i="3" s="1"/>
  <c r="O3" i="3"/>
  <c r="O15" i="3" s="1"/>
  <c r="P3" i="3"/>
  <c r="P15" i="3" s="1"/>
  <c r="Q3" i="3"/>
  <c r="Q15" i="3" s="1"/>
  <c r="R3" i="3"/>
  <c r="R15" i="3" s="1"/>
  <c r="S3" i="3"/>
  <c r="S15" i="3" s="1"/>
  <c r="T3" i="3"/>
  <c r="T15" i="3" s="1"/>
  <c r="U3" i="3"/>
  <c r="U15" i="3" s="1"/>
  <c r="V3" i="3"/>
  <c r="V15" i="3" s="1"/>
  <c r="W3" i="3"/>
  <c r="W15" i="3" s="1"/>
  <c r="X3" i="3"/>
  <c r="X15" i="3" s="1"/>
  <c r="Y3" i="3"/>
  <c r="Y15" i="3" s="1"/>
  <c r="Z3" i="3"/>
  <c r="Z15" i="3" s="1"/>
  <c r="AA3" i="3"/>
  <c r="AA15" i="3" s="1"/>
  <c r="AB3" i="3"/>
  <c r="AB15" i="3" s="1"/>
  <c r="O4" i="3"/>
  <c r="O16" i="3" s="1"/>
  <c r="P4" i="3"/>
  <c r="P16" i="3" s="1"/>
  <c r="Q4" i="3"/>
  <c r="Q16" i="3" s="1"/>
  <c r="R4" i="3"/>
  <c r="R16" i="3" s="1"/>
  <c r="S4" i="3"/>
  <c r="S16" i="3" s="1"/>
  <c r="T4" i="3"/>
  <c r="T16" i="3" s="1"/>
  <c r="U4" i="3"/>
  <c r="U16" i="3" s="1"/>
  <c r="V4" i="3"/>
  <c r="V16" i="3" s="1"/>
  <c r="W4" i="3"/>
  <c r="W16" i="3" s="1"/>
  <c r="X4" i="3"/>
  <c r="X16" i="3" s="1"/>
  <c r="Y4" i="3"/>
  <c r="Y16" i="3" s="1"/>
  <c r="Z4" i="3"/>
  <c r="Z16" i="3" s="1"/>
  <c r="AA4" i="3"/>
  <c r="AA16" i="3" s="1"/>
  <c r="AB4" i="3"/>
  <c r="AB16" i="3" s="1"/>
  <c r="O5" i="3"/>
  <c r="O17" i="3" s="1"/>
  <c r="P5" i="3"/>
  <c r="P17" i="3" s="1"/>
  <c r="Q5" i="3"/>
  <c r="Q17" i="3" s="1"/>
  <c r="R5" i="3"/>
  <c r="R17" i="3" s="1"/>
  <c r="S5" i="3"/>
  <c r="S17" i="3" s="1"/>
  <c r="T5" i="3"/>
  <c r="T17" i="3" s="1"/>
  <c r="U5" i="3"/>
  <c r="U17" i="3" s="1"/>
  <c r="V5" i="3"/>
  <c r="V17" i="3" s="1"/>
  <c r="W5" i="3"/>
  <c r="W17" i="3" s="1"/>
  <c r="X5" i="3"/>
  <c r="X17" i="3" s="1"/>
  <c r="Y17" i="3"/>
  <c r="Z5" i="3"/>
  <c r="Z17" i="3" s="1"/>
  <c r="AA5" i="3"/>
  <c r="AA17" i="3" s="1"/>
  <c r="AB5" i="3"/>
  <c r="AB17" i="3" s="1"/>
  <c r="AG49" i="3" l="1"/>
  <c r="AG51" i="3" s="1"/>
  <c r="AJ49" i="3"/>
  <c r="AJ51" i="3" s="1"/>
  <c r="AE49" i="3"/>
  <c r="AE51" i="3" s="1"/>
  <c r="AF49" i="3"/>
  <c r="AF51" i="3" s="1"/>
  <c r="AH49" i="3"/>
  <c r="AH51" i="3" s="1"/>
  <c r="AC34" i="3"/>
  <c r="AC47" i="3"/>
  <c r="AC54" i="3" s="1"/>
  <c r="AI49" i="3"/>
  <c r="AI51" i="3" s="1"/>
  <c r="AK49" i="3"/>
  <c r="AK51" i="3" s="1"/>
  <c r="AL49" i="3"/>
  <c r="AL51" i="3" s="1"/>
  <c r="AM49" i="3"/>
  <c r="AM51" i="3" s="1"/>
  <c r="AN49" i="3"/>
  <c r="AN51" i="3" s="1"/>
  <c r="AO49" i="3"/>
  <c r="AO51" i="3" s="1"/>
  <c r="AD49" i="3"/>
  <c r="AD51" i="3" s="1"/>
  <c r="AP49" i="3"/>
  <c r="AP51" i="3" s="1"/>
  <c r="V126" i="3"/>
  <c r="V143" i="3" s="1"/>
  <c r="W126" i="3"/>
  <c r="W143" i="3" s="1"/>
  <c r="AI126" i="3"/>
  <c r="AI143" i="3" s="1"/>
  <c r="X126" i="3"/>
  <c r="X143" i="3" s="1"/>
  <c r="Y126" i="3"/>
  <c r="Y143" i="3" s="1"/>
  <c r="AK126" i="3"/>
  <c r="AK143" i="3" s="1"/>
  <c r="Z126" i="3"/>
  <c r="Z143" i="3" s="1"/>
  <c r="AL126" i="3"/>
  <c r="AL143" i="3" s="1"/>
  <c r="AA126" i="3"/>
  <c r="AA143" i="3" s="1"/>
  <c r="AM126" i="3"/>
  <c r="AM143" i="3" s="1"/>
  <c r="Q126" i="3"/>
  <c r="Q143" i="3" s="1"/>
  <c r="R126" i="3"/>
  <c r="R143" i="3" s="1"/>
  <c r="AD126" i="3"/>
  <c r="AD143" i="3" s="1"/>
  <c r="AP126" i="3"/>
  <c r="AP143" i="3" s="1"/>
  <c r="AE126" i="3"/>
  <c r="AE143" i="3" s="1"/>
  <c r="T126" i="3"/>
  <c r="T143" i="3" s="1"/>
  <c r="U126" i="3"/>
  <c r="U143" i="3" s="1"/>
  <c r="AD64" i="3"/>
  <c r="AD134" i="3" s="1"/>
  <c r="AD142" i="3" s="1"/>
  <c r="AP64" i="3"/>
  <c r="AP134" i="3" s="1"/>
  <c r="AP142" i="3" s="1"/>
  <c r="AC64" i="3"/>
  <c r="AC134" i="3" s="1"/>
  <c r="AO64" i="3"/>
  <c r="AO134" i="3" s="1"/>
  <c r="AO142" i="3" s="1"/>
  <c r="AO182" i="3" s="1"/>
  <c r="O64" i="3"/>
  <c r="O134" i="3" s="1"/>
  <c r="O142" i="3" s="1"/>
  <c r="O182" i="3" s="1"/>
  <c r="AA64" i="3"/>
  <c r="AA134" i="3" s="1"/>
  <c r="AM64" i="3"/>
  <c r="AM134" i="3" s="1"/>
  <c r="AB64" i="3"/>
  <c r="AB134" i="3" s="1"/>
  <c r="AB142" i="3" s="1"/>
  <c r="AN64" i="3"/>
  <c r="AN134" i="3" s="1"/>
  <c r="AN142" i="3" s="1"/>
  <c r="AH64" i="3"/>
  <c r="AH134" i="3" s="1"/>
  <c r="AI64" i="3"/>
  <c r="AI134" i="3" s="1"/>
  <c r="AI142" i="3" s="1"/>
  <c r="AJ64" i="3"/>
  <c r="AJ134" i="3" s="1"/>
  <c r="AJ142" i="3" s="1"/>
  <c r="Y64" i="3"/>
  <c r="Y134" i="3" s="1"/>
  <c r="Y142" i="3" s="1"/>
  <c r="AK64" i="3"/>
  <c r="AK134" i="3" s="1"/>
  <c r="AK142" i="3" s="1"/>
  <c r="Z64" i="3"/>
  <c r="Z134" i="3" s="1"/>
  <c r="Z142" i="3" s="1"/>
  <c r="AL64" i="3"/>
  <c r="AL134" i="3" s="1"/>
  <c r="AL142" i="3" s="1"/>
  <c r="W64" i="3"/>
  <c r="W134" i="3" s="1"/>
  <c r="W142" i="3" s="1"/>
  <c r="O143" i="3"/>
  <c r="AG64" i="3"/>
  <c r="AG134" i="3" s="1"/>
  <c r="AG142" i="3" s="1"/>
  <c r="AE64" i="3"/>
  <c r="AE134" i="3" s="1"/>
  <c r="AF64" i="3"/>
  <c r="AF134" i="3" s="1"/>
  <c r="X64" i="3"/>
  <c r="X134" i="3" s="1"/>
  <c r="U64" i="3"/>
  <c r="U134" i="3" s="1"/>
  <c r="U142" i="3" s="1"/>
  <c r="S64" i="3"/>
  <c r="S134" i="3" s="1"/>
  <c r="T64" i="3"/>
  <c r="T134" i="3" s="1"/>
  <c r="V64" i="3"/>
  <c r="V134" i="3" s="1"/>
  <c r="P64" i="3"/>
  <c r="P134" i="3" s="1"/>
  <c r="P142" i="3" s="1"/>
  <c r="P182" i="3" s="1"/>
  <c r="Q64" i="3"/>
  <c r="Q134" i="3" s="1"/>
  <c r="Q142" i="3" s="1"/>
  <c r="R64" i="3"/>
  <c r="R134" i="3" s="1"/>
  <c r="R142" i="3" s="1"/>
  <c r="R88" i="3"/>
  <c r="R90" i="3" s="1"/>
  <c r="AD88" i="3"/>
  <c r="AP88" i="3"/>
  <c r="W77" i="3"/>
  <c r="AI77" i="3"/>
  <c r="Q88" i="3"/>
  <c r="Q91" i="3" s="1"/>
  <c r="AC88" i="3"/>
  <c r="AO88" i="3"/>
  <c r="X77" i="3"/>
  <c r="AJ77" i="3"/>
  <c r="P77" i="3"/>
  <c r="AB77" i="3"/>
  <c r="Q77" i="3"/>
  <c r="S77" i="3"/>
  <c r="AE77" i="3"/>
  <c r="T77" i="3"/>
  <c r="AF77" i="3"/>
  <c r="U77" i="3"/>
  <c r="AG77" i="3"/>
  <c r="V77" i="3"/>
  <c r="AH77" i="3"/>
  <c r="AB88" i="3"/>
  <c r="AN88" i="3"/>
  <c r="P107" i="3"/>
  <c r="Y77" i="3"/>
  <c r="AK77" i="3"/>
  <c r="Z77" i="3"/>
  <c r="O77" i="3"/>
  <c r="AA77" i="3"/>
  <c r="AC77" i="3"/>
  <c r="R77" i="3"/>
  <c r="AD77" i="3"/>
  <c r="P88" i="3"/>
  <c r="P91" i="3" s="1"/>
  <c r="S88" i="3"/>
  <c r="S89" i="3" s="1"/>
  <c r="AE88" i="3"/>
  <c r="T88" i="3"/>
  <c r="T91" i="3" s="1"/>
  <c r="AF88" i="3"/>
  <c r="U88" i="3"/>
  <c r="U89" i="3" s="1"/>
  <c r="AG88" i="3"/>
  <c r="V88" i="3"/>
  <c r="V89" i="3" s="1"/>
  <c r="AH88" i="3"/>
  <c r="W88" i="3"/>
  <c r="AI88" i="3"/>
  <c r="X88" i="3"/>
  <c r="AJ88" i="3"/>
  <c r="Y88" i="3"/>
  <c r="AK88" i="3"/>
  <c r="Z88" i="3"/>
  <c r="AL88" i="3"/>
  <c r="O88" i="3"/>
  <c r="O89" i="3" s="1"/>
  <c r="AA88" i="3"/>
  <c r="AM88" i="3"/>
  <c r="AE63" i="3"/>
  <c r="Y19" i="3"/>
  <c r="U53" i="3"/>
  <c r="U54" i="3"/>
  <c r="S63" i="3"/>
  <c r="Z53" i="3"/>
  <c r="Z54" i="3"/>
  <c r="AA53" i="3"/>
  <c r="AA54" i="3"/>
  <c r="AB53" i="3"/>
  <c r="AB54" i="3"/>
  <c r="AD53" i="3"/>
  <c r="AD54" i="3"/>
  <c r="S53" i="3"/>
  <c r="S54" i="3"/>
  <c r="AE53" i="3"/>
  <c r="AG53" i="3"/>
  <c r="AG54" i="3"/>
  <c r="AH53" i="3"/>
  <c r="O53" i="3"/>
  <c r="O54" i="3"/>
  <c r="R53" i="3"/>
  <c r="R54" i="3"/>
  <c r="T53" i="3"/>
  <c r="T54" i="3"/>
  <c r="X54" i="3"/>
  <c r="X53" i="3"/>
  <c r="W54" i="3"/>
  <c r="W53" i="3"/>
  <c r="AJ54" i="3"/>
  <c r="AJ53" i="3"/>
  <c r="Y54" i="3"/>
  <c r="Y53" i="3"/>
  <c r="V53" i="3"/>
  <c r="V54" i="3"/>
  <c r="P53" i="3"/>
  <c r="P54" i="3"/>
  <c r="Q53" i="3"/>
  <c r="Q54" i="3"/>
  <c r="AO54" i="3"/>
  <c r="AO53" i="3"/>
  <c r="AF63" i="3"/>
  <c r="AG63" i="3"/>
  <c r="AH63" i="3"/>
  <c r="AI63" i="3"/>
  <c r="AJ63" i="3"/>
  <c r="Y63" i="3"/>
  <c r="AL63" i="3"/>
  <c r="O63" i="3"/>
  <c r="P63" i="3"/>
  <c r="AB63" i="3"/>
  <c r="AN63" i="3"/>
  <c r="U63" i="3"/>
  <c r="W63" i="3"/>
  <c r="AM63" i="3"/>
  <c r="Q63" i="3"/>
  <c r="AC63" i="3"/>
  <c r="AO63" i="3"/>
  <c r="T63" i="3"/>
  <c r="V63" i="3"/>
  <c r="X63" i="3"/>
  <c r="AK63" i="3"/>
  <c r="Z63" i="3"/>
  <c r="AA63" i="3"/>
  <c r="R63" i="3"/>
  <c r="AD63" i="3"/>
  <c r="AP63" i="3"/>
  <c r="AO19" i="3"/>
  <c r="X19" i="3"/>
  <c r="AK19" i="3"/>
  <c r="AJ19" i="3"/>
  <c r="Q19" i="3"/>
  <c r="AB19" i="3"/>
  <c r="P19" i="3"/>
  <c r="AN19" i="3"/>
  <c r="AA19" i="3"/>
  <c r="T19" i="3"/>
  <c r="O19" i="3"/>
  <c r="AM19" i="3"/>
  <c r="W19" i="3"/>
  <c r="AI19" i="3"/>
  <c r="U19" i="3"/>
  <c r="AG19" i="3"/>
  <c r="AH19" i="3"/>
  <c r="AF19" i="3"/>
  <c r="S19" i="3"/>
  <c r="AE19" i="3"/>
  <c r="V19" i="3"/>
  <c r="R19" i="3"/>
  <c r="AP19" i="3"/>
  <c r="AD19" i="3"/>
  <c r="AC19" i="3"/>
  <c r="Z19" i="3"/>
  <c r="AL19" i="3"/>
  <c r="S56" i="3"/>
  <c r="AE56" i="3"/>
  <c r="W56" i="3"/>
  <c r="Z56" i="3"/>
  <c r="R56" i="3"/>
  <c r="AD56" i="3"/>
  <c r="Y56" i="3"/>
  <c r="O56" i="3"/>
  <c r="AA56" i="3"/>
  <c r="P56" i="3"/>
  <c r="AB56" i="3"/>
  <c r="Q56" i="3"/>
  <c r="AC56" i="3"/>
  <c r="X56" i="3"/>
  <c r="T56" i="3"/>
  <c r="AF56" i="3"/>
  <c r="U56" i="3"/>
  <c r="V56" i="3"/>
  <c r="AD43" i="3"/>
  <c r="AP43" i="3"/>
  <c r="Z43" i="3"/>
  <c r="AL43" i="3"/>
  <c r="AB43" i="3"/>
  <c r="AN43" i="3"/>
  <c r="AA43" i="3"/>
  <c r="AM43" i="3"/>
  <c r="AE43" i="3"/>
  <c r="AO43" i="3"/>
  <c r="AF43" i="3"/>
  <c r="AC43" i="3"/>
  <c r="AG43" i="3"/>
  <c r="AH43" i="3"/>
  <c r="W43" i="3"/>
  <c r="AI43" i="3"/>
  <c r="X43" i="3"/>
  <c r="AJ43" i="3"/>
  <c r="Y43" i="3"/>
  <c r="AK43" i="3"/>
  <c r="AR173" i="3"/>
  <c r="AR172" i="3"/>
  <c r="AR145" i="3"/>
  <c r="AI7" i="3"/>
  <c r="R7" i="3"/>
  <c r="P31" i="3"/>
  <c r="AO7" i="3"/>
  <c r="AC7" i="3"/>
  <c r="AN7" i="3"/>
  <c r="AL7" i="3"/>
  <c r="W7" i="3"/>
  <c r="AH7" i="3"/>
  <c r="AM7" i="3"/>
  <c r="Y76" i="3"/>
  <c r="Q43" i="3"/>
  <c r="T43" i="3"/>
  <c r="AF7" i="3"/>
  <c r="AK76" i="3"/>
  <c r="R31" i="3"/>
  <c r="X7" i="3"/>
  <c r="Q7" i="3"/>
  <c r="AB7" i="3"/>
  <c r="AG7" i="3"/>
  <c r="Z7" i="3"/>
  <c r="AJ7" i="3"/>
  <c r="U31" i="3"/>
  <c r="T31" i="3"/>
  <c r="U43" i="3"/>
  <c r="AP7" i="3"/>
  <c r="AD7" i="3"/>
  <c r="AA7" i="3"/>
  <c r="O7" i="3"/>
  <c r="O31" i="3"/>
  <c r="Y7" i="3"/>
  <c r="AK7" i="3"/>
  <c r="R43" i="3"/>
  <c r="O76" i="3"/>
  <c r="AA76" i="3"/>
  <c r="AM76" i="3"/>
  <c r="S7" i="3"/>
  <c r="Q31" i="3"/>
  <c r="O43" i="3"/>
  <c r="P7" i="3"/>
  <c r="U7" i="3"/>
  <c r="AE7" i="3"/>
  <c r="T7" i="3"/>
  <c r="T76" i="3"/>
  <c r="AF76" i="3"/>
  <c r="S76" i="3"/>
  <c r="AE76" i="3"/>
  <c r="S31" i="3"/>
  <c r="U76" i="3"/>
  <c r="AG76" i="3"/>
  <c r="V76" i="3"/>
  <c r="AH76" i="3"/>
  <c r="W76" i="3"/>
  <c r="AI76" i="3"/>
  <c r="V43" i="3"/>
  <c r="X76" i="3"/>
  <c r="AJ76" i="3"/>
  <c r="Z76" i="3"/>
  <c r="AL76" i="3"/>
  <c r="P43" i="3"/>
  <c r="S43" i="3"/>
  <c r="P76" i="3"/>
  <c r="AB76" i="3"/>
  <c r="AN76" i="3"/>
  <c r="Q76" i="3"/>
  <c r="AC76" i="3"/>
  <c r="AO76" i="3"/>
  <c r="V31" i="3"/>
  <c r="R76" i="3"/>
  <c r="AD76" i="3"/>
  <c r="AP76" i="3"/>
  <c r="V7" i="3"/>
  <c r="O112" i="2"/>
  <c r="N112" i="2"/>
  <c r="M112" i="2"/>
  <c r="AH54" i="3" l="1"/>
  <c r="AP53" i="3"/>
  <c r="AF53" i="3"/>
  <c r="AF54" i="3"/>
  <c r="AC53" i="3"/>
  <c r="AI54" i="3"/>
  <c r="AP54" i="3"/>
  <c r="AE54" i="3"/>
  <c r="AM54" i="3"/>
  <c r="AL53" i="3"/>
  <c r="AK53" i="3"/>
  <c r="AM53" i="3"/>
  <c r="AL54" i="3"/>
  <c r="AK54" i="3"/>
  <c r="AI53" i="3"/>
  <c r="AN54" i="3"/>
  <c r="AN53" i="3"/>
  <c r="AB182" i="3"/>
  <c r="AG182" i="3"/>
  <c r="W182" i="3"/>
  <c r="AF142" i="3"/>
  <c r="AF147" i="3" s="1"/>
  <c r="AI182" i="3"/>
  <c r="AL182" i="3"/>
  <c r="T142" i="3"/>
  <c r="T182" i="3" s="1"/>
  <c r="AN182" i="3"/>
  <c r="U182" i="3"/>
  <c r="Z182" i="3"/>
  <c r="AC142" i="3"/>
  <c r="AC182" i="3" s="1"/>
  <c r="AM142" i="3"/>
  <c r="AM182" i="3" s="1"/>
  <c r="AH142" i="3"/>
  <c r="AH182" i="3" s="1"/>
  <c r="R182" i="3"/>
  <c r="AK182" i="3"/>
  <c r="AP182" i="3"/>
  <c r="AA142" i="3"/>
  <c r="AA182" i="3" s="1"/>
  <c r="X142" i="3"/>
  <c r="X182" i="3" s="1"/>
  <c r="V142" i="3"/>
  <c r="V147" i="3" s="1"/>
  <c r="Q182" i="3"/>
  <c r="Y182" i="3"/>
  <c r="AD182" i="3"/>
  <c r="AE142" i="3"/>
  <c r="AE182" i="3" s="1"/>
  <c r="AJ182" i="3"/>
  <c r="S142" i="3"/>
  <c r="S182" i="3" s="1"/>
  <c r="Q141" i="3"/>
  <c r="Q148" i="3" s="1"/>
  <c r="V141" i="3"/>
  <c r="V148" i="3" s="1"/>
  <c r="AF141" i="3"/>
  <c r="AF148" i="3" s="1"/>
  <c r="Z141" i="3"/>
  <c r="Z148" i="3" s="1"/>
  <c r="AM141" i="3"/>
  <c r="AM148" i="3" s="1"/>
  <c r="AA141" i="3"/>
  <c r="AA148" i="3" s="1"/>
  <c r="X141" i="3"/>
  <c r="X148" i="3" s="1"/>
  <c r="AJ147" i="3"/>
  <c r="AB141" i="3"/>
  <c r="AB148" i="3" s="1"/>
  <c r="Y141" i="3"/>
  <c r="Y148" i="3" s="1"/>
  <c r="AG141" i="3"/>
  <c r="AG148" i="3" s="1"/>
  <c r="Z147" i="3"/>
  <c r="U141" i="3"/>
  <c r="U148" i="3" s="1"/>
  <c r="AE141" i="3"/>
  <c r="AE148" i="3" s="1"/>
  <c r="U147" i="3"/>
  <c r="AP141" i="3"/>
  <c r="AP148" i="3" s="1"/>
  <c r="AD141" i="3"/>
  <c r="AD148" i="3" s="1"/>
  <c r="P143" i="3"/>
  <c r="R141" i="3"/>
  <c r="R148" i="3" s="1"/>
  <c r="S141" i="3"/>
  <c r="S148" i="3" s="1"/>
  <c r="T141" i="3"/>
  <c r="T148" i="3" s="1"/>
  <c r="AK141" i="3"/>
  <c r="AK148" i="3" s="1"/>
  <c r="AJ141" i="3"/>
  <c r="AJ148" i="3" s="1"/>
  <c r="AL141" i="3"/>
  <c r="AL148" i="3" s="1"/>
  <c r="AO141" i="3"/>
  <c r="AO148" i="3" s="1"/>
  <c r="AB147" i="3"/>
  <c r="AN141" i="3"/>
  <c r="AN148" i="3" s="1"/>
  <c r="P141" i="3"/>
  <c r="AH141" i="3"/>
  <c r="AH148" i="3" s="1"/>
  <c r="AC141" i="3"/>
  <c r="AC148" i="3" s="1"/>
  <c r="AI141" i="3"/>
  <c r="AI148" i="3" s="1"/>
  <c r="W141" i="3"/>
  <c r="W148" i="3" s="1"/>
  <c r="AD147" i="3"/>
  <c r="V90" i="3"/>
  <c r="S90" i="3"/>
  <c r="U91" i="3"/>
  <c r="V91" i="3"/>
  <c r="P90" i="3"/>
  <c r="Q90" i="3"/>
  <c r="O90" i="3"/>
  <c r="Q89" i="3"/>
  <c r="T90" i="3"/>
  <c r="T89" i="3"/>
  <c r="P89" i="3"/>
  <c r="O91" i="3"/>
  <c r="S91" i="3"/>
  <c r="U90" i="3"/>
  <c r="R89" i="3"/>
  <c r="R91" i="3"/>
  <c r="AC21" i="3"/>
  <c r="R21" i="3"/>
  <c r="AD21" i="3"/>
  <c r="AL21" i="3"/>
  <c r="AH21" i="3"/>
  <c r="AE21" i="3"/>
  <c r="T21" i="3"/>
  <c r="AF21" i="3"/>
  <c r="P21" i="3"/>
  <c r="AB21" i="3"/>
  <c r="AM21" i="3"/>
  <c r="AN21" i="3"/>
  <c r="AI21" i="3"/>
  <c r="S21" i="3"/>
  <c r="AA21" i="3"/>
  <c r="AG21" i="3"/>
  <c r="Q21" i="3"/>
  <c r="U21" i="3"/>
  <c r="AJ21" i="3"/>
  <c r="V21" i="3"/>
  <c r="Z20" i="3"/>
  <c r="Z21" i="3"/>
  <c r="AK21" i="3"/>
  <c r="AP20" i="3"/>
  <c r="AP21" i="3"/>
  <c r="X20" i="3"/>
  <c r="W21" i="3"/>
  <c r="Y20" i="3"/>
  <c r="X21" i="3"/>
  <c r="AO21" i="3"/>
  <c r="Y21" i="3"/>
  <c r="O21" i="3"/>
  <c r="AO20" i="3"/>
  <c r="AC20" i="3"/>
  <c r="R20" i="3"/>
  <c r="Q20" i="3"/>
  <c r="AK20" i="3"/>
  <c r="AL20" i="3"/>
  <c r="P20" i="3"/>
  <c r="AJ20" i="3"/>
  <c r="AM20" i="3"/>
  <c r="U20" i="3"/>
  <c r="AB20" i="3"/>
  <c r="S20" i="3"/>
  <c r="AF20" i="3"/>
  <c r="AN20" i="3"/>
  <c r="AA20" i="3"/>
  <c r="AI20" i="3"/>
  <c r="AH20" i="3"/>
  <c r="AG20" i="3"/>
  <c r="AD20" i="3"/>
  <c r="T20" i="3"/>
  <c r="W20" i="3"/>
  <c r="V20" i="3"/>
  <c r="O20" i="3"/>
  <c r="AE20" i="3"/>
  <c r="W31" i="3"/>
  <c r="O147" i="3"/>
  <c r="O149" i="3"/>
  <c r="O103" i="3"/>
  <c r="O104" i="3" s="1"/>
  <c r="O105" i="3" s="1"/>
  <c r="AR144" i="3"/>
  <c r="W8" i="3"/>
  <c r="R147" i="3"/>
  <c r="R8" i="3"/>
  <c r="AN8" i="3"/>
  <c r="AI8" i="3"/>
  <c r="AO8" i="3"/>
  <c r="O8" i="3"/>
  <c r="AD8" i="3"/>
  <c r="AL8" i="3"/>
  <c r="AH8" i="3"/>
  <c r="AC8" i="3"/>
  <c r="AM8" i="3"/>
  <c r="AP8" i="3"/>
  <c r="Q8" i="3"/>
  <c r="X8" i="3"/>
  <c r="AB8" i="3"/>
  <c r="AG8" i="3"/>
  <c r="U8" i="3"/>
  <c r="AK8" i="3"/>
  <c r="AJ8" i="3"/>
  <c r="AF8" i="3"/>
  <c r="Z8" i="3"/>
  <c r="T8" i="3"/>
  <c r="P8" i="3"/>
  <c r="AE8" i="3"/>
  <c r="Y8" i="3"/>
  <c r="AA8" i="3"/>
  <c r="S8" i="3"/>
  <c r="V8" i="3"/>
  <c r="J104" i="2"/>
  <c r="K104" i="2"/>
  <c r="L104" i="2"/>
  <c r="M104" i="2"/>
  <c r="M110" i="2" s="1"/>
  <c r="N104" i="2"/>
  <c r="N110" i="2" s="1"/>
  <c r="O104" i="2"/>
  <c r="O110" i="2" s="1"/>
  <c r="P104" i="2"/>
  <c r="P110" i="2" s="1"/>
  <c r="Q104" i="2"/>
  <c r="Q110" i="2" s="1"/>
  <c r="R104" i="2"/>
  <c r="R110" i="2" s="1"/>
  <c r="S104" i="2"/>
  <c r="S110" i="2" s="1"/>
  <c r="T104" i="2"/>
  <c r="T110" i="2" s="1"/>
  <c r="U104" i="2"/>
  <c r="U110" i="2" s="1"/>
  <c r="V104" i="2"/>
  <c r="V110" i="2" s="1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V101" i="2"/>
  <c r="V108" i="2" s="1"/>
  <c r="U101" i="2"/>
  <c r="U108" i="2" s="1"/>
  <c r="T101" i="2"/>
  <c r="T108" i="2" s="1"/>
  <c r="S101" i="2"/>
  <c r="S108" i="2" s="1"/>
  <c r="R101" i="2"/>
  <c r="R108" i="2" s="1"/>
  <c r="Q101" i="2"/>
  <c r="Q108" i="2" s="1"/>
  <c r="P101" i="2"/>
  <c r="P108" i="2" s="1"/>
  <c r="O101" i="2"/>
  <c r="N101" i="2"/>
  <c r="M101" i="2"/>
  <c r="L101" i="2"/>
  <c r="K101" i="2"/>
  <c r="J101" i="2"/>
  <c r="V100" i="2"/>
  <c r="V107" i="2" s="1"/>
  <c r="U100" i="2"/>
  <c r="U107" i="2" s="1"/>
  <c r="T100" i="2"/>
  <c r="T107" i="2" s="1"/>
  <c r="S100" i="2"/>
  <c r="S107" i="2" s="1"/>
  <c r="R100" i="2"/>
  <c r="R107" i="2" s="1"/>
  <c r="Q100" i="2"/>
  <c r="Q107" i="2" s="1"/>
  <c r="P100" i="2"/>
  <c r="P107" i="2" s="1"/>
  <c r="O100" i="2"/>
  <c r="N100" i="2"/>
  <c r="M100" i="2"/>
  <c r="L100" i="2"/>
  <c r="K100" i="2"/>
  <c r="J100" i="2"/>
  <c r="V99" i="2"/>
  <c r="V106" i="2" s="1"/>
  <c r="V113" i="2" s="1"/>
  <c r="U99" i="2"/>
  <c r="U106" i="2" s="1"/>
  <c r="U113" i="2" s="1"/>
  <c r="T99" i="2"/>
  <c r="T106" i="2" s="1"/>
  <c r="T113" i="2" s="1"/>
  <c r="S99" i="2"/>
  <c r="S106" i="2" s="1"/>
  <c r="S113" i="2" s="1"/>
  <c r="R99" i="2"/>
  <c r="R106" i="2" s="1"/>
  <c r="R113" i="2" s="1"/>
  <c r="Q99" i="2"/>
  <c r="Q106" i="2" s="1"/>
  <c r="Q113" i="2" s="1"/>
  <c r="P99" i="2"/>
  <c r="P106" i="2" s="1"/>
  <c r="P113" i="2" s="1"/>
  <c r="O99" i="2"/>
  <c r="O113" i="2" s="1"/>
  <c r="N99" i="2"/>
  <c r="N113" i="2" s="1"/>
  <c r="M99" i="2"/>
  <c r="M113" i="2" s="1"/>
  <c r="L99" i="2"/>
  <c r="L113" i="2" s="1"/>
  <c r="K99" i="2"/>
  <c r="K113" i="2" s="1"/>
  <c r="J99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V79" i="2"/>
  <c r="V86" i="2" s="1"/>
  <c r="U79" i="2"/>
  <c r="U86" i="2" s="1"/>
  <c r="T79" i="2"/>
  <c r="T86" i="2" s="1"/>
  <c r="S79" i="2"/>
  <c r="S86" i="2" s="1"/>
  <c r="R79" i="2"/>
  <c r="R86" i="2" s="1"/>
  <c r="Q79" i="2"/>
  <c r="Q86" i="2" s="1"/>
  <c r="P79" i="2"/>
  <c r="P86" i="2" s="1"/>
  <c r="O79" i="2"/>
  <c r="N79" i="2"/>
  <c r="M79" i="2"/>
  <c r="L79" i="2"/>
  <c r="K79" i="2"/>
  <c r="J79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J4" i="2"/>
  <c r="K4" i="2"/>
  <c r="L4" i="2"/>
  <c r="M4" i="2"/>
  <c r="N4" i="2"/>
  <c r="O4" i="2"/>
  <c r="P4" i="2"/>
  <c r="Q4" i="2"/>
  <c r="R4" i="2"/>
  <c r="S4" i="2"/>
  <c r="T4" i="2"/>
  <c r="U4" i="2"/>
  <c r="V4" i="2"/>
  <c r="J5" i="2"/>
  <c r="K5" i="2"/>
  <c r="L5" i="2"/>
  <c r="M5" i="2"/>
  <c r="N5" i="2"/>
  <c r="O5" i="2"/>
  <c r="P5" i="2"/>
  <c r="Q5" i="2"/>
  <c r="R5" i="2"/>
  <c r="S5" i="2"/>
  <c r="T5" i="2"/>
  <c r="U5" i="2"/>
  <c r="V5" i="2"/>
  <c r="K3" i="2"/>
  <c r="L3" i="2"/>
  <c r="M3" i="2"/>
  <c r="N3" i="2"/>
  <c r="O3" i="2"/>
  <c r="P3" i="2"/>
  <c r="Q3" i="2"/>
  <c r="R3" i="2"/>
  <c r="S3" i="2"/>
  <c r="T3" i="2"/>
  <c r="U3" i="2"/>
  <c r="V3" i="2"/>
  <c r="J3" i="2"/>
  <c r="AA147" i="3" l="1"/>
  <c r="AF182" i="3"/>
  <c r="V182" i="3"/>
  <c r="AG103" i="3"/>
  <c r="AG108" i="3" s="1"/>
  <c r="AG109" i="3" s="1"/>
  <c r="Y103" i="3"/>
  <c r="Y108" i="3" s="1"/>
  <c r="Y109" i="3" s="1"/>
  <c r="X149" i="3"/>
  <c r="AR143" i="3"/>
  <c r="AE149" i="3"/>
  <c r="T149" i="3"/>
  <c r="AR141" i="3"/>
  <c r="P148" i="3"/>
  <c r="W103" i="3"/>
  <c r="W108" i="3" s="1"/>
  <c r="W109" i="3" s="1"/>
  <c r="X147" i="3"/>
  <c r="AD149" i="3"/>
  <c r="AL149" i="3"/>
  <c r="AR142" i="3"/>
  <c r="Q147" i="3"/>
  <c r="AD103" i="3"/>
  <c r="AD108" i="3" s="1"/>
  <c r="AD109" i="3" s="1"/>
  <c r="AJ103" i="3"/>
  <c r="AJ108" i="3" s="1"/>
  <c r="AJ109" i="3" s="1"/>
  <c r="Y149" i="3"/>
  <c r="AJ149" i="3"/>
  <c r="X103" i="3"/>
  <c r="X108" i="3" s="1"/>
  <c r="X109" i="3" s="1"/>
  <c r="AH149" i="3"/>
  <c r="AH103" i="3"/>
  <c r="AH108" i="3" s="1"/>
  <c r="AH109" i="3" s="1"/>
  <c r="AL103" i="3"/>
  <c r="AL108" i="3" s="1"/>
  <c r="AL109" i="3" s="1"/>
  <c r="Y147" i="3"/>
  <c r="AM147" i="3"/>
  <c r="AL147" i="3"/>
  <c r="AH147" i="3"/>
  <c r="R149" i="3"/>
  <c r="T147" i="3"/>
  <c r="AK149" i="3"/>
  <c r="R103" i="3"/>
  <c r="R108" i="3" s="1"/>
  <c r="R109" i="3" s="1"/>
  <c r="AM103" i="3"/>
  <c r="AM108" i="3" s="1"/>
  <c r="AM109" i="3" s="1"/>
  <c r="U103" i="3"/>
  <c r="U149" i="3"/>
  <c r="AM149" i="3"/>
  <c r="AA103" i="3"/>
  <c r="AA108" i="3" s="1"/>
  <c r="AA109" i="3" s="1"/>
  <c r="AB103" i="3"/>
  <c r="AB108" i="3" s="1"/>
  <c r="AB109" i="3" s="1"/>
  <c r="AC147" i="3"/>
  <c r="T103" i="3"/>
  <c r="T108" i="3" s="1"/>
  <c r="T109" i="3" s="1"/>
  <c r="AE103" i="3"/>
  <c r="AE108" i="3" s="1"/>
  <c r="AE109" i="3" s="1"/>
  <c r="Q103" i="3"/>
  <c r="Q104" i="3" s="1"/>
  <c r="Q105" i="3" s="1"/>
  <c r="Q149" i="3"/>
  <c r="Z103" i="3"/>
  <c r="Z108" i="3" s="1"/>
  <c r="Z109" i="3" s="1"/>
  <c r="AA149" i="3"/>
  <c r="W149" i="3"/>
  <c r="AE147" i="3"/>
  <c r="W147" i="3"/>
  <c r="AF149" i="3"/>
  <c r="AC149" i="3"/>
  <c r="AF103" i="3"/>
  <c r="AF108" i="3" s="1"/>
  <c r="AF109" i="3" s="1"/>
  <c r="AC103" i="3"/>
  <c r="AC108" i="3" s="1"/>
  <c r="AC109" i="3" s="1"/>
  <c r="AB149" i="3"/>
  <c r="Z149" i="3"/>
  <c r="V103" i="3"/>
  <c r="V149" i="3"/>
  <c r="S103" i="3"/>
  <c r="S147" i="3"/>
  <c r="S149" i="3"/>
  <c r="AK103" i="3"/>
  <c r="AK108" i="3" s="1"/>
  <c r="AK109" i="3" s="1"/>
  <c r="AI147" i="3"/>
  <c r="AI103" i="3"/>
  <c r="AI108" i="3" s="1"/>
  <c r="AI109" i="3" s="1"/>
  <c r="AI149" i="3"/>
  <c r="AK147" i="3"/>
  <c r="AG147" i="3"/>
  <c r="AG149" i="3"/>
  <c r="U56" i="2"/>
  <c r="U55" i="2"/>
  <c r="V56" i="2"/>
  <c r="V55" i="2"/>
  <c r="K56" i="2"/>
  <c r="K55" i="2"/>
  <c r="T55" i="2"/>
  <c r="T56" i="2"/>
  <c r="L56" i="2"/>
  <c r="L55" i="2"/>
  <c r="N56" i="2"/>
  <c r="N55" i="2"/>
  <c r="S55" i="2"/>
  <c r="S56" i="2"/>
  <c r="M56" i="2"/>
  <c r="M55" i="2"/>
  <c r="O55" i="2"/>
  <c r="O56" i="2"/>
  <c r="P56" i="2"/>
  <c r="P55" i="2"/>
  <c r="Q56" i="2"/>
  <c r="Q55" i="2"/>
  <c r="R56" i="2"/>
  <c r="R55" i="2"/>
  <c r="X113" i="2"/>
  <c r="Q109" i="2"/>
  <c r="Q82" i="2" s="1"/>
  <c r="U7" i="2"/>
  <c r="K7" i="2"/>
  <c r="O82" i="2"/>
  <c r="O83" i="2" s="1"/>
  <c r="O84" i="2" s="1"/>
  <c r="M82" i="2"/>
  <c r="M83" i="2" s="1"/>
  <c r="M84" i="2" s="1"/>
  <c r="L33" i="2"/>
  <c r="J7" i="2"/>
  <c r="V7" i="2"/>
  <c r="P109" i="2"/>
  <c r="S7" i="2"/>
  <c r="S109" i="2"/>
  <c r="S82" i="2" s="1"/>
  <c r="K21" i="2"/>
  <c r="P7" i="2"/>
  <c r="J82" i="2"/>
  <c r="S21" i="2"/>
  <c r="T109" i="2"/>
  <c r="T82" i="2" s="1"/>
  <c r="O7" i="2"/>
  <c r="K82" i="2"/>
  <c r="M21" i="2"/>
  <c r="Q7" i="2"/>
  <c r="U109" i="2"/>
  <c r="U82" i="2" s="1"/>
  <c r="M7" i="2"/>
  <c r="J33" i="2"/>
  <c r="V33" i="2"/>
  <c r="L7" i="2"/>
  <c r="N82" i="2"/>
  <c r="N83" i="2" s="1"/>
  <c r="N84" i="2" s="1"/>
  <c r="S33" i="2"/>
  <c r="T33" i="2"/>
  <c r="N7" i="2"/>
  <c r="T21" i="2"/>
  <c r="U33" i="2"/>
  <c r="X106" i="2"/>
  <c r="L82" i="2"/>
  <c r="U21" i="2"/>
  <c r="X107" i="2"/>
  <c r="R21" i="2"/>
  <c r="K33" i="2"/>
  <c r="X108" i="2"/>
  <c r="R33" i="2"/>
  <c r="V21" i="2"/>
  <c r="P21" i="2"/>
  <c r="O21" i="2"/>
  <c r="N33" i="2"/>
  <c r="J21" i="2"/>
  <c r="Q21" i="2"/>
  <c r="M33" i="2"/>
  <c r="T7" i="2"/>
  <c r="N21" i="2"/>
  <c r="O33" i="2"/>
  <c r="R109" i="2"/>
  <c r="R82" i="2" s="1"/>
  <c r="X110" i="2"/>
  <c r="P33" i="2"/>
  <c r="R7" i="2"/>
  <c r="L21" i="2"/>
  <c r="Q33" i="2"/>
  <c r="V109" i="2"/>
  <c r="V82" i="2" s="1"/>
  <c r="AR148" i="3" l="1"/>
  <c r="U8" i="2"/>
  <c r="R104" i="3"/>
  <c r="R105" i="3" s="1"/>
  <c r="Q108" i="3"/>
  <c r="Q109" i="3" s="1"/>
  <c r="T104" i="3"/>
  <c r="T105" i="3" s="1"/>
  <c r="U108" i="3"/>
  <c r="U109" i="3" s="1"/>
  <c r="U104" i="3"/>
  <c r="U105" i="3" s="1"/>
  <c r="S108" i="3"/>
  <c r="S109" i="3" s="1"/>
  <c r="S104" i="3"/>
  <c r="S105" i="3" s="1"/>
  <c r="V108" i="3"/>
  <c r="V109" i="3" s="1"/>
  <c r="V104" i="3"/>
  <c r="V105" i="3" s="1"/>
  <c r="P82" i="2"/>
  <c r="P83" i="2" s="1"/>
  <c r="P84" i="2" s="1"/>
  <c r="X109" i="2"/>
  <c r="S83" i="2"/>
  <c r="S84" i="2" s="1"/>
  <c r="S87" i="2"/>
  <c r="V83" i="2"/>
  <c r="V84" i="2" s="1"/>
  <c r="V87" i="2"/>
  <c r="U83" i="2"/>
  <c r="U84" i="2" s="1"/>
  <c r="U87" i="2"/>
  <c r="T83" i="2"/>
  <c r="T84" i="2" s="1"/>
  <c r="T87" i="2"/>
  <c r="R83" i="2"/>
  <c r="R84" i="2" s="1"/>
  <c r="R87" i="2"/>
  <c r="Q83" i="2"/>
  <c r="Q84" i="2" s="1"/>
  <c r="Q87" i="2"/>
  <c r="Q114" i="2"/>
  <c r="M114" i="2"/>
  <c r="O114" i="2"/>
  <c r="K112" i="2"/>
  <c r="N114" i="2"/>
  <c r="Q112" i="2"/>
  <c r="U114" i="2"/>
  <c r="T114" i="2"/>
  <c r="R112" i="2"/>
  <c r="R114" i="2"/>
  <c r="L112" i="2"/>
  <c r="S112" i="2"/>
  <c r="L114" i="2"/>
  <c r="K114" i="2"/>
  <c r="P112" i="2"/>
  <c r="U112" i="2"/>
  <c r="S114" i="2"/>
  <c r="V114" i="2"/>
  <c r="V112" i="2"/>
  <c r="T112" i="2"/>
  <c r="P114" i="2"/>
  <c r="W7" i="2"/>
  <c r="K8" i="2"/>
  <c r="L8" i="2"/>
  <c r="V8" i="2"/>
  <c r="O8" i="2"/>
  <c r="P8" i="2"/>
  <c r="S8" i="2"/>
  <c r="Q8" i="2"/>
  <c r="R8" i="2"/>
  <c r="M8" i="2"/>
  <c r="N8" i="2"/>
  <c r="T8" i="2"/>
  <c r="W21" i="2"/>
  <c r="P87" i="2" l="1"/>
  <c r="X112" i="2"/>
  <c r="X114" i="2"/>
  <c r="P149" i="3"/>
  <c r="P147" i="3"/>
  <c r="AR147" i="3" s="1"/>
  <c r="P103" i="3"/>
  <c r="P108" i="3" s="1"/>
  <c r="P109" i="3" s="1"/>
  <c r="AN103" i="3"/>
  <c r="AN108" i="3" s="1"/>
  <c r="AN109" i="3" s="1"/>
  <c r="AP147" i="3"/>
  <c r="AO103" i="3"/>
  <c r="AO108" i="3" s="1"/>
  <c r="AO109" i="3" s="1"/>
  <c r="AR149" i="3" l="1"/>
  <c r="AP149" i="3"/>
  <c r="AN147" i="3"/>
  <c r="AP103" i="3"/>
  <c r="AP108" i="3" s="1"/>
  <c r="AP109" i="3" s="1"/>
  <c r="AN149" i="3"/>
  <c r="P104" i="3"/>
  <c r="P105" i="3" s="1"/>
  <c r="AO149" i="3"/>
  <c r="AO147" i="3"/>
  <c r="Q19" i="7" l="1"/>
  <c r="P16" i="7"/>
  <c r="O21" i="7"/>
  <c r="H13" i="14" s="1"/>
  <c r="O15" i="7"/>
  <c r="O20" i="7"/>
  <c r="O18" i="7"/>
  <c r="O19" i="7"/>
  <c r="H62" i="14" s="1"/>
  <c r="M21" i="6"/>
  <c r="O17" i="7"/>
  <c r="O16" i="7"/>
  <c r="M19" i="6"/>
  <c r="M20" i="6"/>
  <c r="O22" i="7"/>
  <c r="H63" i="14" l="1"/>
  <c r="H90" i="14"/>
  <c r="O95" i="7"/>
  <c r="H85" i="14"/>
  <c r="H60" i="14"/>
  <c r="I59" i="14"/>
  <c r="I83" i="14"/>
  <c r="O93" i="7"/>
  <c r="H94" i="14"/>
  <c r="E72" i="14"/>
  <c r="J62" i="14"/>
  <c r="H58" i="14"/>
  <c r="H81" i="14"/>
  <c r="H59" i="14"/>
  <c r="H83" i="14"/>
  <c r="O96" i="7"/>
  <c r="H86" i="14"/>
  <c r="H61" i="14"/>
  <c r="P22" i="7"/>
  <c r="P18" i="7"/>
  <c r="P19" i="7"/>
  <c r="I62" i="14" s="1"/>
  <c r="Q21" i="7"/>
  <c r="O19" i="6"/>
  <c r="P20" i="7"/>
  <c r="O21" i="6"/>
  <c r="N20" i="6"/>
  <c r="O20" i="6"/>
  <c r="P21" i="7"/>
  <c r="I13" i="14" s="1"/>
  <c r="Q15" i="7"/>
  <c r="Q17" i="7"/>
  <c r="N19" i="6"/>
  <c r="P15" i="7"/>
  <c r="Q18" i="7"/>
  <c r="Q16" i="7"/>
  <c r="Q20" i="7"/>
  <c r="P17" i="7"/>
  <c r="N21" i="6"/>
  <c r="Q22" i="7"/>
  <c r="J94" i="14" s="1"/>
  <c r="O94" i="7"/>
  <c r="O23" i="7"/>
  <c r="O26" i="7" s="1"/>
  <c r="O27" i="7"/>
  <c r="O97" i="7"/>
  <c r="P97" i="7"/>
  <c r="P27" i="7"/>
  <c r="O25" i="7"/>
  <c r="O98" i="7"/>
  <c r="M23" i="6"/>
  <c r="Q94" i="7"/>
  <c r="Q23" i="7"/>
  <c r="I58" i="14" l="1"/>
  <c r="I81" i="14"/>
  <c r="I61" i="14"/>
  <c r="I86" i="14"/>
  <c r="P93" i="7"/>
  <c r="I94" i="14"/>
  <c r="J58" i="14"/>
  <c r="J81" i="14"/>
  <c r="E70" i="14"/>
  <c r="J85" i="14"/>
  <c r="J60" i="14"/>
  <c r="I85" i="14"/>
  <c r="I60" i="14"/>
  <c r="I63" i="14"/>
  <c r="I90" i="14"/>
  <c r="J63" i="14"/>
  <c r="J90" i="14"/>
  <c r="E69" i="14"/>
  <c r="J59" i="14"/>
  <c r="J83" i="14"/>
  <c r="E20" i="14"/>
  <c r="E23" i="14" s="1"/>
  <c r="E26" i="14" s="1"/>
  <c r="E48" i="14" s="1"/>
  <c r="J13" i="14"/>
  <c r="J61" i="14"/>
  <c r="J86" i="14"/>
  <c r="O23" i="6"/>
  <c r="O25" i="6" s="1"/>
  <c r="N23" i="6"/>
  <c r="N25" i="6" s="1"/>
  <c r="E71" i="14"/>
  <c r="E109" i="14"/>
  <c r="E73" i="14"/>
  <c r="P23" i="7"/>
  <c r="P26" i="7" s="1"/>
  <c r="P94" i="7"/>
  <c r="Q96" i="7"/>
  <c r="P95" i="7"/>
  <c r="Q95" i="7"/>
  <c r="E111" i="14"/>
  <c r="Q26" i="7"/>
  <c r="P25" i="7"/>
  <c r="Q93" i="7"/>
  <c r="E114" i="14"/>
  <c r="P96" i="7"/>
  <c r="P98" i="7"/>
  <c r="Q98" i="7"/>
  <c r="Q97" i="7"/>
  <c r="D48" i="14"/>
  <c r="Q25" i="7"/>
  <c r="Q27" i="7"/>
  <c r="S19" i="7"/>
  <c r="S15" i="7"/>
  <c r="Q20" i="6"/>
  <c r="S22" i="7"/>
  <c r="L94" i="14" s="1"/>
  <c r="S21" i="7"/>
  <c r="Q19" i="6"/>
  <c r="S16" i="7"/>
  <c r="S18" i="7"/>
  <c r="S17" i="7"/>
  <c r="Q21" i="6"/>
  <c r="S20" i="7"/>
  <c r="M24" i="6"/>
  <c r="M25" i="6"/>
  <c r="N24" i="6"/>
  <c r="G69" i="14" l="1"/>
  <c r="L83" i="14"/>
  <c r="L59" i="14"/>
  <c r="L58" i="14"/>
  <c r="L81" i="14"/>
  <c r="G72" i="14"/>
  <c r="L62" i="14"/>
  <c r="E28" i="14"/>
  <c r="E29" i="14" s="1"/>
  <c r="E49" i="14" s="1"/>
  <c r="E53" i="14" s="1"/>
  <c r="E100" i="14" s="1"/>
  <c r="G20" i="14"/>
  <c r="G23" i="14" s="1"/>
  <c r="G26" i="14" s="1"/>
  <c r="G48" i="14" s="1"/>
  <c r="L13" i="14"/>
  <c r="G70" i="14"/>
  <c r="L60" i="14"/>
  <c r="L85" i="14"/>
  <c r="L63" i="14"/>
  <c r="L90" i="14"/>
  <c r="L61" i="14"/>
  <c r="L86" i="14"/>
  <c r="O24" i="6"/>
  <c r="E75" i="14"/>
  <c r="E88" i="14" s="1"/>
  <c r="G109" i="14"/>
  <c r="G73" i="14"/>
  <c r="G71" i="14"/>
  <c r="E65" i="14"/>
  <c r="D49" i="14"/>
  <c r="S93" i="7"/>
  <c r="G114" i="14"/>
  <c r="S95" i="7"/>
  <c r="G111" i="14"/>
  <c r="S96" i="7"/>
  <c r="S94" i="7"/>
  <c r="S23" i="7"/>
  <c r="S26" i="7" s="1"/>
  <c r="S25" i="7"/>
  <c r="S98" i="7"/>
  <c r="T17" i="7"/>
  <c r="T21" i="7"/>
  <c r="R20" i="6"/>
  <c r="T19" i="7"/>
  <c r="T18" i="7"/>
  <c r="T20" i="7"/>
  <c r="T15" i="7"/>
  <c r="R21" i="6"/>
  <c r="T22" i="7"/>
  <c r="M94" i="14" s="1"/>
  <c r="T16" i="7"/>
  <c r="R19" i="6"/>
  <c r="S97" i="7"/>
  <c r="S27" i="7"/>
  <c r="Q23" i="6"/>
  <c r="G28" i="14" l="1"/>
  <c r="G101" i="14" s="1"/>
  <c r="E101" i="14"/>
  <c r="H71" i="14"/>
  <c r="M61" i="14"/>
  <c r="M86" i="14"/>
  <c r="H20" i="14"/>
  <c r="H23" i="14" s="1"/>
  <c r="H26" i="14" s="1"/>
  <c r="H48" i="14" s="1"/>
  <c r="M13" i="14"/>
  <c r="H70" i="14"/>
  <c r="M60" i="14"/>
  <c r="M85" i="14"/>
  <c r="M63" i="14"/>
  <c r="M90" i="14"/>
  <c r="M58" i="14"/>
  <c r="M81" i="14"/>
  <c r="H72" i="14"/>
  <c r="M62" i="14"/>
  <c r="H69" i="14"/>
  <c r="M83" i="14"/>
  <c r="M59" i="14"/>
  <c r="G75" i="14"/>
  <c r="G88" i="14" s="1"/>
  <c r="E76" i="14"/>
  <c r="E87" i="14" s="1"/>
  <c r="E112" i="14" s="1"/>
  <c r="H109" i="14"/>
  <c r="H73" i="14"/>
  <c r="H75" i="14" s="1"/>
  <c r="H88" i="14" s="1"/>
  <c r="G65" i="14"/>
  <c r="E51" i="14"/>
  <c r="E93" i="14" s="1"/>
  <c r="E50" i="14"/>
  <c r="E52" i="14"/>
  <c r="T96" i="7"/>
  <c r="G29" i="14"/>
  <c r="G49" i="14" s="1"/>
  <c r="G53" i="14" s="1"/>
  <c r="G100" i="14" s="1"/>
  <c r="H28" i="14"/>
  <c r="H101" i="14" s="1"/>
  <c r="T95" i="7"/>
  <c r="H111" i="14"/>
  <c r="T93" i="7"/>
  <c r="H114" i="14"/>
  <c r="U20" i="7"/>
  <c r="U17" i="7"/>
  <c r="U22" i="7"/>
  <c r="N94" i="14" s="1"/>
  <c r="S19" i="6"/>
  <c r="U21" i="7"/>
  <c r="U19" i="7"/>
  <c r="U16" i="7"/>
  <c r="S20" i="6"/>
  <c r="U15" i="7"/>
  <c r="U18" i="7"/>
  <c r="S21" i="6"/>
  <c r="Q25" i="6"/>
  <c r="T97" i="7"/>
  <c r="R23" i="6"/>
  <c r="T98" i="7"/>
  <c r="T25" i="7"/>
  <c r="T23" i="7"/>
  <c r="T26" i="7" s="1"/>
  <c r="T94" i="7"/>
  <c r="G76" i="14" l="1"/>
  <c r="N90" i="14"/>
  <c r="N63" i="14"/>
  <c r="G87" i="14"/>
  <c r="G112" i="14" s="1"/>
  <c r="N86" i="14"/>
  <c r="N61" i="14"/>
  <c r="N58" i="14"/>
  <c r="N81" i="14"/>
  <c r="I69" i="14"/>
  <c r="N83" i="14"/>
  <c r="N59" i="14"/>
  <c r="I72" i="14"/>
  <c r="N62" i="14"/>
  <c r="I20" i="14"/>
  <c r="N13" i="14"/>
  <c r="E84" i="14"/>
  <c r="E82" i="14"/>
  <c r="E110" i="14" s="1"/>
  <c r="E91" i="14"/>
  <c r="E89" i="14"/>
  <c r="E113" i="14" s="1"/>
  <c r="I70" i="14"/>
  <c r="N60" i="14"/>
  <c r="N85" i="14"/>
  <c r="G52" i="14"/>
  <c r="H76" i="14"/>
  <c r="I71" i="14"/>
  <c r="I109" i="14"/>
  <c r="H65" i="14"/>
  <c r="I73" i="14"/>
  <c r="G50" i="14"/>
  <c r="G51" i="14"/>
  <c r="G93" i="14" s="1"/>
  <c r="H29" i="14"/>
  <c r="H49" i="14" s="1"/>
  <c r="H53" i="14" s="1"/>
  <c r="H100" i="14" s="1"/>
  <c r="I23" i="14"/>
  <c r="I26" i="14" s="1"/>
  <c r="I48" i="14" s="1"/>
  <c r="I28" i="14"/>
  <c r="I101" i="14" s="1"/>
  <c r="U95" i="7"/>
  <c r="I111" i="14"/>
  <c r="U96" i="7"/>
  <c r="U93" i="7"/>
  <c r="I114" i="14"/>
  <c r="U23" i="7"/>
  <c r="U26" i="7" s="1"/>
  <c r="U94" i="7"/>
  <c r="T20" i="6"/>
  <c r="V18" i="7"/>
  <c r="T21" i="6"/>
  <c r="V17" i="7"/>
  <c r="V21" i="7"/>
  <c r="V20" i="7"/>
  <c r="V22" i="7"/>
  <c r="O94" i="14" s="1"/>
  <c r="V15" i="7"/>
  <c r="V16" i="7"/>
  <c r="T19" i="6"/>
  <c r="V19" i="7"/>
  <c r="U98" i="7"/>
  <c r="U25" i="7"/>
  <c r="S23" i="6"/>
  <c r="R25" i="6"/>
  <c r="R24" i="6"/>
  <c r="U97" i="7"/>
  <c r="G84" i="14" l="1"/>
  <c r="G82" i="14"/>
  <c r="J20" i="14"/>
  <c r="J28" i="14" s="1"/>
  <c r="J101" i="14" s="1"/>
  <c r="O13" i="14"/>
  <c r="G89" i="14"/>
  <c r="G113" i="14" s="1"/>
  <c r="G91" i="14"/>
  <c r="J69" i="14"/>
  <c r="O59" i="14"/>
  <c r="O83" i="14"/>
  <c r="J72" i="14"/>
  <c r="O62" i="14"/>
  <c r="O86" i="14"/>
  <c r="O61" i="14"/>
  <c r="H87" i="14"/>
  <c r="H112" i="14" s="1"/>
  <c r="J70" i="14"/>
  <c r="O60" i="14"/>
  <c r="O85" i="14"/>
  <c r="O58" i="14"/>
  <c r="O81" i="14"/>
  <c r="O63" i="14"/>
  <c r="O90" i="14"/>
  <c r="H50" i="14"/>
  <c r="G110" i="14"/>
  <c r="I75" i="14"/>
  <c r="I88" i="14" s="1"/>
  <c r="J73" i="14"/>
  <c r="I65" i="14"/>
  <c r="J109" i="14"/>
  <c r="J65" i="14"/>
  <c r="J71" i="14"/>
  <c r="H52" i="14"/>
  <c r="V93" i="7"/>
  <c r="J114" i="14"/>
  <c r="J23" i="14"/>
  <c r="J26" i="14" s="1"/>
  <c r="J48" i="14" s="1"/>
  <c r="V95" i="7"/>
  <c r="J111" i="14"/>
  <c r="V96" i="7"/>
  <c r="I29" i="14"/>
  <c r="I49" i="14" s="1"/>
  <c r="I53" i="14" s="1"/>
  <c r="I100" i="14" s="1"/>
  <c r="H51" i="14"/>
  <c r="H93" i="14" s="1"/>
  <c r="T23" i="6"/>
  <c r="T25" i="6" s="1"/>
  <c r="W20" i="7"/>
  <c r="W18" i="7"/>
  <c r="U20" i="6"/>
  <c r="W19" i="7"/>
  <c r="W21" i="7"/>
  <c r="W17" i="7"/>
  <c r="W22" i="7"/>
  <c r="P94" i="14" s="1"/>
  <c r="W15" i="7"/>
  <c r="W16" i="7"/>
  <c r="U21" i="6"/>
  <c r="U19" i="6"/>
  <c r="V25" i="7"/>
  <c r="V98" i="7"/>
  <c r="S25" i="6"/>
  <c r="S24" i="6"/>
  <c r="V97" i="7"/>
  <c r="V94" i="7"/>
  <c r="V23" i="7"/>
  <c r="V26" i="7" s="1"/>
  <c r="J75" i="14" l="1"/>
  <c r="J88" i="14" s="1"/>
  <c r="H89" i="14"/>
  <c r="H91" i="14"/>
  <c r="H84" i="14"/>
  <c r="H82" i="14"/>
  <c r="H110" i="14" s="1"/>
  <c r="P13" i="14"/>
  <c r="P86" i="14"/>
  <c r="P61" i="14"/>
  <c r="P59" i="14"/>
  <c r="P83" i="14"/>
  <c r="P63" i="14"/>
  <c r="P90" i="14"/>
  <c r="P62" i="14"/>
  <c r="P58" i="14"/>
  <c r="P81" i="14"/>
  <c r="P60" i="14"/>
  <c r="P85" i="14"/>
  <c r="I76" i="14"/>
  <c r="J76" i="14"/>
  <c r="I50" i="14"/>
  <c r="I51" i="14"/>
  <c r="I93" i="14" s="1"/>
  <c r="I52" i="14"/>
  <c r="J29" i="14"/>
  <c r="J49" i="14" s="1"/>
  <c r="J53" i="14" s="1"/>
  <c r="J100" i="14" s="1"/>
  <c r="H113" i="14"/>
  <c r="W96" i="7"/>
  <c r="W93" i="7"/>
  <c r="W95" i="7"/>
  <c r="T24" i="6"/>
  <c r="W97" i="7"/>
  <c r="X22" i="7"/>
  <c r="Q94" i="14" s="1"/>
  <c r="X17" i="7"/>
  <c r="V20" i="6"/>
  <c r="X16" i="7"/>
  <c r="X15" i="7"/>
  <c r="X19" i="7"/>
  <c r="X18" i="7"/>
  <c r="V19" i="6"/>
  <c r="X21" i="7"/>
  <c r="X20" i="7"/>
  <c r="V21" i="6"/>
  <c r="W98" i="7"/>
  <c r="W25" i="7"/>
  <c r="W94" i="7"/>
  <c r="W23" i="7"/>
  <c r="W26" i="7" s="1"/>
  <c r="U23" i="6"/>
  <c r="J87" i="14" l="1"/>
  <c r="J112" i="14" s="1"/>
  <c r="Q81" i="14"/>
  <c r="Q58" i="14"/>
  <c r="I87" i="14"/>
  <c r="I112" i="14" s="1"/>
  <c r="I84" i="14"/>
  <c r="I82" i="14"/>
  <c r="L72" i="14"/>
  <c r="Q62" i="14"/>
  <c r="Q86" i="14"/>
  <c r="Q61" i="14"/>
  <c r="L70" i="14"/>
  <c r="Q85" i="14"/>
  <c r="Q60" i="14"/>
  <c r="L69" i="14"/>
  <c r="Q59" i="14"/>
  <c r="Q83" i="14"/>
  <c r="I89" i="14"/>
  <c r="I113" i="14" s="1"/>
  <c r="I91" i="14"/>
  <c r="L20" i="14"/>
  <c r="L23" i="14" s="1"/>
  <c r="L26" i="14" s="1"/>
  <c r="L48" i="14" s="1"/>
  <c r="Q13" i="14"/>
  <c r="Q63" i="14"/>
  <c r="Q90" i="14"/>
  <c r="J52" i="14"/>
  <c r="I110" i="14"/>
  <c r="L73" i="14"/>
  <c r="L71" i="14"/>
  <c r="V23" i="6"/>
  <c r="V25" i="6" s="1"/>
  <c r="L109" i="14"/>
  <c r="J50" i="14"/>
  <c r="X93" i="7"/>
  <c r="L114" i="14"/>
  <c r="X96" i="7"/>
  <c r="J51" i="14"/>
  <c r="J93" i="14" s="1"/>
  <c r="X95" i="7"/>
  <c r="L111" i="14"/>
  <c r="X97" i="7"/>
  <c r="X23" i="7"/>
  <c r="X26" i="7" s="1"/>
  <c r="X94" i="7"/>
  <c r="U25" i="6"/>
  <c r="U24" i="6"/>
  <c r="X25" i="7"/>
  <c r="X98" i="7"/>
  <c r="Y18" i="7"/>
  <c r="Y22" i="7"/>
  <c r="R94" i="14" s="1"/>
  <c r="Y17" i="7"/>
  <c r="W20" i="6"/>
  <c r="W21" i="6"/>
  <c r="Y19" i="7"/>
  <c r="W19" i="6"/>
  <c r="Y16" i="7"/>
  <c r="Y21" i="7"/>
  <c r="Y20" i="7"/>
  <c r="Y15" i="7"/>
  <c r="L75" i="14" l="1"/>
  <c r="L88" i="14" s="1"/>
  <c r="J89" i="14"/>
  <c r="J91" i="14"/>
  <c r="M72" i="14"/>
  <c r="R62" i="14"/>
  <c r="L28" i="14"/>
  <c r="L101" i="14" s="1"/>
  <c r="M69" i="14"/>
  <c r="R59" i="14"/>
  <c r="R83" i="14"/>
  <c r="J84" i="14"/>
  <c r="J82" i="14"/>
  <c r="J110" i="14" s="1"/>
  <c r="M70" i="14"/>
  <c r="R85" i="14"/>
  <c r="R60" i="14"/>
  <c r="R58" i="14"/>
  <c r="R81" i="14"/>
  <c r="R63" i="14"/>
  <c r="R90" i="14"/>
  <c r="R86" i="14"/>
  <c r="R61" i="14"/>
  <c r="M20" i="14"/>
  <c r="M23" i="14" s="1"/>
  <c r="M26" i="14" s="1"/>
  <c r="M48" i="14" s="1"/>
  <c r="R13" i="14"/>
  <c r="L65" i="14"/>
  <c r="M73" i="14"/>
  <c r="L76" i="14"/>
  <c r="M71" i="14"/>
  <c r="V24" i="6"/>
  <c r="M109" i="14"/>
  <c r="M65" i="14"/>
  <c r="J113" i="14"/>
  <c r="Y93" i="7"/>
  <c r="M114" i="14"/>
  <c r="Y96" i="7"/>
  <c r="Y95" i="7"/>
  <c r="M111" i="14"/>
  <c r="Y97" i="7"/>
  <c r="W23" i="6"/>
  <c r="W25" i="6" s="1"/>
  <c r="Z16" i="7"/>
  <c r="X21" i="6"/>
  <c r="Z21" i="7"/>
  <c r="X19" i="6"/>
  <c r="Z22" i="7"/>
  <c r="S94" i="14" s="1"/>
  <c r="Z15" i="7"/>
  <c r="X20" i="6"/>
  <c r="Z20" i="7"/>
  <c r="Z18" i="7"/>
  <c r="Z17" i="7"/>
  <c r="Z19" i="7"/>
  <c r="Y94" i="7"/>
  <c r="Y23" i="7"/>
  <c r="Y26" i="7" s="1"/>
  <c r="Y25" i="7"/>
  <c r="Y98" i="7"/>
  <c r="L29" i="14" l="1"/>
  <c r="L49" i="14" s="1"/>
  <c r="L53" i="14" s="1"/>
  <c r="L100" i="14" s="1"/>
  <c r="S63" i="14"/>
  <c r="S90" i="14"/>
  <c r="N69" i="14"/>
  <c r="S59" i="14"/>
  <c r="S83" i="14"/>
  <c r="M28" i="14"/>
  <c r="M101" i="14" s="1"/>
  <c r="N70" i="14"/>
  <c r="S85" i="14"/>
  <c r="S60" i="14"/>
  <c r="N20" i="14"/>
  <c r="N23" i="14" s="1"/>
  <c r="N26" i="14" s="1"/>
  <c r="N48" i="14" s="1"/>
  <c r="S13" i="14"/>
  <c r="N72" i="14"/>
  <c r="S62" i="14"/>
  <c r="N71" i="14"/>
  <c r="S86" i="14"/>
  <c r="S61" i="14"/>
  <c r="L87" i="14"/>
  <c r="L112" i="14" s="1"/>
  <c r="S58" i="14"/>
  <c r="S81" i="14"/>
  <c r="M75" i="14"/>
  <c r="M88" i="14" s="1"/>
  <c r="N73" i="14"/>
  <c r="N75" i="14" s="1"/>
  <c r="N88" i="14" s="1"/>
  <c r="N109" i="14"/>
  <c r="N65" i="14"/>
  <c r="L50" i="14"/>
  <c r="Z96" i="7"/>
  <c r="Z95" i="7"/>
  <c r="N111" i="14"/>
  <c r="Z97" i="7"/>
  <c r="Z93" i="7"/>
  <c r="N114" i="14"/>
  <c r="W24" i="6"/>
  <c r="Z98" i="7"/>
  <c r="Z25" i="7"/>
  <c r="X23" i="6"/>
  <c r="AA16" i="7"/>
  <c r="Y21" i="6"/>
  <c r="AA21" i="7"/>
  <c r="AA18" i="7"/>
  <c r="AA22" i="7"/>
  <c r="T94" i="14" s="1"/>
  <c r="AA19" i="7"/>
  <c r="AA20" i="7"/>
  <c r="AA17" i="7"/>
  <c r="Y19" i="6"/>
  <c r="AA15" i="7"/>
  <c r="Y20" i="6"/>
  <c r="Z94" i="7"/>
  <c r="Z23" i="7"/>
  <c r="Z26" i="7" s="1"/>
  <c r="L51" i="14" l="1"/>
  <c r="L93" i="14" s="1"/>
  <c r="L52" i="14"/>
  <c r="M29" i="14"/>
  <c r="M49" i="14" s="1"/>
  <c r="M53" i="14" s="1"/>
  <c r="M100" i="14" s="1"/>
  <c r="O69" i="14"/>
  <c r="T59" i="14"/>
  <c r="T83" i="14"/>
  <c r="T86" i="14"/>
  <c r="T61" i="14"/>
  <c r="N28" i="14"/>
  <c r="N101" i="14" s="1"/>
  <c r="L84" i="14"/>
  <c r="L82" i="14"/>
  <c r="L110" i="14" s="1"/>
  <c r="T63" i="14"/>
  <c r="T90" i="14"/>
  <c r="L91" i="14"/>
  <c r="L89" i="14"/>
  <c r="L113" i="14" s="1"/>
  <c r="O20" i="14"/>
  <c r="O28" i="14" s="1"/>
  <c r="O101" i="14" s="1"/>
  <c r="T13" i="14"/>
  <c r="T58" i="14"/>
  <c r="T81" i="14"/>
  <c r="O70" i="14"/>
  <c r="T85" i="14"/>
  <c r="T60" i="14"/>
  <c r="O72" i="14"/>
  <c r="T62" i="14"/>
  <c r="M76" i="14"/>
  <c r="O71" i="14"/>
  <c r="O109" i="14"/>
  <c r="N76" i="14"/>
  <c r="O73" i="14"/>
  <c r="AA93" i="7"/>
  <c r="O114" i="14"/>
  <c r="AA95" i="7"/>
  <c r="O111" i="14"/>
  <c r="AA96" i="7"/>
  <c r="AA97" i="7"/>
  <c r="Y23" i="6"/>
  <c r="Y25" i="6" s="1"/>
  <c r="Z21" i="6"/>
  <c r="AB17" i="7"/>
  <c r="AB18" i="7"/>
  <c r="Z20" i="6"/>
  <c r="Z19" i="6"/>
  <c r="AB20" i="7"/>
  <c r="AB21" i="7"/>
  <c r="AB15" i="7"/>
  <c r="AB16" i="7"/>
  <c r="AB19" i="7"/>
  <c r="AB22" i="7"/>
  <c r="U94" i="14" s="1"/>
  <c r="AA23" i="7"/>
  <c r="AA26" i="7" s="1"/>
  <c r="AA94" i="7"/>
  <c r="X25" i="6"/>
  <c r="X24" i="6"/>
  <c r="AA25" i="7"/>
  <c r="AA98" i="7"/>
  <c r="M51" i="14" l="1"/>
  <c r="M93" i="14" s="1"/>
  <c r="M52" i="14"/>
  <c r="M50" i="14"/>
  <c r="M89" i="14" s="1"/>
  <c r="M113" i="14" s="1"/>
  <c r="O23" i="14"/>
  <c r="O26" i="14" s="1"/>
  <c r="O48" i="14" s="1"/>
  <c r="N29" i="14"/>
  <c r="N49" i="14" s="1"/>
  <c r="N53" i="14" s="1"/>
  <c r="N100" i="14" s="1"/>
  <c r="M87" i="14"/>
  <c r="M112" i="14" s="1"/>
  <c r="U63" i="14"/>
  <c r="U90" i="14"/>
  <c r="P70" i="14"/>
  <c r="U85" i="14"/>
  <c r="U60" i="14"/>
  <c r="P69" i="14"/>
  <c r="U59" i="14"/>
  <c r="U83" i="14"/>
  <c r="N87" i="14"/>
  <c r="N112" i="14" s="1"/>
  <c r="U61" i="14"/>
  <c r="U86" i="14"/>
  <c r="M84" i="14"/>
  <c r="M82" i="14"/>
  <c r="M110" i="14" s="1"/>
  <c r="P72" i="14"/>
  <c r="U62" i="14"/>
  <c r="U58" i="14"/>
  <c r="U81" i="14"/>
  <c r="P20" i="14"/>
  <c r="P28" i="14" s="1"/>
  <c r="P101" i="14" s="1"/>
  <c r="U13" i="14"/>
  <c r="O75" i="14"/>
  <c r="P73" i="14"/>
  <c r="P109" i="14"/>
  <c r="P65" i="14"/>
  <c r="P71" i="14"/>
  <c r="O65" i="14"/>
  <c r="N52" i="14"/>
  <c r="N50" i="14"/>
  <c r="Z23" i="6"/>
  <c r="Z24" i="6" s="1"/>
  <c r="AB95" i="7"/>
  <c r="P111" i="14"/>
  <c r="AB93" i="7"/>
  <c r="P114" i="14"/>
  <c r="O29" i="14"/>
  <c r="O49" i="14" s="1"/>
  <c r="O53" i="14" s="1"/>
  <c r="O100" i="14" s="1"/>
  <c r="AB97" i="7"/>
  <c r="AB96" i="7"/>
  <c r="N51" i="14"/>
  <c r="N93" i="14" s="1"/>
  <c r="Y24" i="6"/>
  <c r="AB94" i="7"/>
  <c r="AB23" i="7"/>
  <c r="AB26" i="7" s="1"/>
  <c r="AB25" i="7"/>
  <c r="AB98" i="7"/>
  <c r="AC18" i="7"/>
  <c r="AA21" i="6"/>
  <c r="AC15" i="7"/>
  <c r="AC22" i="7"/>
  <c r="V94" i="14" s="1"/>
  <c r="AC20" i="7"/>
  <c r="AC19" i="7"/>
  <c r="AA19" i="6"/>
  <c r="AC16" i="7"/>
  <c r="AA20" i="6"/>
  <c r="AC21" i="7"/>
  <c r="AC17" i="7"/>
  <c r="M91" i="14" l="1"/>
  <c r="P23" i="14"/>
  <c r="P26" i="14" s="1"/>
  <c r="P48" i="14" s="1"/>
  <c r="Q69" i="14"/>
  <c r="V59" i="14"/>
  <c r="V83" i="14"/>
  <c r="N91" i="14"/>
  <c r="N89" i="14"/>
  <c r="N84" i="14"/>
  <c r="N82" i="14"/>
  <c r="N110" i="14" s="1"/>
  <c r="V58" i="14"/>
  <c r="V81" i="14"/>
  <c r="P75" i="14"/>
  <c r="P88" i="14" s="1"/>
  <c r="Q72" i="14"/>
  <c r="V62" i="14"/>
  <c r="V61" i="14"/>
  <c r="V86" i="14"/>
  <c r="Q70" i="14"/>
  <c r="V85" i="14"/>
  <c r="V60" i="14"/>
  <c r="V63" i="14"/>
  <c r="V90" i="14"/>
  <c r="O76" i="14"/>
  <c r="O88" i="14"/>
  <c r="Q20" i="14"/>
  <c r="Q23" i="14" s="1"/>
  <c r="Q26" i="14" s="1"/>
  <c r="Q48" i="14" s="1"/>
  <c r="V13" i="14"/>
  <c r="O50" i="14"/>
  <c r="Z25" i="6"/>
  <c r="Q73" i="14"/>
  <c r="Q109" i="14"/>
  <c r="Q65" i="14"/>
  <c r="Q71" i="14"/>
  <c r="O52" i="14"/>
  <c r="N113" i="14"/>
  <c r="O51" i="14"/>
  <c r="O93" i="14" s="1"/>
  <c r="AC96" i="7"/>
  <c r="AC95" i="7"/>
  <c r="Q111" i="14"/>
  <c r="AC97" i="7"/>
  <c r="P29" i="14"/>
  <c r="P49" i="14" s="1"/>
  <c r="P53" i="14" s="1"/>
  <c r="P100" i="14" s="1"/>
  <c r="AC93" i="7"/>
  <c r="Q114" i="14"/>
  <c r="AA23" i="6"/>
  <c r="AA24" i="6" s="1"/>
  <c r="AC25" i="7"/>
  <c r="AC98" i="7"/>
  <c r="AC23" i="7"/>
  <c r="AC26" i="7" s="1"/>
  <c r="AC94" i="7"/>
  <c r="AD16" i="7"/>
  <c r="AD20" i="7"/>
  <c r="AB19" i="6"/>
  <c r="AD21" i="7"/>
  <c r="AD22" i="7"/>
  <c r="W94" i="14" s="1"/>
  <c r="AB21" i="6"/>
  <c r="AB20" i="6"/>
  <c r="AD15" i="7"/>
  <c r="AD19" i="7"/>
  <c r="AD17" i="7"/>
  <c r="AD18" i="7"/>
  <c r="Q75" i="14" l="1"/>
  <c r="Q88" i="14" s="1"/>
  <c r="O84" i="14"/>
  <c r="O82" i="14"/>
  <c r="O110" i="14" s="1"/>
  <c r="W61" i="14"/>
  <c r="W86" i="14"/>
  <c r="W85" i="14"/>
  <c r="W60" i="14"/>
  <c r="R72" i="14"/>
  <c r="W62" i="14"/>
  <c r="P76" i="14"/>
  <c r="Q28" i="14"/>
  <c r="Q101" i="14" s="1"/>
  <c r="W58" i="14"/>
  <c r="W81" i="14"/>
  <c r="W63" i="14"/>
  <c r="W90" i="14"/>
  <c r="R69" i="14"/>
  <c r="W83" i="14"/>
  <c r="W59" i="14"/>
  <c r="O91" i="14"/>
  <c r="O89" i="14"/>
  <c r="O113" i="14" s="1"/>
  <c r="O87" i="14"/>
  <c r="O112" i="14" s="1"/>
  <c r="R20" i="14"/>
  <c r="R28" i="14" s="1"/>
  <c r="R101" i="14" s="1"/>
  <c r="W13" i="14"/>
  <c r="R71" i="14"/>
  <c r="Q76" i="14"/>
  <c r="R111" i="14"/>
  <c r="R70" i="14"/>
  <c r="R73" i="14"/>
  <c r="P52" i="14"/>
  <c r="P51" i="14"/>
  <c r="P93" i="14" s="1"/>
  <c r="AA25" i="6"/>
  <c r="AD93" i="7"/>
  <c r="R114" i="14"/>
  <c r="AD97" i="7"/>
  <c r="AD96" i="7"/>
  <c r="AD98" i="7"/>
  <c r="R109" i="14"/>
  <c r="P50" i="14"/>
  <c r="AB23" i="6"/>
  <c r="AB25" i="6" s="1"/>
  <c r="AD25" i="7"/>
  <c r="AD94" i="7"/>
  <c r="AD23" i="7"/>
  <c r="AD26" i="7" s="1"/>
  <c r="AE18" i="7"/>
  <c r="AC21" i="6"/>
  <c r="AE22" i="7"/>
  <c r="X94" i="14" s="1"/>
  <c r="AE20" i="7"/>
  <c r="AC20" i="6"/>
  <c r="AC19" i="6"/>
  <c r="AE16" i="7"/>
  <c r="AE17" i="7"/>
  <c r="AE15" i="7"/>
  <c r="AE21" i="7"/>
  <c r="AE19" i="7"/>
  <c r="R23" i="14" l="1"/>
  <c r="R26" i="14" s="1"/>
  <c r="R48" i="14" s="1"/>
  <c r="Q29" i="14"/>
  <c r="Q49" i="14" s="1"/>
  <c r="Q53" i="14" s="1"/>
  <c r="Q100" i="14" s="1"/>
  <c r="P87" i="14"/>
  <c r="P112" i="14" s="1"/>
  <c r="S72" i="14"/>
  <c r="X62" i="14"/>
  <c r="P84" i="14"/>
  <c r="P82" i="14"/>
  <c r="P110" i="14" s="1"/>
  <c r="X58" i="14"/>
  <c r="X81" i="14"/>
  <c r="Q87" i="14"/>
  <c r="Q112" i="14" s="1"/>
  <c r="S69" i="14"/>
  <c r="X83" i="14"/>
  <c r="X59" i="14"/>
  <c r="P91" i="14"/>
  <c r="P89" i="14"/>
  <c r="P113" i="14" s="1"/>
  <c r="X63" i="14"/>
  <c r="X90" i="14"/>
  <c r="S20" i="14"/>
  <c r="S28" i="14" s="1"/>
  <c r="S101" i="14" s="1"/>
  <c r="X13" i="14"/>
  <c r="X60" i="14"/>
  <c r="X85" i="14"/>
  <c r="X61" i="14"/>
  <c r="X86" i="14"/>
  <c r="AC23" i="6"/>
  <c r="AC24" i="6" s="1"/>
  <c r="R75" i="14"/>
  <c r="R88" i="14" s="1"/>
  <c r="Q50" i="14"/>
  <c r="S111" i="14"/>
  <c r="S70" i="14"/>
  <c r="S71" i="14"/>
  <c r="S109" i="14"/>
  <c r="R65" i="14"/>
  <c r="S73" i="14"/>
  <c r="Q52" i="14"/>
  <c r="Q51" i="14"/>
  <c r="Q93" i="14" s="1"/>
  <c r="AB24" i="6"/>
  <c r="AE93" i="7"/>
  <c r="S114" i="14"/>
  <c r="AE97" i="7"/>
  <c r="R29" i="14"/>
  <c r="R49" i="14" s="1"/>
  <c r="R53" i="14" s="1"/>
  <c r="R100" i="14" s="1"/>
  <c r="AE96" i="7"/>
  <c r="AE98" i="7"/>
  <c r="AE25" i="7"/>
  <c r="AF22" i="7"/>
  <c r="Y94" i="14" s="1"/>
  <c r="AF19" i="7"/>
  <c r="AD21" i="6"/>
  <c r="AF17" i="7"/>
  <c r="AD20" i="6"/>
  <c r="AF20" i="7"/>
  <c r="AD19" i="6"/>
  <c r="AF18" i="7"/>
  <c r="AF15" i="7"/>
  <c r="AF16" i="7"/>
  <c r="AF21" i="7"/>
  <c r="AE23" i="7"/>
  <c r="AE26" i="7" s="1"/>
  <c r="AE94" i="7"/>
  <c r="S23" i="14" l="1"/>
  <c r="S26" i="14" s="1"/>
  <c r="S48" i="14" s="1"/>
  <c r="AC25" i="6"/>
  <c r="Q84" i="14"/>
  <c r="Q82" i="14"/>
  <c r="Q110" i="14" s="1"/>
  <c r="Y63" i="14"/>
  <c r="Y90" i="14"/>
  <c r="T71" i="14"/>
  <c r="Y61" i="14"/>
  <c r="Y86" i="14"/>
  <c r="T72" i="14"/>
  <c r="Y62" i="14"/>
  <c r="R52" i="14"/>
  <c r="T69" i="14"/>
  <c r="Y83" i="14"/>
  <c r="Y59" i="14"/>
  <c r="R50" i="14"/>
  <c r="Y58" i="14"/>
  <c r="Y81" i="14"/>
  <c r="Q89" i="14"/>
  <c r="Q113" i="14" s="1"/>
  <c r="Q91" i="14"/>
  <c r="Y60" i="14"/>
  <c r="Y85" i="14"/>
  <c r="T20" i="14"/>
  <c r="T23" i="14" s="1"/>
  <c r="T26" i="14" s="1"/>
  <c r="T48" i="14" s="1"/>
  <c r="Y13" i="14"/>
  <c r="R51" i="14"/>
  <c r="R93" i="14" s="1"/>
  <c r="R76" i="14"/>
  <c r="S75" i="14"/>
  <c r="S88" i="14" s="1"/>
  <c r="S65" i="14"/>
  <c r="T111" i="14"/>
  <c r="T70" i="14"/>
  <c r="T109" i="14"/>
  <c r="T73" i="14"/>
  <c r="AF96" i="7"/>
  <c r="AF97" i="7"/>
  <c r="AF93" i="7"/>
  <c r="T114" i="14"/>
  <c r="S29" i="14"/>
  <c r="S49" i="14" s="1"/>
  <c r="S53" i="14" s="1"/>
  <c r="S100" i="14" s="1"/>
  <c r="AD23" i="6"/>
  <c r="AD24" i="6" s="1"/>
  <c r="AF94" i="7"/>
  <c r="AF23" i="7"/>
  <c r="AG18" i="7"/>
  <c r="AG17" i="7"/>
  <c r="AG20" i="7"/>
  <c r="AG22" i="7"/>
  <c r="Z94" i="14" s="1"/>
  <c r="AG16" i="7"/>
  <c r="AE19" i="6"/>
  <c r="AE20" i="6"/>
  <c r="AE21" i="6"/>
  <c r="AG19" i="7"/>
  <c r="AG21" i="7"/>
  <c r="AG15" i="7"/>
  <c r="AF98" i="7"/>
  <c r="AF26" i="7"/>
  <c r="AF25" i="7"/>
  <c r="T75" i="14" l="1"/>
  <c r="T88" i="14" s="1"/>
  <c r="Z60" i="14"/>
  <c r="Z85" i="14"/>
  <c r="Z86" i="14"/>
  <c r="Z61" i="14"/>
  <c r="R84" i="14"/>
  <c r="R82" i="14"/>
  <c r="R110" i="14" s="1"/>
  <c r="U69" i="14"/>
  <c r="Z83" i="14"/>
  <c r="Z59" i="14"/>
  <c r="U20" i="14"/>
  <c r="U28" i="14" s="1"/>
  <c r="U101" i="14" s="1"/>
  <c r="Z13" i="14"/>
  <c r="Z58" i="14"/>
  <c r="Z81" i="14"/>
  <c r="U72" i="14"/>
  <c r="Z62" i="14"/>
  <c r="R89" i="14"/>
  <c r="R113" i="14" s="1"/>
  <c r="R91" i="14"/>
  <c r="R87" i="14"/>
  <c r="R112" i="14" s="1"/>
  <c r="T28" i="14"/>
  <c r="T101" i="14" s="1"/>
  <c r="Z90" i="14"/>
  <c r="Z63" i="14"/>
  <c r="S76" i="14"/>
  <c r="U73" i="14"/>
  <c r="T65" i="14"/>
  <c r="U111" i="14"/>
  <c r="U70" i="14"/>
  <c r="U71" i="14"/>
  <c r="U109" i="14"/>
  <c r="U65" i="14"/>
  <c r="S51" i="14"/>
  <c r="S93" i="14" s="1"/>
  <c r="T76" i="14"/>
  <c r="S50" i="14"/>
  <c r="S52" i="14"/>
  <c r="AG96" i="7"/>
  <c r="AG97" i="7"/>
  <c r="AG93" i="7"/>
  <c r="U114" i="14"/>
  <c r="AD25" i="6"/>
  <c r="AE23" i="6"/>
  <c r="AE25" i="6" s="1"/>
  <c r="AH18" i="7"/>
  <c r="AH22" i="7"/>
  <c r="AA94" i="14" s="1"/>
  <c r="AF21" i="6"/>
  <c r="AH19" i="7"/>
  <c r="AF19" i="6"/>
  <c r="AH16" i="7"/>
  <c r="AH20" i="7"/>
  <c r="AH21" i="7"/>
  <c r="AH15" i="7"/>
  <c r="AF20" i="6"/>
  <c r="AH17" i="7"/>
  <c r="AG25" i="7"/>
  <c r="AG98" i="7"/>
  <c r="AG94" i="7"/>
  <c r="AG23" i="7"/>
  <c r="AG26" i="7" s="1"/>
  <c r="T29" i="14" l="1"/>
  <c r="T49" i="14" s="1"/>
  <c r="T53" i="14" s="1"/>
  <c r="T100" i="14" s="1"/>
  <c r="U23" i="14"/>
  <c r="U26" i="14" s="1"/>
  <c r="U48" i="14" s="1"/>
  <c r="AA86" i="14"/>
  <c r="AA61" i="14"/>
  <c r="S87" i="14"/>
  <c r="S112" i="14" s="1"/>
  <c r="S89" i="14"/>
  <c r="S113" i="14" s="1"/>
  <c r="S91" i="14"/>
  <c r="T87" i="14"/>
  <c r="T112" i="14" s="1"/>
  <c r="AA58" i="14"/>
  <c r="AA81" i="14"/>
  <c r="AA63" i="14"/>
  <c r="AA90" i="14"/>
  <c r="AA60" i="14"/>
  <c r="AA85" i="14"/>
  <c r="V69" i="14"/>
  <c r="AA59" i="14"/>
  <c r="AA83" i="14"/>
  <c r="V20" i="14"/>
  <c r="V23" i="14" s="1"/>
  <c r="V26" i="14" s="1"/>
  <c r="V48" i="14" s="1"/>
  <c r="AA13" i="14"/>
  <c r="T52" i="14"/>
  <c r="U75" i="14"/>
  <c r="U88" i="14" s="1"/>
  <c r="S84" i="14"/>
  <c r="S82" i="14"/>
  <c r="S110" i="14" s="1"/>
  <c r="T50" i="14"/>
  <c r="V72" i="14"/>
  <c r="AA62" i="14"/>
  <c r="V71" i="14"/>
  <c r="V111" i="14"/>
  <c r="V70" i="14"/>
  <c r="V109" i="14"/>
  <c r="V73" i="14"/>
  <c r="AE24" i="6"/>
  <c r="AH93" i="7"/>
  <c r="V114" i="14"/>
  <c r="U29" i="14"/>
  <c r="U49" i="14" s="1"/>
  <c r="U53" i="14" s="1"/>
  <c r="U100" i="14" s="1"/>
  <c r="AH96" i="7"/>
  <c r="AH97" i="7"/>
  <c r="AI22" i="7"/>
  <c r="AB94" i="14" s="1"/>
  <c r="AI17" i="7"/>
  <c r="AI15" i="7"/>
  <c r="AI20" i="7"/>
  <c r="AI19" i="7"/>
  <c r="AG19" i="6"/>
  <c r="AG21" i="6"/>
  <c r="AI21" i="7"/>
  <c r="AI18" i="7"/>
  <c r="AG20" i="6"/>
  <c r="AI16" i="7"/>
  <c r="AF23" i="6"/>
  <c r="AH23" i="7"/>
  <c r="AH26" i="7" s="1"/>
  <c r="AH94" i="7"/>
  <c r="AH98" i="7"/>
  <c r="AH25" i="7"/>
  <c r="T51" i="14" l="1"/>
  <c r="T93" i="14" s="1"/>
  <c r="V28" i="14"/>
  <c r="V101" i="14" s="1"/>
  <c r="V75" i="14"/>
  <c r="V88" i="14" s="1"/>
  <c r="U76" i="14"/>
  <c r="U87" i="14" s="1"/>
  <c r="U112" i="14" s="1"/>
  <c r="T84" i="14"/>
  <c r="T82" i="14"/>
  <c r="T110" i="14" s="1"/>
  <c r="AB60" i="14"/>
  <c r="AB85" i="14"/>
  <c r="AB86" i="14"/>
  <c r="AB61" i="14"/>
  <c r="W69" i="14"/>
  <c r="AB59" i="14"/>
  <c r="AB83" i="14"/>
  <c r="W72" i="14"/>
  <c r="AB62" i="14"/>
  <c r="AB63" i="14"/>
  <c r="AB90" i="14"/>
  <c r="W20" i="14"/>
  <c r="AB13" i="14"/>
  <c r="AB58" i="14"/>
  <c r="AB81" i="14"/>
  <c r="T89" i="14"/>
  <c r="T113" i="14" s="1"/>
  <c r="T91" i="14"/>
  <c r="V76" i="14"/>
  <c r="W73" i="14"/>
  <c r="W111" i="14"/>
  <c r="W70" i="14"/>
  <c r="W109" i="14"/>
  <c r="W65" i="14"/>
  <c r="V65" i="14"/>
  <c r="W71" i="14"/>
  <c r="U52" i="14"/>
  <c r="U51" i="14"/>
  <c r="U93" i="14" s="1"/>
  <c r="AI97" i="7"/>
  <c r="W23" i="14"/>
  <c r="W26" i="14" s="1"/>
  <c r="W48" i="14" s="1"/>
  <c r="W28" i="14"/>
  <c r="W101" i="14" s="1"/>
  <c r="AI96" i="7"/>
  <c r="AI93" i="7"/>
  <c r="W114" i="14"/>
  <c r="U50" i="14"/>
  <c r="AG23" i="6"/>
  <c r="AG25" i="6" s="1"/>
  <c r="AI98" i="7"/>
  <c r="AI25" i="7"/>
  <c r="AI94" i="7"/>
  <c r="AI23" i="7"/>
  <c r="AI26" i="7" s="1"/>
  <c r="AF25" i="6"/>
  <c r="AF24" i="6"/>
  <c r="AH19" i="6"/>
  <c r="AJ22" i="7"/>
  <c r="AC94" i="14" s="1"/>
  <c r="AH20" i="6"/>
  <c r="AJ20" i="7"/>
  <c r="AJ17" i="7"/>
  <c r="AH21" i="6"/>
  <c r="AJ19" i="7"/>
  <c r="AJ18" i="7"/>
  <c r="AJ21" i="7"/>
  <c r="AJ15" i="7"/>
  <c r="AJ16" i="7"/>
  <c r="V29" i="14" l="1"/>
  <c r="V49" i="14" s="1"/>
  <c r="V53" i="14" s="1"/>
  <c r="V100" i="14" s="1"/>
  <c r="W75" i="14"/>
  <c r="W88" i="14" s="1"/>
  <c r="V87" i="14"/>
  <c r="V112" i="14" s="1"/>
  <c r="X20" i="14"/>
  <c r="X23" i="14" s="1"/>
  <c r="X26" i="14" s="1"/>
  <c r="X48" i="14" s="1"/>
  <c r="AC13" i="14"/>
  <c r="U84" i="14"/>
  <c r="U82" i="14"/>
  <c r="X72" i="14"/>
  <c r="AC62" i="14"/>
  <c r="U89" i="14"/>
  <c r="U113" i="14" s="1"/>
  <c r="U91" i="14"/>
  <c r="AC63" i="14"/>
  <c r="AC90" i="14"/>
  <c r="X69" i="14"/>
  <c r="AC59" i="14"/>
  <c r="AC83" i="14"/>
  <c r="AC81" i="14"/>
  <c r="AC58" i="14"/>
  <c r="AC86" i="14"/>
  <c r="AC61" i="14"/>
  <c r="AC85" i="14"/>
  <c r="AC60" i="14"/>
  <c r="AG24" i="6"/>
  <c r="U110" i="14"/>
  <c r="X71" i="14"/>
  <c r="X109" i="14"/>
  <c r="X111" i="14"/>
  <c r="X70" i="14"/>
  <c r="X73" i="14"/>
  <c r="V50" i="14"/>
  <c r="AJ96" i="7"/>
  <c r="W29" i="14"/>
  <c r="W49" i="14" s="1"/>
  <c r="W53" i="14" s="1"/>
  <c r="W100" i="14" s="1"/>
  <c r="AJ93" i="7"/>
  <c r="X114" i="14"/>
  <c r="AH23" i="6"/>
  <c r="AH25" i="6" s="1"/>
  <c r="V51" i="14"/>
  <c r="V93" i="14" s="1"/>
  <c r="AJ97" i="7"/>
  <c r="AJ25" i="7"/>
  <c r="AJ98" i="7"/>
  <c r="AJ94" i="7"/>
  <c r="AJ23" i="7"/>
  <c r="AJ26" i="7" s="1"/>
  <c r="AK15" i="7"/>
  <c r="AI21" i="6"/>
  <c r="AK16" i="7"/>
  <c r="AK17" i="7"/>
  <c r="AK22" i="7"/>
  <c r="AD94" i="14" s="1"/>
  <c r="AI19" i="6"/>
  <c r="AK18" i="7"/>
  <c r="AK19" i="7"/>
  <c r="AK20" i="7"/>
  <c r="AI20" i="6"/>
  <c r="AK21" i="7"/>
  <c r="V52" i="14" l="1"/>
  <c r="W76" i="14"/>
  <c r="X28" i="14"/>
  <c r="X101" i="14" s="1"/>
  <c r="Y20" i="14"/>
  <c r="Y23" i="14" s="1"/>
  <c r="Y26" i="14" s="1"/>
  <c r="Y48" i="14" s="1"/>
  <c r="AD13" i="14"/>
  <c r="V89" i="14"/>
  <c r="V91" i="14"/>
  <c r="Y72" i="14"/>
  <c r="AD62" i="14"/>
  <c r="V84" i="14"/>
  <c r="V82" i="14"/>
  <c r="V110" i="14" s="1"/>
  <c r="AD58" i="14"/>
  <c r="AD81" i="14"/>
  <c r="AD63" i="14"/>
  <c r="AD90" i="14"/>
  <c r="AD86" i="14"/>
  <c r="AD61" i="14"/>
  <c r="AD85" i="14"/>
  <c r="AD60" i="14"/>
  <c r="Y69" i="14"/>
  <c r="AD59" i="14"/>
  <c r="AD83" i="14"/>
  <c r="W87" i="14"/>
  <c r="W112" i="14" s="1"/>
  <c r="X75" i="14"/>
  <c r="X88" i="14" s="1"/>
  <c r="Y111" i="14"/>
  <c r="Y70" i="14"/>
  <c r="X65" i="14"/>
  <c r="Y71" i="14"/>
  <c r="Y73" i="14"/>
  <c r="Y28" i="14"/>
  <c r="Y101" i="14" s="1"/>
  <c r="AK96" i="7"/>
  <c r="AK93" i="7"/>
  <c r="Y114" i="14"/>
  <c r="V113" i="14"/>
  <c r="AK97" i="7"/>
  <c r="AI23" i="6"/>
  <c r="AI24" i="6" s="1"/>
  <c r="AH24" i="6"/>
  <c r="W52" i="14"/>
  <c r="AK98" i="7"/>
  <c r="Y109" i="14"/>
  <c r="W50" i="14"/>
  <c r="W51" i="14"/>
  <c r="W93" i="14" s="1"/>
  <c r="AK25" i="7"/>
  <c r="AK23" i="7"/>
  <c r="AK26" i="7" s="1"/>
  <c r="AK94" i="7"/>
  <c r="AL16" i="7"/>
  <c r="AL17" i="7"/>
  <c r="AJ21" i="6"/>
  <c r="AL20" i="7"/>
  <c r="AL15" i="7"/>
  <c r="AL19" i="7"/>
  <c r="AL22" i="7"/>
  <c r="AE94" i="14" s="1"/>
  <c r="AJ20" i="6"/>
  <c r="AL18" i="7"/>
  <c r="AL21" i="7"/>
  <c r="AJ19" i="6"/>
  <c r="X29" i="14" l="1"/>
  <c r="X49" i="14" s="1"/>
  <c r="X53" i="14" s="1"/>
  <c r="X100" i="14" s="1"/>
  <c r="Z69" i="14"/>
  <c r="AE59" i="14"/>
  <c r="AE83" i="14"/>
  <c r="Z20" i="14"/>
  <c r="Z23" i="14" s="1"/>
  <c r="Z26" i="14" s="1"/>
  <c r="Z48" i="14" s="1"/>
  <c r="AE13" i="14"/>
  <c r="W91" i="14"/>
  <c r="W89" i="14"/>
  <c r="AE58" i="14"/>
  <c r="AE81" i="14"/>
  <c r="Z71" i="14"/>
  <c r="AE86" i="14"/>
  <c r="AE61" i="14"/>
  <c r="AE63" i="14"/>
  <c r="AE90" i="14"/>
  <c r="W84" i="14"/>
  <c r="W82" i="14"/>
  <c r="W110" i="14" s="1"/>
  <c r="Z72" i="14"/>
  <c r="AE62" i="14"/>
  <c r="AE85" i="14"/>
  <c r="AE60" i="14"/>
  <c r="X50" i="14"/>
  <c r="X52" i="14"/>
  <c r="X51" i="14"/>
  <c r="X93" i="14" s="1"/>
  <c r="X76" i="14"/>
  <c r="Y75" i="14"/>
  <c r="Y88" i="14" s="1"/>
  <c r="Z73" i="14"/>
  <c r="Y65" i="14"/>
  <c r="Z109" i="14"/>
  <c r="Z111" i="14"/>
  <c r="Z70" i="14"/>
  <c r="AI25" i="6"/>
  <c r="AL93" i="7"/>
  <c r="Z114" i="14"/>
  <c r="AL97" i="7"/>
  <c r="W113" i="14"/>
  <c r="Y29" i="14"/>
  <c r="Y49" i="14" s="1"/>
  <c r="Y53" i="14" s="1"/>
  <c r="Y100" i="14" s="1"/>
  <c r="AL96" i="7"/>
  <c r="AJ23" i="6"/>
  <c r="AJ25" i="6" s="1"/>
  <c r="AK19" i="6"/>
  <c r="AM16" i="7"/>
  <c r="AM22" i="7"/>
  <c r="AF94" i="14" s="1"/>
  <c r="AF114" i="14" s="1"/>
  <c r="AM15" i="7"/>
  <c r="AM20" i="7"/>
  <c r="AK20" i="6"/>
  <c r="AM18" i="7"/>
  <c r="AM21" i="7"/>
  <c r="AK21" i="6"/>
  <c r="AM17" i="7"/>
  <c r="AM19" i="7"/>
  <c r="AL94" i="7"/>
  <c r="AL23" i="7"/>
  <c r="AL26" i="7" s="1"/>
  <c r="AL25" i="7"/>
  <c r="AL98" i="7"/>
  <c r="X84" i="14" l="1"/>
  <c r="X82" i="14"/>
  <c r="X110" i="14" s="1"/>
  <c r="X91" i="14"/>
  <c r="X89" i="14"/>
  <c r="X113" i="14" s="1"/>
  <c r="AA69" i="14"/>
  <c r="AF59" i="14"/>
  <c r="AF69" i="14" s="1"/>
  <c r="AF83" i="14"/>
  <c r="AF63" i="14"/>
  <c r="AF73" i="14" s="1"/>
  <c r="AF90" i="14"/>
  <c r="AA72" i="14"/>
  <c r="AF62" i="14"/>
  <c r="AF72" i="14" s="1"/>
  <c r="AF58" i="14"/>
  <c r="AF81" i="14"/>
  <c r="AF109" i="14" s="1"/>
  <c r="AA20" i="14"/>
  <c r="AA28" i="14" s="1"/>
  <c r="AA101" i="14" s="1"/>
  <c r="AF13" i="14"/>
  <c r="AF20" i="14" s="1"/>
  <c r="Z28" i="14"/>
  <c r="Z101" i="14" s="1"/>
  <c r="AF85" i="14"/>
  <c r="AF111" i="14" s="1"/>
  <c r="AF60" i="14"/>
  <c r="AF70" i="14" s="1"/>
  <c r="AF86" i="14"/>
  <c r="AF61" i="14"/>
  <c r="X87" i="14"/>
  <c r="X112" i="14" s="1"/>
  <c r="Y76" i="14"/>
  <c r="Z75" i="14"/>
  <c r="Z65" i="14"/>
  <c r="Y51" i="14"/>
  <c r="Y93" i="14" s="1"/>
  <c r="AA71" i="14"/>
  <c r="Y52" i="14"/>
  <c r="Y50" i="14"/>
  <c r="AA111" i="14"/>
  <c r="AA70" i="14"/>
  <c r="AA73" i="14"/>
  <c r="AA109" i="14"/>
  <c r="AA23" i="14"/>
  <c r="AA26" i="14" s="1"/>
  <c r="AA48" i="14" s="1"/>
  <c r="AM96" i="7"/>
  <c r="AM93" i="7"/>
  <c r="AA114" i="14"/>
  <c r="AM97" i="7"/>
  <c r="AJ24" i="6"/>
  <c r="AM98" i="7"/>
  <c r="AM25" i="7"/>
  <c r="AM23" i="7"/>
  <c r="AM26" i="7" s="1"/>
  <c r="AM94" i="7"/>
  <c r="AB72" i="14"/>
  <c r="AB20" i="14"/>
  <c r="AB69" i="14"/>
  <c r="AK23" i="6"/>
  <c r="AF65" i="14" l="1"/>
  <c r="Y91" i="14"/>
  <c r="Y89" i="14"/>
  <c r="Y113" i="14" s="1"/>
  <c r="Y84" i="14"/>
  <c r="Y82" i="14"/>
  <c r="Y110" i="14" s="1"/>
  <c r="AF23" i="14"/>
  <c r="AF26" i="14" s="1"/>
  <c r="AF48" i="14" s="1"/>
  <c r="AF28" i="14"/>
  <c r="Z29" i="14"/>
  <c r="Z49" i="14" s="1"/>
  <c r="Z53" i="14" s="1"/>
  <c r="Z100" i="14" s="1"/>
  <c r="Z76" i="14"/>
  <c r="Z88" i="14"/>
  <c r="AF71" i="14"/>
  <c r="AF75" i="14" s="1"/>
  <c r="Y87" i="14"/>
  <c r="Y112" i="14" s="1"/>
  <c r="AA75" i="14"/>
  <c r="AA88" i="14" s="1"/>
  <c r="AB111" i="14"/>
  <c r="AB70" i="14"/>
  <c r="AA65" i="14"/>
  <c r="AB71" i="14"/>
  <c r="AB109" i="14"/>
  <c r="AB73" i="14"/>
  <c r="AB75" i="14" s="1"/>
  <c r="AB88" i="14" s="1"/>
  <c r="AB23" i="14"/>
  <c r="AB26" i="14" s="1"/>
  <c r="AB48" i="14" s="1"/>
  <c r="AB28" i="14"/>
  <c r="AB101" i="14" s="1"/>
  <c r="AB114" i="14"/>
  <c r="AA29" i="14"/>
  <c r="AA49" i="14" s="1"/>
  <c r="AA53" i="14" s="1"/>
  <c r="AA100" i="14" s="1"/>
  <c r="AK25" i="6"/>
  <c r="AK24" i="6"/>
  <c r="AC20" i="14"/>
  <c r="AC72" i="14"/>
  <c r="AC69" i="14"/>
  <c r="AF88" i="14" l="1"/>
  <c r="AF76" i="14"/>
  <c r="Z87" i="14"/>
  <c r="Z112" i="14" s="1"/>
  <c r="AF101" i="14"/>
  <c r="AF29" i="14"/>
  <c r="AF49" i="14" s="1"/>
  <c r="AF53" i="14" s="1"/>
  <c r="AF100" i="14" s="1"/>
  <c r="Z50" i="14"/>
  <c r="Z51" i="14"/>
  <c r="Z93" i="14" s="1"/>
  <c r="Z52" i="14"/>
  <c r="AF87" i="14"/>
  <c r="AF112" i="14" s="1"/>
  <c r="AB65" i="14"/>
  <c r="AA76" i="14"/>
  <c r="AC73" i="14"/>
  <c r="AC111" i="14"/>
  <c r="AC70" i="14"/>
  <c r="AB76" i="14"/>
  <c r="AC71" i="14"/>
  <c r="AC109" i="14"/>
  <c r="AC65" i="14"/>
  <c r="AA52" i="14"/>
  <c r="AA51" i="14"/>
  <c r="AA93" i="14" s="1"/>
  <c r="AA50" i="14"/>
  <c r="AC114" i="14"/>
  <c r="AB29" i="14"/>
  <c r="AB49" i="14" s="1"/>
  <c r="AB53" i="14" s="1"/>
  <c r="AB100" i="14" s="1"/>
  <c r="AC23" i="14"/>
  <c r="AC26" i="14" s="1"/>
  <c r="AC48" i="14" s="1"/>
  <c r="AC28" i="14"/>
  <c r="AC101" i="14" s="1"/>
  <c r="AE72" i="14"/>
  <c r="AE20" i="14"/>
  <c r="AE69" i="14"/>
  <c r="AD72" i="14"/>
  <c r="AD69" i="14"/>
  <c r="AD20" i="14"/>
  <c r="AA91" i="14" l="1"/>
  <c r="AA89" i="14"/>
  <c r="Z84" i="14"/>
  <c r="Z82" i="14"/>
  <c r="Z110" i="14" s="1"/>
  <c r="AF51" i="14"/>
  <c r="AF93" i="14" s="1"/>
  <c r="AB87" i="14"/>
  <c r="AB112" i="14" s="1"/>
  <c r="AF52" i="14"/>
  <c r="AF50" i="14"/>
  <c r="Z91" i="14"/>
  <c r="Z89" i="14"/>
  <c r="Z113" i="14" s="1"/>
  <c r="AA84" i="14"/>
  <c r="AA82" i="14"/>
  <c r="AA110" i="14" s="1"/>
  <c r="AA87" i="14"/>
  <c r="AA112" i="14" s="1"/>
  <c r="AC75" i="14"/>
  <c r="AC88" i="14" s="1"/>
  <c r="AB52" i="14"/>
  <c r="AE71" i="14"/>
  <c r="AE109" i="14"/>
  <c r="AB50" i="14"/>
  <c r="AD73" i="14"/>
  <c r="AB51" i="14"/>
  <c r="AB93" i="14" s="1"/>
  <c r="AE111" i="14"/>
  <c r="AE70" i="14"/>
  <c r="AA113" i="14"/>
  <c r="AD109" i="14"/>
  <c r="AD111" i="14"/>
  <c r="AD70" i="14"/>
  <c r="AD71" i="14"/>
  <c r="AE73" i="14"/>
  <c r="AC29" i="14"/>
  <c r="AC49" i="14" s="1"/>
  <c r="AC53" i="14" s="1"/>
  <c r="AC100" i="14" s="1"/>
  <c r="AE114" i="14"/>
  <c r="AD23" i="14"/>
  <c r="AD26" i="14" s="1"/>
  <c r="AD48" i="14" s="1"/>
  <c r="AD28" i="14"/>
  <c r="AD101" i="14" s="1"/>
  <c r="AE23" i="14"/>
  <c r="AE26" i="14" s="1"/>
  <c r="AE48" i="14" s="1"/>
  <c r="AE28" i="14"/>
  <c r="AE101" i="14" s="1"/>
  <c r="AD114" i="14"/>
  <c r="AF89" i="14" l="1"/>
  <c r="AF113" i="14" s="1"/>
  <c r="AF91" i="14"/>
  <c r="AF84" i="14"/>
  <c r="AF82" i="14"/>
  <c r="AF110" i="14" s="1"/>
  <c r="AB84" i="14"/>
  <c r="AB82" i="14"/>
  <c r="AB110" i="14" s="1"/>
  <c r="AB91" i="14"/>
  <c r="AB89" i="14"/>
  <c r="AB113" i="14" s="1"/>
  <c r="AC76" i="14"/>
  <c r="AD75" i="14"/>
  <c r="AE75" i="14"/>
  <c r="AE88" i="14" s="1"/>
  <c r="AE65" i="14"/>
  <c r="AD65" i="14"/>
  <c r="AE29" i="14"/>
  <c r="AE49" i="14" s="1"/>
  <c r="AE53" i="14" s="1"/>
  <c r="AE100" i="14" s="1"/>
  <c r="AC51" i="14"/>
  <c r="AC93" i="14" s="1"/>
  <c r="AC52" i="14"/>
  <c r="AD29" i="14"/>
  <c r="AD49" i="14" s="1"/>
  <c r="AD53" i="14" s="1"/>
  <c r="AD100" i="14" s="1"/>
  <c r="AC50" i="14"/>
  <c r="AC87" i="14" l="1"/>
  <c r="AC112" i="14" s="1"/>
  <c r="AC84" i="14"/>
  <c r="AC82" i="14"/>
  <c r="AC110" i="14" s="1"/>
  <c r="AD76" i="14"/>
  <c r="AD88" i="14"/>
  <c r="AC89" i="14"/>
  <c r="AC113" i="14" s="1"/>
  <c r="AC91" i="14"/>
  <c r="AE76" i="14"/>
  <c r="AE52" i="14"/>
  <c r="AE50" i="14"/>
  <c r="AE51" i="14"/>
  <c r="AE93" i="14" s="1"/>
  <c r="AD52" i="14"/>
  <c r="AD51" i="14"/>
  <c r="AD93" i="14" s="1"/>
  <c r="AD50" i="14"/>
  <c r="P20" i="6"/>
  <c r="AE89" i="14" l="1"/>
  <c r="AE113" i="14" s="1"/>
  <c r="AE91" i="14"/>
  <c r="AE87" i="14"/>
  <c r="AE112" i="14" s="1"/>
  <c r="AE84" i="14"/>
  <c r="AE82" i="14"/>
  <c r="AE110" i="14" s="1"/>
  <c r="AD89" i="14"/>
  <c r="AD113" i="14" s="1"/>
  <c r="AD91" i="14"/>
  <c r="AD87" i="14"/>
  <c r="AD112" i="14" s="1"/>
  <c r="AD84" i="14"/>
  <c r="AD82" i="14"/>
  <c r="AD110" i="14" s="1"/>
  <c r="R22" i="7"/>
  <c r="K94" i="14" s="1"/>
  <c r="K114" i="14" s="1"/>
  <c r="R15" i="7"/>
  <c r="P19" i="6"/>
  <c r="P23" i="6" s="1"/>
  <c r="R19" i="7"/>
  <c r="R16" i="7"/>
  <c r="R18" i="7"/>
  <c r="R17" i="7"/>
  <c r="R21" i="7"/>
  <c r="P21" i="6"/>
  <c r="R20" i="7"/>
  <c r="F20" i="14" l="1"/>
  <c r="F23" i="14" s="1"/>
  <c r="F26" i="14" s="1"/>
  <c r="F48" i="14" s="1"/>
  <c r="K13" i="14"/>
  <c r="K20" i="14" s="1"/>
  <c r="F72" i="14"/>
  <c r="K62" i="14"/>
  <c r="K72" i="14" s="1"/>
  <c r="F69" i="14"/>
  <c r="K83" i="14"/>
  <c r="K59" i="14"/>
  <c r="K69" i="14" s="1"/>
  <c r="K58" i="14"/>
  <c r="K81" i="14"/>
  <c r="K109" i="14" s="1"/>
  <c r="K61" i="14"/>
  <c r="K86" i="14"/>
  <c r="K63" i="14"/>
  <c r="K73" i="14" s="1"/>
  <c r="K90" i="14"/>
  <c r="F70" i="14"/>
  <c r="K85" i="14"/>
  <c r="K111" i="14" s="1"/>
  <c r="K60" i="14"/>
  <c r="K70" i="14" s="1"/>
  <c r="F71" i="14"/>
  <c r="F73" i="14"/>
  <c r="F109" i="14"/>
  <c r="F65" i="14"/>
  <c r="R95" i="7"/>
  <c r="F111" i="14"/>
  <c r="F28" i="14"/>
  <c r="F101" i="14" s="1"/>
  <c r="R93" i="7"/>
  <c r="F114" i="14"/>
  <c r="R96" i="7"/>
  <c r="R94" i="7"/>
  <c r="R23" i="7"/>
  <c r="R26" i="7" s="1"/>
  <c r="P24" i="6"/>
  <c r="Q24" i="6"/>
  <c r="P25" i="6"/>
  <c r="R25" i="7"/>
  <c r="R98" i="7"/>
  <c r="R97" i="7"/>
  <c r="R27" i="7"/>
  <c r="K65" i="14" l="1"/>
  <c r="K71" i="14"/>
  <c r="K75" i="14" s="1"/>
  <c r="K23" i="14"/>
  <c r="K26" i="14" s="1"/>
  <c r="K48" i="14" s="1"/>
  <c r="K28" i="14"/>
  <c r="F75" i="14"/>
  <c r="F88" i="14" s="1"/>
  <c r="F29" i="14"/>
  <c r="F49" i="14" s="1"/>
  <c r="F53" i="14" s="1"/>
  <c r="F100" i="14" s="1"/>
  <c r="K88" i="14" l="1"/>
  <c r="K76" i="14"/>
  <c r="K87" i="14" s="1"/>
  <c r="K112" i="14" s="1"/>
  <c r="K101" i="14"/>
  <c r="K29" i="14"/>
  <c r="K49" i="14" s="1"/>
  <c r="K53" i="14" s="1"/>
  <c r="K100" i="14" s="1"/>
  <c r="F76" i="14"/>
  <c r="F50" i="14"/>
  <c r="F51" i="14"/>
  <c r="F93" i="14" s="1"/>
  <c r="F52" i="14"/>
  <c r="L79" i="9"/>
  <c r="M79" i="9" s="1"/>
  <c r="M80" i="9" s="1"/>
  <c r="K52" i="14" l="1"/>
  <c r="F87" i="14"/>
  <c r="F112" i="14" s="1"/>
  <c r="F84" i="14"/>
  <c r="F82" i="14"/>
  <c r="F89" i="14"/>
  <c r="F113" i="14" s="1"/>
  <c r="F91" i="14"/>
  <c r="K84" i="14"/>
  <c r="K82" i="14"/>
  <c r="K110" i="14" s="1"/>
  <c r="K50" i="14"/>
  <c r="K51" i="14"/>
  <c r="K93" i="14" s="1"/>
  <c r="F110" i="14"/>
  <c r="K91" i="14" l="1"/>
  <c r="K89" i="14"/>
  <c r="K113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NAGY Manon</author>
  </authors>
  <commentList>
    <comment ref="C5" authorId="0" shapeId="0" xr:uid="{73F2E715-EE68-40A9-807E-C97FB44C7751}">
      <text>
        <r>
          <rPr>
            <b/>
            <sz val="9"/>
            <color indexed="81"/>
            <rFont val="Tahoma"/>
            <family val="2"/>
          </rPr>
          <t>NAGY Manon:</t>
        </r>
        <r>
          <rPr>
            <sz val="9"/>
            <color indexed="81"/>
            <rFont val="Tahoma"/>
            <family val="2"/>
          </rPr>
          <t xml:space="preserve">
Le tertiaire utilise déjà bcp de RCU</t>
        </r>
      </text>
    </comment>
  </commentList>
</comments>
</file>

<file path=xl/sharedStrings.xml><?xml version="1.0" encoding="utf-8"?>
<sst xmlns="http://schemas.openxmlformats.org/spreadsheetml/2006/main" count="2263" uniqueCount="1316">
  <si>
    <t>Consumption Heating (TWh)</t>
  </si>
  <si>
    <t>Consumption Natural gas (TWh)</t>
  </si>
  <si>
    <t>Consumption Oil fuel (TWh)</t>
  </si>
  <si>
    <t>Consumption Wood fuel (TWh)</t>
  </si>
  <si>
    <t>Consumption Heat pump (TWh)</t>
  </si>
  <si>
    <t>Consumption Direct electric (TWh)</t>
  </si>
  <si>
    <t>Emission Electricity (MtCO2)</t>
  </si>
  <si>
    <t>Emission Natural gas (MtCO2)</t>
  </si>
  <si>
    <t>Emission Oil fuel (MtCO2)</t>
  </si>
  <si>
    <t>Stock A (Million)</t>
  </si>
  <si>
    <t>Stock B (Million)</t>
  </si>
  <si>
    <t>Stock C (Million)</t>
  </si>
  <si>
    <t>Stock D (Million)</t>
  </si>
  <si>
    <t>Stock E (Million)</t>
  </si>
  <si>
    <t>Stock F (Million)</t>
  </si>
  <si>
    <t>Stock G (Million)</t>
  </si>
  <si>
    <t>Stock Direct electric (Million)</t>
  </si>
  <si>
    <t>Stock Heat pump (Million)</t>
  </si>
  <si>
    <t>Stock Oil fuel (Million)</t>
  </si>
  <si>
    <t>Stock Wood fuel (Million)</t>
  </si>
  <si>
    <t>Stock Natural gas (Million)</t>
  </si>
  <si>
    <t>Stock District heating (Million)</t>
  </si>
  <si>
    <t>Retrofit (Thousand households)</t>
  </si>
  <si>
    <t>Switch heater only (Thousand households)</t>
  </si>
  <si>
    <t>Retrofit 6 EPC (Thousand households)</t>
  </si>
  <si>
    <t>Retrofit 5 EPC (Thousand households)</t>
  </si>
  <si>
    <t>Retrofit 4 EPC (Thousand households)</t>
  </si>
  <si>
    <t>Retrofit 3 EPC (Thousand households)</t>
  </si>
  <si>
    <t>Retrofit 2 EPC (Thousand households)</t>
  </si>
  <si>
    <t>Retrofit 1 EPC (Thousand households)</t>
  </si>
  <si>
    <t>Switch heater (Thousand households)</t>
  </si>
  <si>
    <t>Switch Heat pump (Thousand households)</t>
  </si>
  <si>
    <t>Switch Electricity-Performance boiler (Thousand households)</t>
  </si>
  <si>
    <t>Switch Heating-District heating (Thousand households)</t>
  </si>
  <si>
    <t>Switch Natural gas-Collective boiler (Thousand households)</t>
  </si>
  <si>
    <t>Switch Natural gas-Performance boiler (Thousand households)</t>
  </si>
  <si>
    <t>Switch Oil fuel-Collective boiler (Thousand households)</t>
  </si>
  <si>
    <t>Switch Oil fuel-Performance boiler (Thousand households)</t>
  </si>
  <si>
    <t>Switch Wood fuel-Performance boiler (Thousand households)</t>
  </si>
  <si>
    <t>Switch from Natural gas to District heating (Thousand households)</t>
  </si>
  <si>
    <t>Switch from Natural gas to Heat pump (Thousand households)</t>
  </si>
  <si>
    <t>Switch from Natural gas to Natural gas (Thousand households)</t>
  </si>
  <si>
    <t>Switch from Natural gas to Wood fuel (Thousand households)</t>
  </si>
  <si>
    <t>Switch from Oil fuel to District heating (Thousand households)</t>
  </si>
  <si>
    <t>Switch from Oil fuel to Heat pump (Thousand households)</t>
  </si>
  <si>
    <t>Switch from Oil fuel to Natural gas (Thousand households)</t>
  </si>
  <si>
    <t>Switch from Oil fuel to Oil fuel (Thousand households)</t>
  </si>
  <si>
    <t>Switch from Oil fuel to Wood fuel (Thousand households)</t>
  </si>
  <si>
    <t>Renovation Multi-family - Owner-occupied (Thousand households)</t>
  </si>
  <si>
    <t>Renovation Multi-family - Privately rented (Thousand households)</t>
  </si>
  <si>
    <t>Renovation Multi-family - Social-housing (Thousand households)</t>
  </si>
  <si>
    <t>Renovation Single-family - Owner-occupied (Thousand households)</t>
  </si>
  <si>
    <t>Renovation Single-family - Privately rented (Thousand households)</t>
  </si>
  <si>
    <t>Renovation Single-family - Social-housing (Thousand households)</t>
  </si>
  <si>
    <t>Replacement Windows (Thousand households)</t>
  </si>
  <si>
    <t>Replacement Wall (Thousand households)</t>
  </si>
  <si>
    <t>Replacement Roof (Thousand households)</t>
  </si>
  <si>
    <t>Replacement Floor (Thousand households)</t>
  </si>
  <si>
    <t>Investment heater (Billion euro)</t>
  </si>
  <si>
    <t>Investment insulation (Billion euro)</t>
  </si>
  <si>
    <t>Investment total (Billion euro)</t>
  </si>
  <si>
    <t>Financing total (Billion euro)</t>
  </si>
  <si>
    <t>Debt total (Billion euro)</t>
  </si>
  <si>
    <t>Carbon footprint renovation (MtCO2)</t>
  </si>
  <si>
    <t>Carbon footprint construction (MtCO2)</t>
  </si>
  <si>
    <t>Cee heater Multi-family (Thousand households)</t>
  </si>
  <si>
    <t>Cee heater Single-family (Thousand households)</t>
  </si>
  <si>
    <t>Cee (Thousand households)</t>
  </si>
  <si>
    <t>Cee (Billion euro)</t>
  </si>
  <si>
    <t>Cee insulation Multi-family (Thousand households)</t>
  </si>
  <si>
    <t>Cee insulation Single-family (Thousand households)</t>
  </si>
  <si>
    <t>Mpr multifamily (Thousand households)</t>
  </si>
  <si>
    <t>Mpr multifamily (Billion euro)</t>
  </si>
  <si>
    <t>Mpr serenite low income (Thousand households)</t>
  </si>
  <si>
    <t>Mpr serenite low income (Billion euro)</t>
  </si>
  <si>
    <t>Over cap (Billion euro)</t>
  </si>
  <si>
    <t>Switch Multi-family Electricity-Heat pump air (Thousand households)</t>
  </si>
  <si>
    <t>Switch Multi-family Electricity-Heat pump water (Thousand households)</t>
  </si>
  <si>
    <t>Switch Multi-family Electricity-Performance boiler (Thousand households)</t>
  </si>
  <si>
    <t>Switch Multi-family Heating-District heating (Thousand households)</t>
  </si>
  <si>
    <t>Switch Multi-family Natural gas-Collective boiler (Thousand households)</t>
  </si>
  <si>
    <t>Switch Multi-family Natural gas-Performance boiler (Thousand households)</t>
  </si>
  <si>
    <t>Switch Multi-family Oil fuel-Collective boiler (Thousand households)</t>
  </si>
  <si>
    <t>Switch Multi-family Oil fuel-Performance boiler (Thousand households)</t>
  </si>
  <si>
    <t>Switch Multi-family Wood fuel-Performance boiler (Thousand households)</t>
  </si>
  <si>
    <t>Switch Single-family Electricity-Heat pump air (Thousand households)</t>
  </si>
  <si>
    <t>Switch Single-family Electricity-Performance boiler (Thousand households)</t>
  </si>
  <si>
    <t>Switch Single-family Heating-District heating (Thousand households)</t>
  </si>
  <si>
    <t>Switch Single-family Natural gas-Collective boiler (Thousand households)</t>
  </si>
  <si>
    <t>Switch Single-family Natural gas-Performance boiler (Thousand households)</t>
  </si>
  <si>
    <t>Switch Single-family Oil fuel-Collective boiler (Thousand households)</t>
  </si>
  <si>
    <t>Switch Single-family Oil fuel-Performance boiler (Thousand households)</t>
  </si>
  <si>
    <t>Switch Single-family Wood fuel-Performance boiler (Thousand households)</t>
  </si>
  <si>
    <t>Mpr serenite high income (Thousand households)</t>
  </si>
  <si>
    <t>Mpr serenite high income (Billion euro)</t>
  </si>
  <si>
    <t>Mpr heater Multi-family (Thousand households)</t>
  </si>
  <si>
    <t>Mpr heater Single-family (Thousand households)</t>
  </si>
  <si>
    <t>Mpr heater (Billion euro)</t>
  </si>
  <si>
    <t>Mpr (Thousand households)</t>
  </si>
  <si>
    <t>Mpr (Billion euro)</t>
  </si>
  <si>
    <t>Mpr insulation Single-family (Thousand households)</t>
  </si>
  <si>
    <t>Switch Natural gas-Standard boiler (Thousand households)</t>
  </si>
  <si>
    <t>Switch Multi-family Natural gas-Standard boiler (Thousand households)</t>
  </si>
  <si>
    <t>Switch Single-family Natural gas-Standard boiler (Thousand households)</t>
  </si>
  <si>
    <t>CEE</t>
  </si>
  <si>
    <t>MPR Copro</t>
  </si>
  <si>
    <t>Montant écrêté</t>
  </si>
  <si>
    <t>Emissions du gaz (MtCO2)</t>
  </si>
  <si>
    <t>Emissions du fioul (MtCO2)</t>
  </si>
  <si>
    <t>Emissions de l'électricité (MtCO2)</t>
  </si>
  <si>
    <t>A</t>
  </si>
  <si>
    <t>B</t>
  </si>
  <si>
    <t>C</t>
  </si>
  <si>
    <t>D</t>
  </si>
  <si>
    <t>E</t>
  </si>
  <si>
    <t>F</t>
  </si>
  <si>
    <t>G</t>
  </si>
  <si>
    <t xml:space="preserve">Chauffage urbain </t>
  </si>
  <si>
    <t>Gaz naturel</t>
  </si>
  <si>
    <t>Fioul</t>
  </si>
  <si>
    <t>Bois</t>
  </si>
  <si>
    <t>Electricité (joule)</t>
  </si>
  <si>
    <t>Electricité (pompe à chaleur)</t>
  </si>
  <si>
    <t>6 classes</t>
  </si>
  <si>
    <t>5 classes</t>
  </si>
  <si>
    <t>4 classes</t>
  </si>
  <si>
    <t>3 classes</t>
  </si>
  <si>
    <t>2 classes</t>
  </si>
  <si>
    <t>1 classe</t>
  </si>
  <si>
    <t>PO en copropriété</t>
  </si>
  <si>
    <t>PB en copropriété</t>
  </si>
  <si>
    <t>PO en maison</t>
  </si>
  <si>
    <t>PB en maison</t>
  </si>
  <si>
    <t>PB social en copropriété</t>
  </si>
  <si>
    <t>PB social en maison</t>
  </si>
  <si>
    <t>Soutien total (milliards)</t>
  </si>
  <si>
    <t>Passoires</t>
  </si>
  <si>
    <t>Directes</t>
  </si>
  <si>
    <t>total</t>
  </si>
  <si>
    <t>Investissement total (milliards)</t>
  </si>
  <si>
    <t>MPR Efficacité</t>
  </si>
  <si>
    <t>MPR Performance</t>
  </si>
  <si>
    <t>Gain annuel</t>
  </si>
  <si>
    <t>MPR total</t>
  </si>
  <si>
    <t>Soutien total</t>
  </si>
  <si>
    <t>Part soutien</t>
  </si>
  <si>
    <t>RAC</t>
  </si>
  <si>
    <t>Correction années historiques (I4CE)</t>
  </si>
  <si>
    <t>Part réno 2+</t>
  </si>
  <si>
    <t>Part réno 3+</t>
  </si>
  <si>
    <t>2 ou plus</t>
  </si>
  <si>
    <t>CEE chauffage</t>
  </si>
  <si>
    <t>CEE isolation</t>
  </si>
  <si>
    <t>MPR Efficacité chauffage</t>
  </si>
  <si>
    <t>MPR Efficacité isolation</t>
  </si>
  <si>
    <t>Isolation plancher</t>
  </si>
  <si>
    <t>Isolation mur</t>
  </si>
  <si>
    <t>Changement de fenêtres</t>
  </si>
  <si>
    <t>Installation de PAC air/air</t>
  </si>
  <si>
    <t>Installation de PAC air/eau</t>
  </si>
  <si>
    <t>Installation de chaudière gaz</t>
  </si>
  <si>
    <t>Installation de chaudière fioul</t>
  </si>
  <si>
    <t>Installation convecteurs</t>
  </si>
  <si>
    <t>Installation chaudière biomasse</t>
  </si>
  <si>
    <t>Isolation toit</t>
  </si>
  <si>
    <t>Gestes d'isolation totaux</t>
  </si>
  <si>
    <t>Dossiers de chauffage du pilier performance single family</t>
  </si>
  <si>
    <t>Dossiers de chauffage du pilier performance multy family</t>
  </si>
  <si>
    <t>Nombre de ménages aidés (au sens du modèle)</t>
  </si>
  <si>
    <t>Montant des aides (au sens du modèle)</t>
  </si>
  <si>
    <t>Montant des aides (au sens réel)</t>
  </si>
  <si>
    <t>Installation de systèmes en milliers de ménages</t>
  </si>
  <si>
    <t>Moyenne 2024-2030</t>
  </si>
  <si>
    <t>Hypothèse de sobriété (baisse température de consigne &amp; individualisation frais en collectif)</t>
  </si>
  <si>
    <t>Impact du changement climatique (RCP2.6)</t>
  </si>
  <si>
    <t>Variation de la demande induite</t>
  </si>
  <si>
    <t>Emissions (incluant sobriété et CC)</t>
  </si>
  <si>
    <t>Emissions (calculées par le modèle)</t>
  </si>
  <si>
    <t>Consommation (calculée par le modèle)</t>
  </si>
  <si>
    <t>Gaz</t>
  </si>
  <si>
    <t>Consommation (incluant sobriété et CC)</t>
  </si>
  <si>
    <t>Parc de logements par énergie</t>
  </si>
  <si>
    <t>Chaleur environnement</t>
  </si>
  <si>
    <t>Total sans chaleur envi</t>
  </si>
  <si>
    <t>Total avec chaleur envi</t>
  </si>
  <si>
    <t>Réduction vs 2019</t>
  </si>
  <si>
    <t>Réseau de chaleur</t>
  </si>
  <si>
    <t>Total</t>
  </si>
  <si>
    <t>Rénovation (isolation) par type d'occupant</t>
  </si>
  <si>
    <t>Rénovations (isolation ou chauffage) par saut de classe</t>
  </si>
  <si>
    <t>tout</t>
  </si>
  <si>
    <t>1 ou plus</t>
  </si>
  <si>
    <t>Renovation obligation (Thousand households)</t>
  </si>
  <si>
    <t>Renovation Obligation pb (Thousand households)</t>
  </si>
  <si>
    <t>raccordement RCU/an</t>
  </si>
  <si>
    <t>MPR raccordement RCU</t>
  </si>
  <si>
    <t>Renovation Obligation po (Thousand households)</t>
  </si>
  <si>
    <t>dont logements collectifs</t>
  </si>
  <si>
    <t>dont logements sociaux</t>
  </si>
  <si>
    <t>dont maison</t>
  </si>
  <si>
    <t>Mpr serenite (Billion euro)</t>
  </si>
  <si>
    <t>Mpr performance (Thousand households)</t>
  </si>
  <si>
    <t>Mpr performance (Billion euro)</t>
  </si>
  <si>
    <t>Installation de PAC</t>
  </si>
  <si>
    <t>Rénovations obligées</t>
  </si>
  <si>
    <t>Part CEE de MPR copro</t>
  </si>
  <si>
    <t>Part CEE de MPR Performance</t>
  </si>
  <si>
    <t>Subvention moyenne MPR efficacité</t>
  </si>
  <si>
    <t>Part système de MPR performance</t>
  </si>
  <si>
    <t>Part système de MPR copro</t>
  </si>
  <si>
    <t>MPR Copropriétés</t>
  </si>
  <si>
    <t>Fioul pour correction</t>
  </si>
  <si>
    <t>Chaleur environnement (COP -&gt;)</t>
  </si>
  <si>
    <t>Stock (Million)</t>
  </si>
  <si>
    <t>Stock existing (Million)</t>
  </si>
  <si>
    <t>Stock new (Million)</t>
  </si>
  <si>
    <t>Consumption (kWh/m2)</t>
  </si>
  <si>
    <t>Consumption saving (TWh/year)</t>
  </si>
  <si>
    <t>Emission saving (MtCO2/year)</t>
  </si>
  <si>
    <t>Consumption saving insulation (TWh/year)</t>
  </si>
  <si>
    <t>Consumption saving no rebound insulation (TWh/year)</t>
  </si>
  <si>
    <t>Rebound insulation (TWh/year)</t>
  </si>
  <si>
    <t>Emission saving insulation (MtCO2/year)</t>
  </si>
  <si>
    <t>Consumption saving heater (TWh/year)</t>
  </si>
  <si>
    <t>Consumption saving no rebound heater (TWh/year)</t>
  </si>
  <si>
    <t>Emission saving heater (MtCO2/year)</t>
  </si>
  <si>
    <t>Rebound heater (TWh/year)</t>
  </si>
  <si>
    <t>Rebound EE (TWh/year)</t>
  </si>
  <si>
    <t>Rebound insulation Electricity (TWh/year)</t>
  </si>
  <si>
    <t>Rebound insulation Heating (TWh/year)</t>
  </si>
  <si>
    <t>Rebound insulation Natural gas (TWh/year)</t>
  </si>
  <si>
    <t>Rebound insulation Oil fuel (TWh/year)</t>
  </si>
  <si>
    <t>Rebound insulation Wood fuel (TWh/year)</t>
  </si>
  <si>
    <t>Rebound heater Electricity (TWh/year)</t>
  </si>
  <si>
    <t>Rebound heater Heating (TWh/year)</t>
  </si>
  <si>
    <t>Rebound heater Natural gas (TWh/year)</t>
  </si>
  <si>
    <t>Rebound heater Oil fuel (TWh/year)</t>
  </si>
  <si>
    <t>Rebound heater Wood fuel (TWh/year)</t>
  </si>
  <si>
    <t>Consumption saving prices effect (TWh/year)</t>
  </si>
  <si>
    <t>Consumption saving total (TWh/year)</t>
  </si>
  <si>
    <t>Consumption saving natural replacement (TWh/year)</t>
  </si>
  <si>
    <t>Retrofit at least 1 EPC (Thousand households)</t>
  </si>
  <si>
    <t>Retrofit at least 2 EPC (Thousand households)</t>
  </si>
  <si>
    <t>Switch premature heater (Thousand households)</t>
  </si>
  <si>
    <t>Switch Electricity-Heat pump water (Thousand households)</t>
  </si>
  <si>
    <t>Switch from Direct electric to Direct electric (Thousand households)</t>
  </si>
  <si>
    <t>Switch from Direct electric to District heating (Thousand households)</t>
  </si>
  <si>
    <t>Switch from Direct electric to Heat pump (Thousand households)</t>
  </si>
  <si>
    <t>Switch from Direct electric to Wood fuel (Thousand households)</t>
  </si>
  <si>
    <t>Switch from District heating to District heating (Thousand households)</t>
  </si>
  <si>
    <t>Switch from Heat pump to Heat pump (Thousand households)</t>
  </si>
  <si>
    <t>Switch from Natural gas to Direct electric (Thousand households)</t>
  </si>
  <si>
    <t>Switch from Oil fuel to Direct electric (Thousand households)</t>
  </si>
  <si>
    <t>Switch from Wood fuel to Wood fuel (Thousand households)</t>
  </si>
  <si>
    <t>Mpr serenite (Thousand households)</t>
  </si>
  <si>
    <t>Switch Single-family Electricity-Heat pump water (Thousand households)</t>
  </si>
  <si>
    <t>Switch from Wood fuel to District heating (Thousand households)</t>
  </si>
  <si>
    <t>Mpr efficacite heater (Billion euro)</t>
  </si>
  <si>
    <t>Mpr efficacite (Thousand households)</t>
  </si>
  <si>
    <t>Mpr efficacite (Billion euro)</t>
  </si>
  <si>
    <t>Mpr multifamily deep (Thousand households)</t>
  </si>
  <si>
    <t>Mpr multifamily deep (Billion euro)</t>
  </si>
  <si>
    <t>Mpr multifamily updated (Thousand households)</t>
  </si>
  <si>
    <t>Mpr multifamily updated (Billion euro)</t>
  </si>
  <si>
    <t>Parc DPE</t>
  </si>
  <si>
    <t>Parc de logements</t>
  </si>
  <si>
    <t>Neuf</t>
  </si>
  <si>
    <t>Existant</t>
  </si>
  <si>
    <t xml:space="preserve">total </t>
  </si>
  <si>
    <t xml:space="preserve">total sans chaleur envi </t>
  </si>
  <si>
    <t>total avec chaleur envi</t>
  </si>
  <si>
    <t>Suppression gaz</t>
  </si>
  <si>
    <t>Suppression fioul</t>
  </si>
  <si>
    <t>Logements existants/neufs conso</t>
  </si>
  <si>
    <t>Consumption existing (KWh/m2)</t>
  </si>
  <si>
    <t>Consumption new (KWh/m2)</t>
  </si>
  <si>
    <t xml:space="preserve">à tracer </t>
  </si>
  <si>
    <t>consumption wood fuel performance</t>
  </si>
  <si>
    <t>Mpr multifamily all</t>
  </si>
  <si>
    <t>Mpr efficacité chauffage (milliard)</t>
  </si>
  <si>
    <t>Milliards €</t>
  </si>
  <si>
    <t xml:space="preserve">MPR efficacité </t>
  </si>
  <si>
    <t>A vérifier</t>
  </si>
  <si>
    <t>Moyenne MPR efficacité</t>
  </si>
  <si>
    <t>Part RAC</t>
  </si>
  <si>
    <t>Gaz -&gt; RCU</t>
  </si>
  <si>
    <t>Gaz -&gt; PAC</t>
  </si>
  <si>
    <t>Gaz -&gt; Gaz</t>
  </si>
  <si>
    <t>Gaz -&gt; Bois</t>
  </si>
  <si>
    <t>Rebond global</t>
  </si>
  <si>
    <t>Rebond systèmes de chauffage</t>
  </si>
  <si>
    <t>Rebond isolation</t>
  </si>
  <si>
    <t>Effet rebond - chauffage électrique</t>
  </si>
  <si>
    <t>Effet rebond - réseau de chaleur</t>
  </si>
  <si>
    <t>Effet rebond - gaz naturel</t>
  </si>
  <si>
    <t>Effet rebond - fioul</t>
  </si>
  <si>
    <t>Effet rebond - biomasse</t>
  </si>
  <si>
    <t>Effet rebond global (système de chauffage + isolation)</t>
  </si>
  <si>
    <t>Consumption saving 2050</t>
  </si>
  <si>
    <t>Consumption 2017</t>
  </si>
  <si>
    <t>Consumption saving EE</t>
  </si>
  <si>
    <t>Consumption saving prices</t>
  </si>
  <si>
    <t>Consumption saving natural replacement</t>
  </si>
  <si>
    <t>saving no rebound heater - saving heater</t>
  </si>
  <si>
    <t>saving no rebound insulation - saving insulation</t>
  </si>
  <si>
    <t>TWh</t>
  </si>
  <si>
    <t>% / 2017</t>
  </si>
  <si>
    <t>Consumption saving no rebound effect</t>
  </si>
  <si>
    <t>A voir comme étant l'économie de consommation qu'on perd à cause de l'effet rebond</t>
  </si>
  <si>
    <t>Consumption saving EE (TWh/year)</t>
  </si>
  <si>
    <t>Saving no rebound (TWh/year)</t>
  </si>
  <si>
    <t>Consumption saving natural replacement (TWh/year) - positif</t>
  </si>
  <si>
    <t xml:space="preserve">Consumption saving sufficiency and CC (TWh/year) </t>
  </si>
  <si>
    <t>Consumption saving sufficiency + CC total</t>
  </si>
  <si>
    <t xml:space="preserve">Consumption saving sufficiency + CC </t>
  </si>
  <si>
    <t>Explication</t>
  </si>
  <si>
    <t>"Consumption saving no rebound effect" correspond au manque à gagner en termes de gain énergétique à cause de l'effet rebond</t>
  </si>
  <si>
    <t>Consumption Electricity-Heat pump water (TWh)</t>
  </si>
  <si>
    <t>Stock Electricity-Heat pump water (Million)</t>
  </si>
  <si>
    <t>Renovation (Thousand households)</t>
  </si>
  <si>
    <t>Replacement total (Thousand)</t>
  </si>
  <si>
    <t>Replacement total (Thousand renovating)</t>
  </si>
  <si>
    <t>Retrofit measures 1 (Thousand households)</t>
  </si>
  <si>
    <t>Retrofit measures 2 (Thousand households)</t>
  </si>
  <si>
    <t>Retrofit measures 3 (Thousand households)</t>
  </si>
  <si>
    <t>Retrofit measures 4 (Thousand households)</t>
  </si>
  <si>
    <t>Retrofit measures 5 (Thousand households)</t>
  </si>
  <si>
    <t>Switch decarbonize (Thousand households)</t>
  </si>
  <si>
    <t>Renovation Multi-family (Thousand households)</t>
  </si>
  <si>
    <t>Renovation Single-family (Thousand households)</t>
  </si>
  <si>
    <t>Replacement insulation (Thousand)</t>
  </si>
  <si>
    <t>Consumption Electricity-Heat pump air (TWh)</t>
  </si>
  <si>
    <t>Stock Electricity-Heat pump air (Million)</t>
  </si>
  <si>
    <t>Switch Electricity-Heat pump air (Thousand households)</t>
  </si>
  <si>
    <t>dont PAC air/air</t>
  </si>
  <si>
    <t>dont PAC air/eau</t>
  </si>
  <si>
    <t>Gaz -&gt; Joule</t>
  </si>
  <si>
    <t xml:space="preserve">Nombre de ménages réalisant au moins un geste d'isolation </t>
  </si>
  <si>
    <t>Nombre de gestes</t>
  </si>
  <si>
    <t>Nombre de ménage réalisant au moins x gestes</t>
  </si>
  <si>
    <t>LC - total gestes isolation</t>
  </si>
  <si>
    <t>MI - total gestes isolation</t>
  </si>
  <si>
    <t>PO en copropriété - total gestes isolation</t>
  </si>
  <si>
    <t>PB en copropriété - total gestes isolation</t>
  </si>
  <si>
    <t>PB social en copropriété - total gestes isolation</t>
  </si>
  <si>
    <t>PO en maison - total gestes isolation</t>
  </si>
  <si>
    <t>PB en maison - total gestes isolation</t>
  </si>
  <si>
    <t xml:space="preserve">PB social en maison - total gestes isolation </t>
  </si>
  <si>
    <t xml:space="preserve">Nombre de gestes d'isolation total </t>
  </si>
  <si>
    <t xml:space="preserve">Nombre de gestes d'isolation </t>
  </si>
  <si>
    <t>Logements qui font juste un changement de systèmes de chauffage</t>
  </si>
  <si>
    <t xml:space="preserve">Nombre de gestes d'isolation + nombre de changement de chauffage avec isolation </t>
  </si>
  <si>
    <t>Nombre de logements qui rénovent (pas de double comptage)</t>
  </si>
  <si>
    <t>Total ménages gestes isolation (pas de double comptage)</t>
  </si>
  <si>
    <t>Nombre de dossiers CEE</t>
  </si>
  <si>
    <t>Nombre de remplacement (gestes d'isolation + chauffage) double comptage</t>
  </si>
  <si>
    <t>tout = nombre de logements rénovés (isolation + chauffage) = retrofit</t>
  </si>
  <si>
    <t>il y a un double comptage</t>
  </si>
  <si>
    <t>Emission content Natural gas (gCO2/kWh)</t>
  </si>
  <si>
    <t>Recalcul FE Gaz</t>
  </si>
  <si>
    <t>Emissions Gaz</t>
  </si>
  <si>
    <t>Emissions (incluant  CC)</t>
  </si>
  <si>
    <t>Consommation (incluant  CC)</t>
  </si>
  <si>
    <t>Stock Multi-family Electricity-Heat pump air (Million)</t>
  </si>
  <si>
    <t>Stock Single-family Electricity-Heat pump air (Million)</t>
  </si>
  <si>
    <t>Stock Multi-family Electricity-Heat pump water (Million)</t>
  </si>
  <si>
    <t>Stock Single-family Electricity-Heat pump water (Million)</t>
  </si>
  <si>
    <t>Stock Multi-family Electricity-Performance boiler (Million)</t>
  </si>
  <si>
    <t>Stock Single-family Electricity-Performance boiler (Million)</t>
  </si>
  <si>
    <t>Stock Multi-family Heating-District heating (Million)</t>
  </si>
  <si>
    <t>Stock Multi-family Natural gas-Performance boiler (Million)</t>
  </si>
  <si>
    <t>Stock Single-family Natural gas-Performance boiler (Million)</t>
  </si>
  <si>
    <t>Stock Multi-family Natural gas-Standard boiler (Million)</t>
  </si>
  <si>
    <t>Stock Single-family Natural gas-Standard boiler (Million)</t>
  </si>
  <si>
    <t>Stock Multi-family Oil fuel-Performance boiler (Million)</t>
  </si>
  <si>
    <t>Stock Single-family Oil fuel-Performance boiler (Million)</t>
  </si>
  <si>
    <t>Stock Multi-family Oil fuel-Standard boiler (Million)</t>
  </si>
  <si>
    <t>Stock Single-family Oil fuel-Standard boiler (Million)</t>
  </si>
  <si>
    <t>Stock Single-family Wood fuel-Performance boiler (Million)</t>
  </si>
  <si>
    <t>Stock Single-family Wood fuel-Standard boiler (Million)</t>
  </si>
  <si>
    <t>Stock Multi-family Oil fuel-Collective boiler (Million)</t>
  </si>
  <si>
    <t>Stock Multi-family Wood fuel-Performance boiler (Million)</t>
  </si>
  <si>
    <t>Share of subsidies going to Social-housing (Million euro)</t>
  </si>
  <si>
    <t>High-performance renovation (Thousand households)</t>
  </si>
  <si>
    <t>High-performance flow for heater replacement only (Thousand households)</t>
  </si>
  <si>
    <t>Heater replacement only - A to A (Thousand households)</t>
  </si>
  <si>
    <t>Heater replacement only - A to B (Thousand households)</t>
  </si>
  <si>
    <t>Heater replacement only - B to A (Thousand households)</t>
  </si>
  <si>
    <t>Heater replacement only - B to B (Thousand households)</t>
  </si>
  <si>
    <t>Heater replacement only - B to C (Thousand households)</t>
  </si>
  <si>
    <t>Heater replacement only - C to A (Thousand households)</t>
  </si>
  <si>
    <t>Heater replacement only - C to B (Thousand households)</t>
  </si>
  <si>
    <t>Heater replacement only - C to C (Thousand households)</t>
  </si>
  <si>
    <t>Heater replacement only - C to D (Thousand households)</t>
  </si>
  <si>
    <t>Heater replacement only - D to A (Thousand households)</t>
  </si>
  <si>
    <t>Heater replacement only - D to B (Thousand households)</t>
  </si>
  <si>
    <t>Heater replacement only - D to C (Thousand households)</t>
  </si>
  <si>
    <t>Heater replacement only - D to D (Thousand households)</t>
  </si>
  <si>
    <t>Heater replacement only - D to E (Thousand households)</t>
  </si>
  <si>
    <t>Heater replacement only - D to F (Thousand households)</t>
  </si>
  <si>
    <t>Heater replacement only - E to B (Thousand households)</t>
  </si>
  <si>
    <t>Heater replacement only - E to C (Thousand households)</t>
  </si>
  <si>
    <t>Heater replacement only - E to D (Thousand households)</t>
  </si>
  <si>
    <t>Heater replacement only - E to E (Thousand households)</t>
  </si>
  <si>
    <t>Heater replacement only - E to F (Thousand households)</t>
  </si>
  <si>
    <t>Heater replacement only - E to G (Thousand households)</t>
  </si>
  <si>
    <t>Heater replacement only - F to B (Thousand households)</t>
  </si>
  <si>
    <t>Heater replacement only - F to C (Thousand households)</t>
  </si>
  <si>
    <t>Heater replacement only - F to D (Thousand households)</t>
  </si>
  <si>
    <t>Heater replacement only - F to E (Thousand households)</t>
  </si>
  <si>
    <t>Heater replacement only - F to F (Thousand households)</t>
  </si>
  <si>
    <t>Heater replacement only - F to G (Thousand households)</t>
  </si>
  <si>
    <t>Heater replacement only - G to C (Thousand households)</t>
  </si>
  <si>
    <t>Heater replacement only - G to D (Thousand households)</t>
  </si>
  <si>
    <t>Heater replacement only - G to E (Thousand households)</t>
  </si>
  <si>
    <t>Heater replacement only - G to F (Thousand households)</t>
  </si>
  <si>
    <t>Heater replacement only - G to G (Thousand households)</t>
  </si>
  <si>
    <t>Heater replacement only - C to E (Thousand households)</t>
  </si>
  <si>
    <t>Obligatory High-performance renovation (Thousand households)</t>
  </si>
  <si>
    <t>Zero interest loan (Thousand households)</t>
  </si>
  <si>
    <t>Zero interest loan (Billion euro)</t>
  </si>
  <si>
    <t>PAC air/air - LC</t>
  </si>
  <si>
    <t>PAC air/air - MI</t>
  </si>
  <si>
    <t>PAC air/eau - LC</t>
  </si>
  <si>
    <t>PAC air/eau - MI</t>
  </si>
  <si>
    <t>Joule - LC</t>
  </si>
  <si>
    <t>Joule - MI</t>
  </si>
  <si>
    <t>RCU - LC</t>
  </si>
  <si>
    <t>Gaz - LC</t>
  </si>
  <si>
    <t>Gaz - MI</t>
  </si>
  <si>
    <t>Fioul - LC</t>
  </si>
  <si>
    <t>Fioul - MI</t>
  </si>
  <si>
    <t>Bois - LC</t>
  </si>
  <si>
    <t>Bois - Mi</t>
  </si>
  <si>
    <t>Total rénovations performantes</t>
  </si>
  <si>
    <t>Isolation + changement de chauffage</t>
  </si>
  <si>
    <t>Changement de chauffage</t>
  </si>
  <si>
    <t>Rénovations performantes par obligation</t>
  </si>
  <si>
    <t>Nouveau DPE</t>
  </si>
  <si>
    <t>Ancien DPE</t>
  </si>
  <si>
    <t>Année</t>
  </si>
  <si>
    <t>Nouveau</t>
  </si>
  <si>
    <t>Ancien</t>
  </si>
  <si>
    <t>Isolation</t>
  </si>
  <si>
    <t>Nombre de ménages aidés (au sens réels)</t>
  </si>
  <si>
    <t>CEE heater (thousand households)</t>
  </si>
  <si>
    <t>CEE insulation (thousand households)</t>
  </si>
  <si>
    <t>aide aux chauffages PAC, bois et gaz jusqu'en 2023</t>
  </si>
  <si>
    <t>aide à l'isolation</t>
  </si>
  <si>
    <t>Montant des aides pour les logements sociaux</t>
  </si>
  <si>
    <t>Taux de biogaz</t>
  </si>
  <si>
    <t>Subsidies total Multi-family - Social-housing (Million euro)</t>
  </si>
  <si>
    <t>Subsidies total Single-family - Social-housing (Million euro)</t>
  </si>
  <si>
    <t>Eco PTZ</t>
  </si>
  <si>
    <t>MPR Total</t>
  </si>
  <si>
    <t>Inclut un peu de social</t>
  </si>
  <si>
    <t xml:space="preserve">CEE total </t>
  </si>
  <si>
    <t>MWh/log/an</t>
  </si>
  <si>
    <t>Intensité conso logement avec CC et sobriété</t>
  </si>
  <si>
    <t>Bois (ppl + secondaire)</t>
  </si>
  <si>
    <t>Hyp sobriété</t>
  </si>
  <si>
    <t>Economie d'énergie (2030/2020)</t>
  </si>
  <si>
    <t>Par rapport à 2023</t>
  </si>
  <si>
    <t>PAC hybride</t>
  </si>
  <si>
    <t>Résidentiel</t>
  </si>
  <si>
    <t>Tertiaire</t>
  </si>
  <si>
    <t>Attention, cette trajectoire ne repose sur aucune optimisation économique</t>
  </si>
  <si>
    <t>A faire valider</t>
  </si>
  <si>
    <t>COP PAC air/eau</t>
  </si>
  <si>
    <t xml:space="preserve">COP géothermique  </t>
  </si>
  <si>
    <t>Après ajout des PAC géothermiques</t>
  </si>
  <si>
    <t>Trajectoire géothermie résidentiel (TWh thermique)</t>
  </si>
  <si>
    <t>Hypothèse de répartition</t>
  </si>
  <si>
    <t>Objectifs PPE</t>
  </si>
  <si>
    <t>Calculs</t>
  </si>
  <si>
    <t>Hypothèses</t>
  </si>
  <si>
    <t>Input (sorties du modèle res irf)</t>
  </si>
  <si>
    <t>Consommation élec PAC air/eau (TWh)</t>
  </si>
  <si>
    <t>Besoin thermique PAC air/eau (TWh thermique)</t>
  </si>
  <si>
    <t>Consommation électrique PAC air/eau (TWh)</t>
  </si>
  <si>
    <t>Consommation électrique PAC géothermique (TWh)</t>
  </si>
  <si>
    <t>Nombre de PAC géothermique (Millions)</t>
  </si>
  <si>
    <t>Nombre de PAC air/eau (Millions)</t>
  </si>
  <si>
    <t>Besoin thermique PAC géothermique (Millions)</t>
  </si>
  <si>
    <t>1. Géothermique de surface</t>
  </si>
  <si>
    <t>2. PAC hybrides</t>
  </si>
  <si>
    <t>%</t>
  </si>
  <si>
    <t>à compléter</t>
  </si>
  <si>
    <t>Trajectoire PAC hybrides (Millions)</t>
  </si>
  <si>
    <t>%MI</t>
  </si>
  <si>
    <t>%LC</t>
  </si>
  <si>
    <t>Ratio fonctionnement élec de la PAC hybride</t>
  </si>
  <si>
    <t>Ratio fonctionnement gaz de la PAC hybride</t>
  </si>
  <si>
    <t>COP PAC</t>
  </si>
  <si>
    <t>Rendement chaudière gaz</t>
  </si>
  <si>
    <t>Input (sorties du modèle res irf et post traitement pac géothermiques)</t>
  </si>
  <si>
    <t>Consommation électrique PAC air/eau - hors pac géo (TWh)</t>
  </si>
  <si>
    <t>Consommation électrique PAC air/eau - hors pac géo hors pac hybride (TWh)</t>
  </si>
  <si>
    <t>Nombre de PAC air/eau - hors pac géo (Millions)</t>
  </si>
  <si>
    <t>Consommation électrique PAC hybride</t>
  </si>
  <si>
    <t>Consommation gaz PAC hybride</t>
  </si>
  <si>
    <t>Nombre de PAC air/eau - hors pac géo hors PAC hybrides (Millions)</t>
  </si>
  <si>
    <t>dont gaz - chaudière</t>
  </si>
  <si>
    <t xml:space="preserve">dont gaz - PAC hybride </t>
  </si>
  <si>
    <t>dont PAC géothermique</t>
  </si>
  <si>
    <t>dont PAC hybride</t>
  </si>
  <si>
    <t>PAC air/air</t>
  </si>
  <si>
    <t>PAC air/eau</t>
  </si>
  <si>
    <t>PAC géothermique</t>
  </si>
  <si>
    <t>Ca divise presque par 2 le nombre de PAC air/eau</t>
  </si>
  <si>
    <t>Voir post traitement dans l'onglet "géothermie et PAC hybride"</t>
  </si>
  <si>
    <t>Rénovation performante (réno permettant d'atteindre DPE A, B voire C si passoire)</t>
  </si>
  <si>
    <t>Année historique de sobriété : on estime que 2/3 du chemin est fait entre 2020 et 2023</t>
  </si>
  <si>
    <t>Economie d'énergie (2050/2030)</t>
  </si>
  <si>
    <t>Explications : RTE jusqu'à 2035 (scénario de référence) Post 2035 : rythme 2030-2035 prolongé
Packagée et non packagée (appoint)</t>
  </si>
  <si>
    <t>%PAC hybride/PAC total</t>
  </si>
  <si>
    <t>Trajectoire géothermique tertiaire (TWh thermique)</t>
  </si>
  <si>
    <t>4. Bilan</t>
  </si>
  <si>
    <t>4. Bois principal et secondaire</t>
  </si>
  <si>
    <t>coeff correctif</t>
  </si>
  <si>
    <t>Source : fichier du CIRED "calibration_consommation_2023_bois</t>
  </si>
  <si>
    <t>Calcul intermédiaire</t>
  </si>
  <si>
    <t>Consommation bois - chauffage secondaire (TWh)</t>
  </si>
  <si>
    <t>Consommation bois - chauffage principal (TWh)</t>
  </si>
  <si>
    <t xml:space="preserve">dont chauffage principal </t>
  </si>
  <si>
    <t>dont chauffage secondaire</t>
  </si>
  <si>
    <t xml:space="preserve">Intensité de consommation </t>
  </si>
  <si>
    <t>Chauffage urbain</t>
  </si>
  <si>
    <t>Bois - principal</t>
  </si>
  <si>
    <t>Chemin parcouru en 2023</t>
  </si>
  <si>
    <t>AMS run 2</t>
  </si>
  <si>
    <t>Bois - principal (source calibration_consommation.xlsx</t>
  </si>
  <si>
    <t>Chauffage urbain - AMS run 2</t>
  </si>
  <si>
    <t>Gaz - AMS run 2</t>
  </si>
  <si>
    <t>Fioul - AMS run 2</t>
  </si>
  <si>
    <t>Bois - principal - AMS run 2</t>
  </si>
  <si>
    <t>Electricité (pompe à chaleur) - AMS run 2</t>
  </si>
  <si>
    <t>Electricité (joule) - AMS run 2</t>
  </si>
  <si>
    <t>Mpr multifamily deep insulation (Billion euro)</t>
  </si>
  <si>
    <t>Mpr efficacite insulation (Thousand households)</t>
  </si>
  <si>
    <t>Mpr efficacite insulation (Billion euro)</t>
  </si>
  <si>
    <t>Dont réno simple aidée</t>
  </si>
  <si>
    <t>Montant d'aide réno simple</t>
  </si>
  <si>
    <t>Montant d'aide réno saut de 2 classes</t>
  </si>
  <si>
    <t>Renovation (au sens d'isolation) (Milliers)</t>
  </si>
  <si>
    <t>le reste (non aidé ou CEE)</t>
  </si>
  <si>
    <t>Prix moyen de la subvention MPR efficacité isolation (€/ménage)</t>
  </si>
  <si>
    <t>Prix moyen de la subvention MPR performance (isolation) (€/ménage)</t>
  </si>
  <si>
    <t>Nombre de gestes d'isolation + nombre de changement de chauffage avec isolation (pas de double comptage)</t>
  </si>
  <si>
    <t>Dont réno 2 sauts de classe aidée - Maisons individuels</t>
  </si>
  <si>
    <t>Dont réno 50% d'économie d'énergie - Copro</t>
  </si>
  <si>
    <t>Prix moyen de la subvention MPR copro (isolation) (€/ménage)</t>
  </si>
  <si>
    <t>ANAH 2024 - MPR performance</t>
  </si>
  <si>
    <t>ANAH 2024 - MPR copro</t>
  </si>
  <si>
    <t>ANAH 2024 - MPR performance (€/ménage)</t>
  </si>
  <si>
    <t>ANAH 2024 - MPR copro (€/ménage)</t>
  </si>
  <si>
    <t>Surface (Million m2)</t>
  </si>
  <si>
    <t>Surface existing (Million m2)</t>
  </si>
  <si>
    <t>Surface new (Million m2)</t>
  </si>
  <si>
    <t>Surface Electricity-Heat pump air (Million m2)</t>
  </si>
  <si>
    <t>Surface Electricity-Heat pump water (Million m2)</t>
  </si>
  <si>
    <t>Surface Electricity-Performance boiler (Million m2)</t>
  </si>
  <si>
    <t>Surface Heating-District heating (Million m2)</t>
  </si>
  <si>
    <t>Surface Natural gas-Performance boiler (Million m2)</t>
  </si>
  <si>
    <t>Surface Oil fuel-Performance boiler (Million m2)</t>
  </si>
  <si>
    <t>Surface Wood fuel-Performance boiler (Million m2)</t>
  </si>
  <si>
    <t>Prices Electricity (euro/kWh)</t>
  </si>
  <si>
    <t>Prices Heating (euro/kWh)</t>
  </si>
  <si>
    <t>Prices Natural gas (euro/kWh)</t>
  </si>
  <si>
    <t>Prices Oil fuel (euro/kWh)</t>
  </si>
  <si>
    <t>Prices Wood fuel (euro/kWh)</t>
  </si>
  <si>
    <t>Consumption standard (TWh)</t>
  </si>
  <si>
    <t>Consumption standard (kWh/m2)</t>
  </si>
  <si>
    <t>Consumption (TWh)</t>
  </si>
  <si>
    <t>Consumption existing (TWh)</t>
  </si>
  <si>
    <t>Consumption new (TWh)</t>
  </si>
  <si>
    <t>Consumption existing (kWh/m2)</t>
  </si>
  <si>
    <t>Consumption PE (TWh)</t>
  </si>
  <si>
    <t>Heating intensity (%)</t>
  </si>
  <si>
    <t>Energy poverty (Million)</t>
  </si>
  <si>
    <t>Consumption Electricity (TWh)</t>
  </si>
  <si>
    <t>Consumption Electricity-Performance boiler (TWh)</t>
  </si>
  <si>
    <t>Consumption Heating-District heating (TWh)</t>
  </si>
  <si>
    <t>Consumption Natural gas-Performance boiler (TWh)</t>
  </si>
  <si>
    <t>Consumption Oil fuel-Performance boiler (TWh)</t>
  </si>
  <si>
    <t>Consumption Wood fuel-Performance boiler (TWh)</t>
  </si>
  <si>
    <t>Consumption District heating (TWh)</t>
  </si>
  <si>
    <t>Consumption Existing (TWh)</t>
  </si>
  <si>
    <t>Consumption A (TWh)</t>
  </si>
  <si>
    <t>Consumption B (TWh)</t>
  </si>
  <si>
    <t>Consumption C (TWh)</t>
  </si>
  <si>
    <t>Consumption D (TWh)</t>
  </si>
  <si>
    <t>Consumption E (TWh)</t>
  </si>
  <si>
    <t>Consumption F (TWh)</t>
  </si>
  <si>
    <t>Consumption G (TWh)</t>
  </si>
  <si>
    <t>Consumption standard Electricity-Heat pump air (TWh)</t>
  </si>
  <si>
    <t>Consumption standard Electricity-Heat pump water (TWh)</t>
  </si>
  <si>
    <t>Consumption standard Electricity-Performance boiler (TWh)</t>
  </si>
  <si>
    <t>Consumption standard Heating-District heating (TWh)</t>
  </si>
  <si>
    <t>Consumption standard Natural gas-Performance boiler (TWh)</t>
  </si>
  <si>
    <t>Consumption standard Oil fuel-Performance boiler (TWh)</t>
  </si>
  <si>
    <t>Consumption standard Wood fuel-Performance boiler (TWh)</t>
  </si>
  <si>
    <t>Emission content Electricity (gCO2/kWh)</t>
  </si>
  <si>
    <t>Emission content Oil fuel (gCO2/kWh)</t>
  </si>
  <si>
    <t>Emission content Wood fuel (gCO2/kWh)</t>
  </si>
  <si>
    <t>Emission content Heating (gCO2/kWh)</t>
  </si>
  <si>
    <t>Emission mean (gCO2/kWh)</t>
  </si>
  <si>
    <t>Emission (MtCO2)</t>
  </si>
  <si>
    <t>Emission Heating (MtCO2)</t>
  </si>
  <si>
    <t>Emission Wood fuel (MtCO2)</t>
  </si>
  <si>
    <t>Emission mean first year (gCO2/kWh)</t>
  </si>
  <si>
    <t>Emission first year (MtCO2)</t>
  </si>
  <si>
    <t>Emission Existing (MtCO2)</t>
  </si>
  <si>
    <t>Stock efficient (Million)</t>
  </si>
  <si>
    <t>Stock low-efficient (Million)</t>
  </si>
  <si>
    <t>Stock to renovate (Million)</t>
  </si>
  <si>
    <t>Stock Electricity-Performance boiler (Million)</t>
  </si>
  <si>
    <t>Stock Heating-District heating (Million)</t>
  </si>
  <si>
    <t>Stock Natural gas-Performance boiler (Million)</t>
  </si>
  <si>
    <t>Stock Oil fuel-Performance boiler (Million)</t>
  </si>
  <si>
    <t>Stock Wood fuel-Performance boiler (Million)</t>
  </si>
  <si>
    <t>Stock Single-family Heating-District heating (Million)</t>
  </si>
  <si>
    <t>Energy expenditures C1 (Billion euro)</t>
  </si>
  <si>
    <t>Energy expenditures C2 (Billion euro)</t>
  </si>
  <si>
    <t>Energy expenditures C3 (Billion euro)</t>
  </si>
  <si>
    <t>Energy expenditures C4 (Billion euro)</t>
  </si>
  <si>
    <t>Energy expenditures C5 (Billion euro)</t>
  </si>
  <si>
    <t>Energy expenditures (Billion euro)</t>
  </si>
  <si>
    <t>Energy expenditures wt (Billion euro)</t>
  </si>
  <si>
    <t>Cee tax (Billion euro)</t>
  </si>
  <si>
    <t>Energy taxes (Billion euro)</t>
  </si>
  <si>
    <t>Energy vat (Billion euro)</t>
  </si>
  <si>
    <t>Taxes expenditure (Billion euro)</t>
  </si>
  <si>
    <t>Carbon value (Billion euro)</t>
  </si>
  <si>
    <t>Health cost (Billion euro)</t>
  </si>
  <si>
    <t>Health expenditure (Billion euro)</t>
  </si>
  <si>
    <t>Consumption new (kWh/m2)</t>
  </si>
  <si>
    <t>Consumption New (TWh)</t>
  </si>
  <si>
    <t>Emission New (MtCO2)</t>
  </si>
  <si>
    <t>Consumption standard saving (TWh/year)</t>
  </si>
  <si>
    <t>Consumption standard Electricity saving (TWh/year)</t>
  </si>
  <si>
    <t>Consumption standard Heating saving (TWh/year)</t>
  </si>
  <si>
    <t>Consumption standard Natural gas saving (TWh/year)</t>
  </si>
  <si>
    <t>Consumption standard Oil fuel saving (TWh/year)</t>
  </si>
  <si>
    <t>Consumption standard Wood fuel saving (TWh/year)</t>
  </si>
  <si>
    <t>Consumption Electricity saving (TWh/year)</t>
  </si>
  <si>
    <t>Consumption Heating saving (TWh/year)</t>
  </si>
  <si>
    <t>Consumption Natural gas saving (TWh/year)</t>
  </si>
  <si>
    <t>Consumption Oil fuel saving (TWh/year)</t>
  </si>
  <si>
    <t>Consumption Wood fuel saving (TWh/year)</t>
  </si>
  <si>
    <t>Consumption standard saving insulation (TWh/year)</t>
  </si>
  <si>
    <t>Performance gap (% standard)</t>
  </si>
  <si>
    <t>Emission standard saving insulation (MtCO2/year)</t>
  </si>
  <si>
    <t>Consumption standard saving insulation (%)</t>
  </si>
  <si>
    <t>Consumption standard saving Multi-family - Owner-occupied (%)</t>
  </si>
  <si>
    <t>Consumption standard saving Multi-family - Privately rented (%)</t>
  </si>
  <si>
    <t>Consumption standard saving Multi-family - Social-housing (%)</t>
  </si>
  <si>
    <t>Consumption standard saving Single-family - Owner-occupied (%)</t>
  </si>
  <si>
    <t>Consumption standard saving Single-family - Privately rented (%)</t>
  </si>
  <si>
    <t>Consumption standard saving Single-family - Social-housing (%)</t>
  </si>
  <si>
    <t>Consumption standard saving heater (TWh/year)</t>
  </si>
  <si>
    <t>Thermal comfort EE (Billion euro)</t>
  </si>
  <si>
    <t>Thermal comfort Electricity (Billion euro/year)</t>
  </si>
  <si>
    <t>Thermal comfort Heating (Billion euro/year)</t>
  </si>
  <si>
    <t>Thermal comfort Natural gas (Billion euro/year)</t>
  </si>
  <si>
    <t>Thermal comfort Oil fuel (Billion euro/year)</t>
  </si>
  <si>
    <t>Thermal comfort Wood fuel (Billion euro/year)</t>
  </si>
  <si>
    <t>Consumption saving prices constant (TWh/year)</t>
  </si>
  <si>
    <t>Consumption saving total (%/year)</t>
  </si>
  <si>
    <t>Emission saving total (TWh/year)</t>
  </si>
  <si>
    <t>Emission saving total (%/year)</t>
  </si>
  <si>
    <t>Emission saving natural replacement (MtCO2/year)</t>
  </si>
  <si>
    <t>Emission saving prices (MtCO2/year)</t>
  </si>
  <si>
    <t>Emission saving carbon content (MtCO2/year)</t>
  </si>
  <si>
    <t>Thermal loss prices (Billion euro)</t>
  </si>
  <si>
    <t>Consumption saving prices (Billion euro)</t>
  </si>
  <si>
    <t>Renovation endogenous (Thousand households)</t>
  </si>
  <si>
    <t>Renovation with heater replacement (Thousand households)</t>
  </si>
  <si>
    <t>Insulation (Thousand households)</t>
  </si>
  <si>
    <t>Insulation and switch decarbonize (Thousand households)</t>
  </si>
  <si>
    <t>Decarbonize measures (Thousand households)</t>
  </si>
  <si>
    <t>Rate Multi-family - Owner-occupied (%)</t>
  </si>
  <si>
    <t>Rate Multi-family - Privately rented (%)</t>
  </si>
  <si>
    <t>Rate Multi-family - Social-housing (%)</t>
  </si>
  <si>
    <t>Rate Single-family - Owner-occupied (%)</t>
  </si>
  <si>
    <t>Rate Single-family - Privately rented (%)</t>
  </si>
  <si>
    <t>Rate Single-family - Social-housing (%)</t>
  </si>
  <si>
    <t>Rate Single-family - Owner-occupied C1 (%)</t>
  </si>
  <si>
    <t>Rate Single-family - Owner-occupied C2 (%)</t>
  </si>
  <si>
    <t>Rate Single-family - Owner-occupied C3 (%)</t>
  </si>
  <si>
    <t>Rate Single-family - Owner-occupied C4 (%)</t>
  </si>
  <si>
    <t>Rate Single-family - Owner-occupied C5 (%)</t>
  </si>
  <si>
    <t>Rate Single-family - Owner-occupied C (%)</t>
  </si>
  <si>
    <t>Rate Single-family - Owner-occupied D (%)</t>
  </si>
  <si>
    <t>Rate Single-family - Owner-occupied E (%)</t>
  </si>
  <si>
    <t>Rate Single-family - Owner-occupied F (%)</t>
  </si>
  <si>
    <t>Rate Single-family - Owner-occupied G (%)</t>
  </si>
  <si>
    <t>Epc upgrade all (Thousand households)</t>
  </si>
  <si>
    <t>Replacement insulation average (/household)</t>
  </si>
  <si>
    <t>Replacement Windows (Million m2)</t>
  </si>
  <si>
    <t>Replacement Wall (Million m2)</t>
  </si>
  <si>
    <t>Replacement Roof (Million m2)</t>
  </si>
  <si>
    <t>Replacement Floor (Million m2)</t>
  </si>
  <si>
    <t>Investment Windows (Billion euro)</t>
  </si>
  <si>
    <t>Investment Wall (Billion euro)</t>
  </si>
  <si>
    <t>Investment Roof (Billion euro)</t>
  </si>
  <si>
    <t>Investment Floor (Billion euro)</t>
  </si>
  <si>
    <t>Embodied energy Windows (TWh PE)</t>
  </si>
  <si>
    <t>Embodied energy Wall (TWh PE)</t>
  </si>
  <si>
    <t>Embodied energy Roof (TWh PE)</t>
  </si>
  <si>
    <t>Embodied energy Floor (TWh PE)</t>
  </si>
  <si>
    <t>Carbon footprint Windows (MtCO2)</t>
  </si>
  <si>
    <t>Carbon footprint Wall (MtCO2)</t>
  </si>
  <si>
    <t>Carbon footprint Roof (MtCO2)</t>
  </si>
  <si>
    <t>Carbon footprint Floor (MtCO2)</t>
  </si>
  <si>
    <t>Investment Electricity-Heat pump air (Billion euro)</t>
  </si>
  <si>
    <t>Investment Electricity-Heat pump water (Billion euro)</t>
  </si>
  <si>
    <t>Investment Electricity-Performance boiler (Billion euro)</t>
  </si>
  <si>
    <t>Investment Heating-District heating (Billion euro)</t>
  </si>
  <si>
    <t>Investment Natural gas-Performance boiler (Billion euro)</t>
  </si>
  <si>
    <t>Investment Oil fuel-Performance boiler (Billion euro)</t>
  </si>
  <si>
    <t>Investment Wood fuel-Performance boiler (Billion euro)</t>
  </si>
  <si>
    <t>Hidden cost heater (Billion euro)</t>
  </si>
  <si>
    <t>Financing heater (Billion euro)</t>
  </si>
  <si>
    <t>Financing insulation (Billion euro)</t>
  </si>
  <si>
    <t>Annuities insulation (Billion euro/year)</t>
  </si>
  <si>
    <t>Efficiency insulation (euro/kWh standard)</t>
  </si>
  <si>
    <t>Efficiency insulation (euro/kWh)</t>
  </si>
  <si>
    <t>Efficiency insulation (euro/tCO2 standard)</t>
  </si>
  <si>
    <t>Annuities heater (Billion euro/year)</t>
  </si>
  <si>
    <t>Efficiency heater (euro/kWh standard)</t>
  </si>
  <si>
    <t>Efficiency heater (euro/kWh)</t>
  </si>
  <si>
    <t>Hidden cost insulation (Billion euro)</t>
  </si>
  <si>
    <t>To pay insulation C1 (Billion euro/year)</t>
  </si>
  <si>
    <t>To pay insulation C2 (Billion euro/year)</t>
  </si>
  <si>
    <t>To pay insulation C3 (Billion euro/year)</t>
  </si>
  <si>
    <t>To pay insulation C4 (Billion euro/year)</t>
  </si>
  <si>
    <t>To pay insulation C5 (Billion euro/year)</t>
  </si>
  <si>
    <t>Annuities insulation households (Billion euro/year)</t>
  </si>
  <si>
    <t>Subsidies insulation (Billion euro)</t>
  </si>
  <si>
    <t>Lever insulation (%)</t>
  </si>
  <si>
    <t>Efficiency subsidies insulation (euro/kWh standard)</t>
  </si>
  <si>
    <t>Subsidies loan insulation (Billion euro)</t>
  </si>
  <si>
    <t>Debt insulation (Billion euro)</t>
  </si>
  <si>
    <t>Saving insulation (Billion euro)</t>
  </si>
  <si>
    <t>To pay heater C1 (Billion euro/year)</t>
  </si>
  <si>
    <t>To pay heater C2 (Billion euro/year)</t>
  </si>
  <si>
    <t>To pay heater C3 (Billion euro/year)</t>
  </si>
  <si>
    <t>To pay heater C4 (Billion euro/year)</t>
  </si>
  <si>
    <t>To pay heater C5 (Billion euro/year)</t>
  </si>
  <si>
    <t>Total expenditure C1 (Billion euro)</t>
  </si>
  <si>
    <t>Total expenditure C2 (Billion euro)</t>
  </si>
  <si>
    <t>Total expenditure C3 (Billion euro)</t>
  </si>
  <si>
    <t>Total expenditure C4 (Billion euro)</t>
  </si>
  <si>
    <t>Total expenditure C5 (Billion euro)</t>
  </si>
  <si>
    <t>Total expenditure C1 (Thousand euro/hh)</t>
  </si>
  <si>
    <t>Total expenditure C2 (Thousand euro/hh)</t>
  </si>
  <si>
    <t>Total expenditure C3 (Thousand euro/hh)</t>
  </si>
  <si>
    <t>Total expenditure C4 (Thousand euro/hh)</t>
  </si>
  <si>
    <t>Total expenditure C5 (Thousand euro/hh)</t>
  </si>
  <si>
    <t>Annuities heater households (Billion euro/year)</t>
  </si>
  <si>
    <t>Subsidies heater (Billion euro)</t>
  </si>
  <si>
    <t>Subsidies loan heater (Billion euro)</t>
  </si>
  <si>
    <t>Debt heater (Billion euro)</t>
  </si>
  <si>
    <t>Saving heater (Billion euro)</t>
  </si>
  <si>
    <t>Subsidies total (Billion euro)</t>
  </si>
  <si>
    <t>Subsidies loan total (Billion euro)</t>
  </si>
  <si>
    <t>Saving total (Billion euro)</t>
  </si>
  <si>
    <t>Investment total (Thousand euro/household)</t>
  </si>
  <si>
    <t>Investment insulation (Thousand euro/household)</t>
  </si>
  <si>
    <t>Subsidies insulation (Thousand euro/household)</t>
  </si>
  <si>
    <t>Saving insulation (Thousand euro/household)</t>
  </si>
  <si>
    <t>Debt insulation (Thousand euro/household)</t>
  </si>
  <si>
    <t>Share subsidies C1 (%)</t>
  </si>
  <si>
    <t>Share subsidies C2 (%)</t>
  </si>
  <si>
    <t>Share subsidies C3 (%)</t>
  </si>
  <si>
    <t>Share subsidies C4 (%)</t>
  </si>
  <si>
    <t>Share subsidies C5 (%)</t>
  </si>
  <si>
    <t>Stock Multi-family - Owner-occupied - C1</t>
  </si>
  <si>
    <t>Stock Multi-family - Owner-occupied - C2</t>
  </si>
  <si>
    <t>Stock Multi-family - Owner-occupied - C3</t>
  </si>
  <si>
    <t>Stock Multi-family - Owner-occupied - C4</t>
  </si>
  <si>
    <t>Stock Multi-family - Owner-occupied - C5</t>
  </si>
  <si>
    <t>Stock Multi-family - Privately rented - C1</t>
  </si>
  <si>
    <t>Stock Multi-family - Privately rented - C2</t>
  </si>
  <si>
    <t>Stock Multi-family - Privately rented - C3</t>
  </si>
  <si>
    <t>Stock Multi-family - Privately rented - C4</t>
  </si>
  <si>
    <t>Stock Multi-family - Privately rented - C5</t>
  </si>
  <si>
    <t>Stock Multi-family - Social-housing - C1</t>
  </si>
  <si>
    <t>Stock Multi-family - Social-housing - C2</t>
  </si>
  <si>
    <t>Stock Multi-family - Social-housing - C3</t>
  </si>
  <si>
    <t>Stock Multi-family - Social-housing - C4</t>
  </si>
  <si>
    <t>Stock Multi-family - Social-housing - C5</t>
  </si>
  <si>
    <t>Stock Single-family - Owner-occupied - C1</t>
  </si>
  <si>
    <t>Stock Single-family - Owner-occupied - C2</t>
  </si>
  <si>
    <t>Stock Single-family - Owner-occupied - C3</t>
  </si>
  <si>
    <t>Stock Single-family - Owner-occupied - C4</t>
  </si>
  <si>
    <t>Stock Single-family - Owner-occupied - C5</t>
  </si>
  <si>
    <t>Stock Single-family - Privately rented - C1</t>
  </si>
  <si>
    <t>Stock Single-family - Privately rented - C2</t>
  </si>
  <si>
    <t>Stock Single-family - Privately rented - C3</t>
  </si>
  <si>
    <t>Stock Single-family - Privately rented - C4</t>
  </si>
  <si>
    <t>Stock Single-family - Privately rented - C5</t>
  </si>
  <si>
    <t>Stock Single-family - Social-housing - C1</t>
  </si>
  <si>
    <t>Stock Single-family - Social-housing - C2</t>
  </si>
  <si>
    <t>Stock Single-family - Social-housing - C3</t>
  </si>
  <si>
    <t>Stock Single-family - Social-housing - C4</t>
  </si>
  <si>
    <t>Stock Single-family - Social-housing - C5</t>
  </si>
  <si>
    <t>Annuities Multi-family - Owner-occupied - C1 (euro)</t>
  </si>
  <si>
    <t>Annuities Multi-family - Owner-occupied - C2 (euro)</t>
  </si>
  <si>
    <t>Annuities Multi-family - Owner-occupied - C3 (euro)</t>
  </si>
  <si>
    <t>Annuities Multi-family - Owner-occupied - C4 (euro)</t>
  </si>
  <si>
    <t>Annuities Multi-family - Owner-occupied - C5 (euro)</t>
  </si>
  <si>
    <t>Annuities Multi-family - Privately rented - C1 (euro)</t>
  </si>
  <si>
    <t>Annuities Multi-family - Privately rented - C2 (euro)</t>
  </si>
  <si>
    <t>Annuities Multi-family - Privately rented - C3 (euro)</t>
  </si>
  <si>
    <t>Annuities Multi-family - Privately rented - C4 (euro)</t>
  </si>
  <si>
    <t>Annuities Multi-family - Privately rented - C5 (euro)</t>
  </si>
  <si>
    <t>Annuities Multi-family - Social-housing - C1 (euro)</t>
  </si>
  <si>
    <t>Annuities Multi-family - Social-housing - C2 (euro)</t>
  </si>
  <si>
    <t>Annuities Multi-family - Social-housing - C3 (euro)</t>
  </si>
  <si>
    <t>Annuities Multi-family - Social-housing - C4 (euro)</t>
  </si>
  <si>
    <t>Annuities Multi-family - Social-housing - C5 (euro)</t>
  </si>
  <si>
    <t>Annuities Single-family - Owner-occupied - C1 (euro)</t>
  </si>
  <si>
    <t>Annuities Single-family - Owner-occupied - C2 (euro)</t>
  </si>
  <si>
    <t>Annuities Single-family - Owner-occupied - C3 (euro)</t>
  </si>
  <si>
    <t>Annuities Single-family - Owner-occupied - C4 (euro)</t>
  </si>
  <si>
    <t>Annuities Single-family - Owner-occupied - C5 (euro)</t>
  </si>
  <si>
    <t>Annuities Single-family - Privately rented - C1 (euro)</t>
  </si>
  <si>
    <t>Annuities Single-family - Privately rented - C2 (euro)</t>
  </si>
  <si>
    <t>Annuities Single-family - Privately rented - C3 (euro)</t>
  </si>
  <si>
    <t>Annuities Single-family - Privately rented - C4 (euro)</t>
  </si>
  <si>
    <t>Annuities Single-family - Privately rented - C5 (euro)</t>
  </si>
  <si>
    <t>Annuities Single-family - Social-housing - C1 (euro)</t>
  </si>
  <si>
    <t>Annuities Single-family - Social-housing - C2 (euro)</t>
  </si>
  <si>
    <t>Annuities Single-family - Social-housing - C3 (euro)</t>
  </si>
  <si>
    <t>Annuities Single-family - Social-housing - C4 (euro)</t>
  </si>
  <si>
    <t>Annuities Single-family - Social-housing - C5 (euro)</t>
  </si>
  <si>
    <t>Annuities Multi-family - Landlord - C1 (euro)</t>
  </si>
  <si>
    <t>Annuities Multi-family - Landlord - C2 (euro)</t>
  </si>
  <si>
    <t>Annuities Multi-family - Landlord - C3 (euro)</t>
  </si>
  <si>
    <t>Annuities Multi-family - Landlord - C4 (euro)</t>
  </si>
  <si>
    <t>Annuities Multi-family - Landlord - C5 (euro)</t>
  </si>
  <si>
    <t>Annuities Single-family - Landlord - C1 (euro)</t>
  </si>
  <si>
    <t>Annuities Single-family - Landlord - C2 (euro)</t>
  </si>
  <si>
    <t>Annuities Single-family - Landlord - C3 (euro)</t>
  </si>
  <si>
    <t>Annuities Single-family - Landlord - C4 (euro)</t>
  </si>
  <si>
    <t>Annuities Single-family - Landlord - C5 (euro)</t>
  </si>
  <si>
    <t>Energy expenditures Multi-family - Owner-occupied - C1 (euro)</t>
  </si>
  <si>
    <t>Energy expenditures Multi-family - Owner-occupied - C2 (euro)</t>
  </si>
  <si>
    <t>Energy expenditures Multi-family - Owner-occupied - C3 (euro)</t>
  </si>
  <si>
    <t>Energy expenditures Multi-family - Owner-occupied - C4 (euro)</t>
  </si>
  <si>
    <t>Energy expenditures Multi-family - Owner-occupied - C5 (euro)</t>
  </si>
  <si>
    <t>Energy expenditures Multi-family - Privately rented - C1 (euro)</t>
  </si>
  <si>
    <t>Energy expenditures Multi-family - Privately rented - C2 (euro)</t>
  </si>
  <si>
    <t>Energy expenditures Multi-family - Privately rented - C3 (euro)</t>
  </si>
  <si>
    <t>Energy expenditures Multi-family - Privately rented - C4 (euro)</t>
  </si>
  <si>
    <t>Energy expenditures Multi-family - Privately rented - C5 (euro)</t>
  </si>
  <si>
    <t>Energy expenditures Multi-family - Social-housing - C1 (euro)</t>
  </si>
  <si>
    <t>Energy expenditures Multi-family - Social-housing - C2 (euro)</t>
  </si>
  <si>
    <t>Energy expenditures Multi-family - Social-housing - C3 (euro)</t>
  </si>
  <si>
    <t>Energy expenditures Multi-family - Social-housing - C4 (euro)</t>
  </si>
  <si>
    <t>Energy expenditures Multi-family - Social-housing - C5 (euro)</t>
  </si>
  <si>
    <t>Energy expenditures Single-family - Owner-occupied - C1 (euro)</t>
  </si>
  <si>
    <t>Energy expenditures Single-family - Owner-occupied - C2 (euro)</t>
  </si>
  <si>
    <t>Energy expenditures Single-family - Owner-occupied - C3 (euro)</t>
  </si>
  <si>
    <t>Energy expenditures Single-family - Owner-occupied - C4 (euro)</t>
  </si>
  <si>
    <t>Energy expenditures Single-family - Owner-occupied - C5 (euro)</t>
  </si>
  <si>
    <t>Energy expenditures Single-family - Privately rented - C1 (euro)</t>
  </si>
  <si>
    <t>Energy expenditures Single-family - Privately rented - C2 (euro)</t>
  </si>
  <si>
    <t>Energy expenditures Single-family - Privately rented - C3 (euro)</t>
  </si>
  <si>
    <t>Energy expenditures Single-family - Privately rented - C4 (euro)</t>
  </si>
  <si>
    <t>Energy expenditures Single-family - Privately rented - C5 (euro)</t>
  </si>
  <si>
    <t>Energy expenditures Single-family - Social-housing - C1 (euro)</t>
  </si>
  <si>
    <t>Energy expenditures Single-family - Social-housing - C2 (euro)</t>
  </si>
  <si>
    <t>Energy expenditures Single-family - Social-housing - C3 (euro)</t>
  </si>
  <si>
    <t>Energy expenditures Single-family - Social-housing - C4 (euro)</t>
  </si>
  <si>
    <t>Energy expenditures Single-family - Social-housing - C5 (euro)</t>
  </si>
  <si>
    <t>Energy expenditures standard Multi-family - Owner-occupied - C1 (euro)</t>
  </si>
  <si>
    <t>Energy expenditures standard Multi-family - Owner-occupied - C2 (euro)</t>
  </si>
  <si>
    <t>Energy expenditures standard Multi-family - Owner-occupied - C3 (euro)</t>
  </si>
  <si>
    <t>Energy expenditures standard Multi-family - Owner-occupied - C4 (euro)</t>
  </si>
  <si>
    <t>Energy expenditures standard Multi-family - Owner-occupied - C5 (euro)</t>
  </si>
  <si>
    <t>Energy expenditures standard Multi-family - Privately rented - C1 (euro)</t>
  </si>
  <si>
    <t>Energy expenditures standard Multi-family - Privately rented - C2 (euro)</t>
  </si>
  <si>
    <t>Energy expenditures standard Multi-family - Privately rented - C3 (euro)</t>
  </si>
  <si>
    <t>Energy expenditures standard Multi-family - Privately rented - C4 (euro)</t>
  </si>
  <si>
    <t>Energy expenditures standard Multi-family - Privately rented - C5 (euro)</t>
  </si>
  <si>
    <t>Energy expenditures standard Multi-family - Social-housing - C1 (euro)</t>
  </si>
  <si>
    <t>Energy expenditures standard Multi-family - Social-housing - C2 (euro)</t>
  </si>
  <si>
    <t>Energy expenditures standard Multi-family - Social-housing - C3 (euro)</t>
  </si>
  <si>
    <t>Energy expenditures standard Multi-family - Social-housing - C4 (euro)</t>
  </si>
  <si>
    <t>Energy expenditures standard Multi-family - Social-housing - C5 (euro)</t>
  </si>
  <si>
    <t>Energy expenditures standard Single-family - Owner-occupied - C1 (euro)</t>
  </si>
  <si>
    <t>Energy expenditures standard Single-family - Owner-occupied - C2 (euro)</t>
  </si>
  <si>
    <t>Energy expenditures standard Single-family - Owner-occupied - C3 (euro)</t>
  </si>
  <si>
    <t>Energy expenditures standard Single-family - Owner-occupied - C4 (euro)</t>
  </si>
  <si>
    <t>Energy expenditures standard Single-family - Owner-occupied - C5 (euro)</t>
  </si>
  <si>
    <t>Energy expenditures standard Single-family - Privately rented - C1 (euro)</t>
  </si>
  <si>
    <t>Energy expenditures standard Single-family - Privately rented - C2 (euro)</t>
  </si>
  <si>
    <t>Energy expenditures standard Single-family - Privately rented - C3 (euro)</t>
  </si>
  <si>
    <t>Energy expenditures standard Single-family - Privately rented - C4 (euro)</t>
  </si>
  <si>
    <t>Energy expenditures standard Single-family - Privately rented - C5 (euro)</t>
  </si>
  <si>
    <t>Energy expenditures standard Single-family - Social-housing - C1 (euro)</t>
  </si>
  <si>
    <t>Energy expenditures standard Single-family - Social-housing - C2 (euro)</t>
  </si>
  <si>
    <t>Energy expenditures standard Single-family - Social-housing - C3 (euro)</t>
  </si>
  <si>
    <t>Energy expenditures standard Single-family - Social-housing - C4 (euro)</t>
  </si>
  <si>
    <t>Energy expenditures standard Single-family - Social-housing - C5 (euro)</t>
  </si>
  <si>
    <t>Ratio expenditure std Multi-family - Owner-occupied - C1 (%)</t>
  </si>
  <si>
    <t>Ratio expenditure std Multi-family - Owner-occupied - C2 (%)</t>
  </si>
  <si>
    <t>Ratio expenditure std Multi-family - Owner-occupied - C3 (%)</t>
  </si>
  <si>
    <t>Ratio expenditure std Multi-family - Owner-occupied - C4 (%)</t>
  </si>
  <si>
    <t>Ratio expenditure std Multi-family - Owner-occupied - C5 (%)</t>
  </si>
  <si>
    <t>Ratio expenditure std Multi-family - Privately rented - C1 (%)</t>
  </si>
  <si>
    <t>Ratio expenditure std Multi-family - Privately rented - C2 (%)</t>
  </si>
  <si>
    <t>Ratio expenditure std Multi-family - Privately rented - C3 (%)</t>
  </si>
  <si>
    <t>Ratio expenditure std Multi-family - Privately rented - C4 (%)</t>
  </si>
  <si>
    <t>Ratio expenditure std Multi-family - Privately rented - C5 (%)</t>
  </si>
  <si>
    <t>Ratio expenditure std Multi-family - Social-housing - C1 (%)</t>
  </si>
  <si>
    <t>Ratio expenditure std Multi-family - Social-housing - C2 (%)</t>
  </si>
  <si>
    <t>Ratio expenditure std Multi-family - Social-housing - C3 (%)</t>
  </si>
  <si>
    <t>Ratio expenditure std Multi-family - Social-housing - C4 (%)</t>
  </si>
  <si>
    <t>Ratio expenditure std Multi-family - Social-housing - C5 (%)</t>
  </si>
  <si>
    <t>Ratio expenditure std Single-family - Owner-occupied - C1 (%)</t>
  </si>
  <si>
    <t>Ratio expenditure std Single-family - Owner-occupied - C2 (%)</t>
  </si>
  <si>
    <t>Ratio expenditure std Single-family - Owner-occupied - C3 (%)</t>
  </si>
  <si>
    <t>Ratio expenditure std Single-family - Owner-occupied - C4 (%)</t>
  </si>
  <si>
    <t>Ratio expenditure std Single-family - Owner-occupied - C5 (%)</t>
  </si>
  <si>
    <t>Ratio expenditure std Single-family - Privately rented - C1 (%)</t>
  </si>
  <si>
    <t>Ratio expenditure std Single-family - Privately rented - C2 (%)</t>
  </si>
  <si>
    <t>Ratio expenditure std Single-family - Privately rented - C3 (%)</t>
  </si>
  <si>
    <t>Ratio expenditure std Single-family - Privately rented - C4 (%)</t>
  </si>
  <si>
    <t>Ratio expenditure std Single-family - Privately rented - C5 (%)</t>
  </si>
  <si>
    <t>Ratio expenditure std Single-family - Social-housing - C1 (%)</t>
  </si>
  <si>
    <t>Ratio expenditure std Single-family - Social-housing - C2 (%)</t>
  </si>
  <si>
    <t>Ratio expenditure std Single-family - Social-housing - C3 (%)</t>
  </si>
  <si>
    <t>Ratio expenditure std Single-family - Social-housing - C4 (%)</t>
  </si>
  <si>
    <t>Ratio expenditure std Single-family - Social-housing - C5 (%)</t>
  </si>
  <si>
    <t>Ratio expenditure Multi-family - Owner-occupied - C1 (%)</t>
  </si>
  <si>
    <t>Ratio expenditure Multi-family - Owner-occupied - C2 (%)</t>
  </si>
  <si>
    <t>Ratio expenditure Multi-family - Owner-occupied - C3 (%)</t>
  </si>
  <si>
    <t>Ratio expenditure Multi-family - Owner-occupied - C4 (%)</t>
  </si>
  <si>
    <t>Ratio expenditure Multi-family - Owner-occupied - C5 (%)</t>
  </si>
  <si>
    <t>Ratio expenditure Multi-family - Privately rented - C1 (%)</t>
  </si>
  <si>
    <t>Ratio expenditure Multi-family - Privately rented - C2 (%)</t>
  </si>
  <si>
    <t>Ratio expenditure Multi-family - Privately rented - C3 (%)</t>
  </si>
  <si>
    <t>Ratio expenditure Multi-family - Privately rented - C4 (%)</t>
  </si>
  <si>
    <t>Ratio expenditure Multi-family - Privately rented - C5 (%)</t>
  </si>
  <si>
    <t>Ratio expenditure Multi-family - Social-housing - C1 (%)</t>
  </si>
  <si>
    <t>Ratio expenditure Multi-family - Social-housing - C2 (%)</t>
  </si>
  <si>
    <t>Ratio expenditure Multi-family - Social-housing - C3 (%)</t>
  </si>
  <si>
    <t>Ratio expenditure Multi-family - Social-housing - C4 (%)</t>
  </si>
  <si>
    <t>Ratio expenditure Multi-family - Social-housing - C5 (%)</t>
  </si>
  <si>
    <t>Ratio expenditure Single-family - Owner-occupied - C1 (%)</t>
  </si>
  <si>
    <t>Ratio expenditure Single-family - Owner-occupied - C2 (%)</t>
  </si>
  <si>
    <t>Ratio expenditure Single-family - Owner-occupied - C3 (%)</t>
  </si>
  <si>
    <t>Ratio expenditure Single-family - Owner-occupied - C4 (%)</t>
  </si>
  <si>
    <t>Ratio expenditure Single-family - Owner-occupied - C5 (%)</t>
  </si>
  <si>
    <t>Ratio expenditure Single-family - Privately rented - C1 (%)</t>
  </si>
  <si>
    <t>Ratio expenditure Single-family - Privately rented - C2 (%)</t>
  </si>
  <si>
    <t>Ratio expenditure Single-family - Privately rented - C3 (%)</t>
  </si>
  <si>
    <t>Ratio expenditure Single-family - Privately rented - C4 (%)</t>
  </si>
  <si>
    <t>Ratio expenditure Single-family - Privately rented - C5 (%)</t>
  </si>
  <si>
    <t>Ratio expenditure Single-family - Social-housing - C1 (%)</t>
  </si>
  <si>
    <t>Ratio expenditure Single-family - Social-housing - C2 (%)</t>
  </si>
  <si>
    <t>Ratio expenditure Single-family - Social-housing - C3 (%)</t>
  </si>
  <si>
    <t>Ratio expenditure Single-family - Social-housing - C4 (%)</t>
  </si>
  <si>
    <t>Ratio expenditure Single-family - Social-housing - C5 (%)</t>
  </si>
  <si>
    <t>Debt insulation Owner-occupied - C1 (euro/household)</t>
  </si>
  <si>
    <t>Debt insulation Owner-occupied - C2 (euro/household)</t>
  </si>
  <si>
    <t>Debt insulation Owner-occupied - C3 (euro/household)</t>
  </si>
  <si>
    <t>Debt insulation Owner-occupied - C4 (euro/household)</t>
  </si>
  <si>
    <t>Debt insulation Owner-occupied - C5 (euro/household)</t>
  </si>
  <si>
    <t>Debt insulation Privately rented - C1 (euro/household)</t>
  </si>
  <si>
    <t>Debt insulation Privately rented - C2 (euro/household)</t>
  </si>
  <si>
    <t>Debt insulation Privately rented - C3 (euro/household)</t>
  </si>
  <si>
    <t>Debt insulation Privately rented - C4 (euro/household)</t>
  </si>
  <si>
    <t>Debt insulation Privately rented - C5 (euro/household)</t>
  </si>
  <si>
    <t>Debt insulation Social-housing - C5 (euro/household)</t>
  </si>
  <si>
    <t>Saving insulation Owner-occupied - C1 (euro/household)</t>
  </si>
  <si>
    <t>Saving insulation Owner-occupied - C2 (euro/household)</t>
  </si>
  <si>
    <t>Saving insulation Owner-occupied - C3 (euro/household)</t>
  </si>
  <si>
    <t>Saving insulation Owner-occupied - C4 (euro/household)</t>
  </si>
  <si>
    <t>Saving insulation Owner-occupied - C5 (euro/household)</t>
  </si>
  <si>
    <t>Saving insulation Privately rented - C1 (euro/household)</t>
  </si>
  <si>
    <t>Saving insulation Privately rented - C2 (euro/household)</t>
  </si>
  <si>
    <t>Saving insulation Privately rented - C3 (euro/household)</t>
  </si>
  <si>
    <t>Saving insulation Privately rented - C4 (euro/household)</t>
  </si>
  <si>
    <t>Saving insulation Privately rented - C5 (euro/household)</t>
  </si>
  <si>
    <t>Saving insulation Social-housing - C5 (euro/household)</t>
  </si>
  <si>
    <t>VAT heater (Billion euro)</t>
  </si>
  <si>
    <t>VAT insulation (Billion euro)</t>
  </si>
  <si>
    <t>VAT (Billion euro)</t>
  </si>
  <si>
    <t>Investment heater WT (Billion euro)</t>
  </si>
  <si>
    <t>Investment insulation WT (Billion euro)</t>
  </si>
  <si>
    <t>Investment total WT (Billion euro)</t>
  </si>
  <si>
    <t>Investment total WT / households (Thousand euro)</t>
  </si>
  <si>
    <t>Embodied energy renovation (TWh PE)</t>
  </si>
  <si>
    <t>Embodied energy construction (TWh PE)</t>
  </si>
  <si>
    <t>Embodied energy (TWh PE)</t>
  </si>
  <si>
    <t>Carbon footprint (MtCO2)</t>
  </si>
  <si>
    <t>Carbon value indirect renovation (Billion euro)</t>
  </si>
  <si>
    <t>Carbon value indirect (Billion euro)</t>
  </si>
  <si>
    <t>Income state (Billion euro)</t>
  </si>
  <si>
    <t>Expenditure state (Billion euro)</t>
  </si>
  <si>
    <t>Balance state (Billion euro)</t>
  </si>
  <si>
    <t>Mpr multifamily  C1 (Million euro)</t>
  </si>
  <si>
    <t>Mpr multifamily  C2 (Million euro)</t>
  </si>
  <si>
    <t>Mpr multifamily  C3 (Million euro)</t>
  </si>
  <si>
    <t>Mpr multifamily  C4 (Million euro)</t>
  </si>
  <si>
    <t>Mpr multifamily  C5 (Million euro)</t>
  </si>
  <si>
    <t>Mpr multifamily  C1 (Thousand households)</t>
  </si>
  <si>
    <t>Mpr multifamily  C2 (Thousand households)</t>
  </si>
  <si>
    <t>Mpr multifamily  C3 (Thousand households)</t>
  </si>
  <si>
    <t>Mpr multifamily  C4 (Thousand households)</t>
  </si>
  <si>
    <t>Mpr multifamily  C5 (Thousand households)</t>
  </si>
  <si>
    <t>Reduced vat heater Multi-family (Thousand households)</t>
  </si>
  <si>
    <t>Reduced vat heater Single-family (Thousand households)</t>
  </si>
  <si>
    <t>Reduced vat heater C1 (Thousand households)</t>
  </si>
  <si>
    <t>Reduced vat heater C2 (Thousand households)</t>
  </si>
  <si>
    <t>Reduced vat heater C3 (Thousand households)</t>
  </si>
  <si>
    <t>Reduced vat heater C4 (Thousand households)</t>
  </si>
  <si>
    <t>Reduced vat heater C5 (Thousand households)</t>
  </si>
  <si>
    <t>Reduced vat heater (Thousand households)</t>
  </si>
  <si>
    <t>Average cost Reduced vat heater (euro)</t>
  </si>
  <si>
    <t>Reduced vat heater (Billion euro)</t>
  </si>
  <si>
    <t>Cee heater C1 (Thousand households)</t>
  </si>
  <si>
    <t>Cee heater C2 (Thousand households)</t>
  </si>
  <si>
    <t>Cee heater C3 (Thousand households)</t>
  </si>
  <si>
    <t>Cee heater C4 (Thousand households)</t>
  </si>
  <si>
    <t>Cee heater C5 (Thousand households)</t>
  </si>
  <si>
    <t>Cee heater (Thousand households)</t>
  </si>
  <si>
    <t>Average cost Cee heater (euro)</t>
  </si>
  <si>
    <t>Cee heater (Billion euro)</t>
  </si>
  <si>
    <t>Mpr heater C1 (Thousand households)</t>
  </si>
  <si>
    <t>Mpr heater C2 (Thousand households)</t>
  </si>
  <si>
    <t>Mpr heater C3 (Thousand households)</t>
  </si>
  <si>
    <t>Mpr heater C4 (Thousand households)</t>
  </si>
  <si>
    <t>Mpr heater C5 (Thousand households)</t>
  </si>
  <si>
    <t>Mpr heater (Thousand households)</t>
  </si>
  <si>
    <t>Average cost Mpr heater (euro)</t>
  </si>
  <si>
    <t>Over cap heater Multi-family (Thousand households)</t>
  </si>
  <si>
    <t>Over cap heater Single-family (Thousand households)</t>
  </si>
  <si>
    <t>Over cap heater C1 (Thousand households)</t>
  </si>
  <si>
    <t>Over cap heater C2 (Thousand households)</t>
  </si>
  <si>
    <t>Over cap heater C3 (Thousand households)</t>
  </si>
  <si>
    <t>Over cap heater C4 (Thousand households)</t>
  </si>
  <si>
    <t>Over cap heater C5 (Thousand households)</t>
  </si>
  <si>
    <t>Over cap heater (Thousand households)</t>
  </si>
  <si>
    <t>Average cost Over cap heater (euro)</t>
  </si>
  <si>
    <t>Over cap heater (Billion euro)</t>
  </si>
  <si>
    <t>Reduced vat insulation Multi-family (Thousand households)</t>
  </si>
  <si>
    <t>Reduced vat insulation Single-family (Thousand households)</t>
  </si>
  <si>
    <t>Reduced vat insulation C1 (Thousand households)</t>
  </si>
  <si>
    <t>Reduced vat insulation C2 (Thousand households)</t>
  </si>
  <si>
    <t>Reduced vat insulation C3 (Thousand households)</t>
  </si>
  <si>
    <t>Reduced vat insulation C4 (Thousand households)</t>
  </si>
  <si>
    <t>Reduced vat insulation C5 (Thousand households)</t>
  </si>
  <si>
    <t>Reduced vat insulation (Thousand households)</t>
  </si>
  <si>
    <t>Average cost Reduced vat insulation (euro)</t>
  </si>
  <si>
    <t>Average energy std saved Reduced vat insulation (MWh)</t>
  </si>
  <si>
    <t>Reduced vat insulation (Billion euro)</t>
  </si>
  <si>
    <t>Cee insulation C1 (Thousand households)</t>
  </si>
  <si>
    <t>Cee insulation C2 (Thousand households)</t>
  </si>
  <si>
    <t>Cee insulation C3 (Thousand households)</t>
  </si>
  <si>
    <t>Cee insulation C4 (Thousand households)</t>
  </si>
  <si>
    <t>Cee insulation C5 (Thousand households)</t>
  </si>
  <si>
    <t>Cee insulation (Thousand households)</t>
  </si>
  <si>
    <t>Average cost Cee insulation (euro)</t>
  </si>
  <si>
    <t>Average energy std saved Cee insulation (MWh)</t>
  </si>
  <si>
    <t>Cee insulation (Billion euro)</t>
  </si>
  <si>
    <t>Mpr insulation Multi-family (Thousand households)</t>
  </si>
  <si>
    <t>Mpr insulation C1 (Thousand households)</t>
  </si>
  <si>
    <t>Mpr insulation C2 (Thousand households)</t>
  </si>
  <si>
    <t>Mpr insulation C3 (Thousand households)</t>
  </si>
  <si>
    <t>Mpr insulation C4 (Thousand households)</t>
  </si>
  <si>
    <t>Mpr insulation C5 (Thousand households)</t>
  </si>
  <si>
    <t>Mpr insulation (Thousand households)</t>
  </si>
  <si>
    <t>Average cost Mpr insulation (euro)</t>
  </si>
  <si>
    <t>Average energy std saved Mpr insulation (MWh)</t>
  </si>
  <si>
    <t>Mpr insulation (Billion euro)</t>
  </si>
  <si>
    <t>Mpr serenite insulation Multi-family (Thousand households)</t>
  </si>
  <si>
    <t>Mpr serenite insulation Single-family (Thousand households)</t>
  </si>
  <si>
    <t>Mpr serenite insulation C1 (Thousand households)</t>
  </si>
  <si>
    <t>Mpr serenite insulation C2 (Thousand households)</t>
  </si>
  <si>
    <t>Mpr serenite insulation C3 (Thousand households)</t>
  </si>
  <si>
    <t>Mpr serenite insulation C4 (Thousand households)</t>
  </si>
  <si>
    <t>Mpr serenite insulation C5 (Thousand households)</t>
  </si>
  <si>
    <t>Mpr serenite insulation (Thousand households)</t>
  </si>
  <si>
    <t>Average cost Mpr serenite insulation (euro)</t>
  </si>
  <si>
    <t>Average energy std saved Mpr serenite insulation (MWh)</t>
  </si>
  <si>
    <t>Mpr serenite insulation (Billion euro)</t>
  </si>
  <si>
    <t>Mpr multifamily insulation Multi-family (Thousand households)</t>
  </si>
  <si>
    <t>Mpr multifamily insulation Single-family (Thousand households)</t>
  </si>
  <si>
    <t>Mpr multifamily insulation C1 (Thousand households)</t>
  </si>
  <si>
    <t>Mpr multifamily insulation C2 (Thousand households)</t>
  </si>
  <si>
    <t>Mpr multifamily insulation C3 (Thousand households)</t>
  </si>
  <si>
    <t>Mpr multifamily insulation C4 (Thousand households)</t>
  </si>
  <si>
    <t>Mpr multifamily insulation C5 (Thousand households)</t>
  </si>
  <si>
    <t>Mpr multifamily insulation (Thousand households)</t>
  </si>
  <si>
    <t>Average cost Mpr multifamily insulation (euro)</t>
  </si>
  <si>
    <t>Average energy std saved Mpr multifamily insulation (MWh)</t>
  </si>
  <si>
    <t>Mpr multifamily insulation (Billion euro)</t>
  </si>
  <si>
    <t>Over cap insulation Multi-family (Thousand households)</t>
  </si>
  <si>
    <t>Over cap insulation Single-family (Thousand households)</t>
  </si>
  <si>
    <t>Over cap insulation C1 (Thousand households)</t>
  </si>
  <si>
    <t>Over cap insulation C2 (Thousand households)</t>
  </si>
  <si>
    <t>Over cap insulation C3 (Thousand households)</t>
  </si>
  <si>
    <t>Over cap insulation C4 (Thousand households)</t>
  </si>
  <si>
    <t>Over cap insulation C5 (Thousand households)</t>
  </si>
  <si>
    <t>Over cap insulation (Thousand households)</t>
  </si>
  <si>
    <t>Average cost Over cap insulation (euro)</t>
  </si>
  <si>
    <t>Average energy std saved Over cap insulation (MWh)</t>
  </si>
  <si>
    <t>Over cap insulation (Billion euro)</t>
  </si>
  <si>
    <t>Zero interest loan insulation Multi-family (Thousand households)</t>
  </si>
  <si>
    <t>Zero interest loan insulation Single-family (Thousand households)</t>
  </si>
  <si>
    <t>Zero interest loan insulation C1 (Thousand households)</t>
  </si>
  <si>
    <t>Zero interest loan insulation C2 (Thousand households)</t>
  </si>
  <si>
    <t>Zero interest loan insulation C3 (Thousand households)</t>
  </si>
  <si>
    <t>Zero interest loan insulation C4 (Thousand households)</t>
  </si>
  <si>
    <t>Zero interest loan insulation C5 (Thousand households)</t>
  </si>
  <si>
    <t>Zero interest loan insulation (Thousand households)</t>
  </si>
  <si>
    <t>Average cost Zero interest loan insulation (euro)</t>
  </si>
  <si>
    <t>Average energy std saved Zero interest loan insulation (MWh)</t>
  </si>
  <si>
    <t>Zero interest loan insulation (Billion euro)</t>
  </si>
  <si>
    <t>Cee Multi-family (Thousand households)</t>
  </si>
  <si>
    <t>Cee Single-family (Thousand households)</t>
  </si>
  <si>
    <t>Average cost Cee (euro)</t>
  </si>
  <si>
    <t>Mpr Multi-family (Thousand households)</t>
  </si>
  <si>
    <t>Mpr Single-family (Thousand households)</t>
  </si>
  <si>
    <t>Average cost Mpr (euro)</t>
  </si>
  <si>
    <t>Mpr multifamily Multi-family (Thousand households)</t>
  </si>
  <si>
    <t>Mpr multifamily Single-family (Thousand households)</t>
  </si>
  <si>
    <t>Average cost Mpr multifamily (euro)</t>
  </si>
  <si>
    <t>Mpr serenite Multi-family (Thousand households)</t>
  </si>
  <si>
    <t>Mpr serenite Single-family (Thousand households)</t>
  </si>
  <si>
    <t>Average cost Mpr serenite (euro)</t>
  </si>
  <si>
    <t>Over cap (Thousand households)</t>
  </si>
  <si>
    <t>Over cap Multi-family (Thousand households)</t>
  </si>
  <si>
    <t>Over cap Single-family (Thousand households)</t>
  </si>
  <si>
    <t>Average cost Over cap (euro)</t>
  </si>
  <si>
    <t>Reduced vat (Thousand households)</t>
  </si>
  <si>
    <t>Reduced vat Multi-family (Thousand households)</t>
  </si>
  <si>
    <t>Reduced vat Single-family (Thousand households)</t>
  </si>
  <si>
    <t>Reduced vat (Billion euro)</t>
  </si>
  <si>
    <t>Average cost Reduced vat (euro)</t>
  </si>
  <si>
    <t>Zero interest loan Multi-family (Thousand households)</t>
  </si>
  <si>
    <t>Zero interest loan Single-family (Thousand households)</t>
  </si>
  <si>
    <t>Average cost Zero interest loan (euro)</t>
  </si>
  <si>
    <t>Investment total Multi-family - Owner-occupied (Billion euro)</t>
  </si>
  <si>
    <t>Investment total Multi-family - Privately rented (Billion euro)</t>
  </si>
  <si>
    <t>Investment total Multi-family - Social-housing (Billion euro)</t>
  </si>
  <si>
    <t>Investment total Single-family - Owner-occupied (Billion euro)</t>
  </si>
  <si>
    <t>Investment total Single-family - Privately rented (Billion euro)</t>
  </si>
  <si>
    <t>Investment total Single-family - Social-housing (Billion euro)</t>
  </si>
  <si>
    <t>Subsidies total Multi-family - Owner-occupied (Million euro)</t>
  </si>
  <si>
    <t>Subsidies total Multi-family - Privately rented (Million euro)</t>
  </si>
  <si>
    <t>Subsidies total Single-family - Owner-occupied (Million euro)</t>
  </si>
  <si>
    <t>Subsidies total Single-family - Privately rented (Million euro)</t>
  </si>
  <si>
    <t>Subsidies total C1 (Million euro)</t>
  </si>
  <si>
    <t>Subsidies total C2 (Million euro)</t>
  </si>
  <si>
    <t>Subsidies total C3 (Million euro)</t>
  </si>
  <si>
    <t>Subsidies total C4 (Million euro)</t>
  </si>
  <si>
    <t>Subsidies total C5 (Million euro)</t>
  </si>
  <si>
    <t>COFP (Billion euro)</t>
  </si>
  <si>
    <t>Cost energy (Billion euro)</t>
  </si>
  <si>
    <t>Cost emission (Billion euro)</t>
  </si>
  <si>
    <t>Cost heath (Billion euro)</t>
  </si>
  <si>
    <t>Loss thermal comfort (Billion euro)</t>
  </si>
  <si>
    <t>Cost heater (Billion euro)</t>
  </si>
  <si>
    <t>Cost insulation (Billion euro)</t>
  </si>
  <si>
    <t>Running cost (Billion euro)</t>
  </si>
  <si>
    <t>CBA Consumption saving (TWh)</t>
  </si>
  <si>
    <t>CBA Consumption saving insulation (TWh)</t>
  </si>
  <si>
    <t>CBA Consumption saving switch fuel (TWh)</t>
  </si>
  <si>
    <t>CBA Consumption saving EE (TWh)</t>
  </si>
  <si>
    <t>CBA Consumption saving prices (TWh)</t>
  </si>
  <si>
    <t>CBA Rebound EE (TWh)</t>
  </si>
  <si>
    <t>CBA Consumption saving EE (Billion euro)</t>
  </si>
  <si>
    <t>CBA Consumption saving prices (Billion euro)</t>
  </si>
  <si>
    <t>CBA Thermal comfort EE (Billion euro)</t>
  </si>
  <si>
    <t>CBA Emission direct (Billion euro)</t>
  </si>
  <si>
    <t>CBA Health cost (Billion euro)</t>
  </si>
  <si>
    <t>CBA benefits (Billion euro)</t>
  </si>
  <si>
    <t>CBA Thermal loss prices (Billion euro)</t>
  </si>
  <si>
    <t>CBA Annuities insulation (Billion euro)</t>
  </si>
  <si>
    <t>CBA Annuities heater (Billion euro)</t>
  </si>
  <si>
    <t>CBA Carbon Emission indirect (Billion euro)</t>
  </si>
  <si>
    <t>CBA COFP (Billion euro)</t>
  </si>
  <si>
    <t>CBA cost (Billion euro)</t>
  </si>
  <si>
    <t>Cost-benefits analysis (Billion euro)</t>
  </si>
  <si>
    <t>Renovation from C to A (Thousand households)</t>
  </si>
  <si>
    <t>Renovation from C to B (Thousand households)</t>
  </si>
  <si>
    <t>Renovation from C to C (Thousand households)</t>
  </si>
  <si>
    <t>Renovation from C to D (Thousand households)</t>
  </si>
  <si>
    <t>Renovation from D to A (Thousand households)</t>
  </si>
  <si>
    <t>Renovation from D to B (Thousand households)</t>
  </si>
  <si>
    <t>Renovation from D to C (Thousand households)</t>
  </si>
  <si>
    <t>Renovation from D to D (Thousand households)</t>
  </si>
  <si>
    <t>Renovation from D to E (Thousand households)</t>
  </si>
  <si>
    <t>Renovation from D to F (Thousand households)</t>
  </si>
  <si>
    <t>Renovation from E to A (Thousand households)</t>
  </si>
  <si>
    <t>Renovation from E to B (Thousand households)</t>
  </si>
  <si>
    <t>Renovation from E to C (Thousand households)</t>
  </si>
  <si>
    <t>Renovation from E to D (Thousand households)</t>
  </si>
  <si>
    <t>Renovation from E to E (Thousand households)</t>
  </si>
  <si>
    <t>Renovation from E to F (Thousand households)</t>
  </si>
  <si>
    <t>Renovation from E to G (Thousand households)</t>
  </si>
  <si>
    <t>Renovation from F to A (Thousand households)</t>
  </si>
  <si>
    <t>Renovation from F to B (Thousand households)</t>
  </si>
  <si>
    <t>Renovation from F to C (Thousand households)</t>
  </si>
  <si>
    <t>Renovation from F to D (Thousand households)</t>
  </si>
  <si>
    <t>Renovation from F to E (Thousand households)</t>
  </si>
  <si>
    <t>Renovation from F to F (Thousand households)</t>
  </si>
  <si>
    <t>Renovation from F to G (Thousand households)</t>
  </si>
  <si>
    <t>Renovation from G to A (Thousand households)</t>
  </si>
  <si>
    <t>Renovation from G to B (Thousand households)</t>
  </si>
  <si>
    <t>Renovation from G to C (Thousand households)</t>
  </si>
  <si>
    <t>Renovation from G to D (Thousand households)</t>
  </si>
  <si>
    <t>Renovation from G to E (Thousand households)</t>
  </si>
  <si>
    <t>Renovation from G to F (Thousand households)</t>
  </si>
  <si>
    <t>Renovation from G to G (Thousand households)</t>
  </si>
  <si>
    <t>Obligatory renovation from G to B (Thousand households)</t>
  </si>
  <si>
    <t>Obligatory renovation from G to C (Thousand households)</t>
  </si>
  <si>
    <t>Obligatory renovation from G to D (Thousand households)</t>
  </si>
  <si>
    <t>Obligatory renovation from G to E (Thousand households)</t>
  </si>
  <si>
    <t>Obligatory renovation from G to F (Thousand households)</t>
  </si>
  <si>
    <t>Obligatory renovation from G to G (Thousand households)</t>
  </si>
  <si>
    <t>Total High-performance renovation (Thousand households)</t>
  </si>
  <si>
    <t>Deep renovation (Thousand households)</t>
  </si>
  <si>
    <t>Obligatory renovation from F to B (Thousand households)</t>
  </si>
  <si>
    <t>Obligatory renovation from F to C (Thousand households)</t>
  </si>
  <si>
    <t>Obligatory renovation from F to D (Thousand households)</t>
  </si>
  <si>
    <t>Obligatory renovation from F to E (Thousand households)</t>
  </si>
  <si>
    <t>Obligatory renovation from F to F (Thousand households)</t>
  </si>
  <si>
    <t>Obligatory renovation from F to G (Thousand households)</t>
  </si>
  <si>
    <t>Carbon tax (Billion euro)</t>
  </si>
  <si>
    <t>Obligatory renovation from E to A (Thousand households)</t>
  </si>
  <si>
    <t>Obligatory renovation from E to B (Thousand households)</t>
  </si>
  <si>
    <t>Obligatory renovation from E to C (Thousand households)</t>
  </si>
  <si>
    <t>Obligatory renovation from E to D (Thousand households)</t>
  </si>
  <si>
    <t>Obligatory renovation from E to E (Thousand households)</t>
  </si>
  <si>
    <t>Obligatory renovation from E to F (Thousand households)</t>
  </si>
  <si>
    <t>Obligatory renovation from D to A (Thousand households)</t>
  </si>
  <si>
    <t>Obligatory renovation from D to B (Thousand households)</t>
  </si>
  <si>
    <t>Obligatory renovation from D to C (Thousand households)</t>
  </si>
  <si>
    <t>Obligatory renovation from D to D (Thousand households)</t>
  </si>
  <si>
    <t>Obligatory renovation from D to E (Thousand households)</t>
  </si>
  <si>
    <t>Annuities insulation Owner-occupied - C1 (euro/year,household)</t>
  </si>
  <si>
    <t>Annuities insulation Owner-occupied - C2 (euro/year,household)</t>
  </si>
  <si>
    <t>Annuities insulation Owner-occupied - C3 (euro/year,household)</t>
  </si>
  <si>
    <t>Annuities insulation Owner-occupied - C4 (euro/year,household)</t>
  </si>
  <si>
    <t>Annuities insulation Owner-occupied - C5 (euro/year,household)</t>
  </si>
  <si>
    <t>Annuities insulation Privately rented - C1 (euro/year,household)</t>
  </si>
  <si>
    <t>Annuities insulation Privately rented - C2 (euro/year,household)</t>
  </si>
  <si>
    <t>Annuities insulation Privately rented - C3 (euro/year,household)</t>
  </si>
  <si>
    <t>Annuities insulation Privately rented - C4 (euro/year,household)</t>
  </si>
  <si>
    <t>Annuities insulation Privately rented - C5 (euro/year,household)</t>
  </si>
  <si>
    <t>Annuities insulation Social-housing - C5 (euro/year,household)</t>
  </si>
  <si>
    <t>Rent C1 (euro/year,household)</t>
  </si>
  <si>
    <t>Rent C2 (euro/year,household)</t>
  </si>
  <si>
    <t>Rent C3 (euro/year,household)</t>
  </si>
  <si>
    <t>Rent C4 (euro/year,household)</t>
  </si>
  <si>
    <t>Rent C5 (euro/year,household)</t>
  </si>
  <si>
    <t>Bill saving standard Owner-occupied - C1 (euro/year,household)</t>
  </si>
  <si>
    <t>Bill saving standard Owner-occupied - C2 (euro/year,household)</t>
  </si>
  <si>
    <t>Bill saving standard Owner-occupied - C3 (euro/year,household)</t>
  </si>
  <si>
    <t>Bill saving standard Owner-occupied - C4 (euro/year,household)</t>
  </si>
  <si>
    <t>Bill saving standard Owner-occupied - C5 (euro/year,household)</t>
  </si>
  <si>
    <t>Bill saving standard Privately rented - C1 (euro/year,household)</t>
  </si>
  <si>
    <t>Bill saving standard Privately rented - C2 (euro/year,household)</t>
  </si>
  <si>
    <t>Bill saving standard Privately rented - C3 (euro/year,household)</t>
  </si>
  <si>
    <t>Bill saving standard Privately rented - C4 (euro/year,household)</t>
  </si>
  <si>
    <t>Bill saving standard Privately rented - C5 (euro/year,household)</t>
  </si>
  <si>
    <t>Bill saving standard Social-housing - C1 (euro/year,household)</t>
  </si>
  <si>
    <t>Bill saving standard Social-housing - C2 (euro/year,household)</t>
  </si>
  <si>
    <t>Bill saving standard Social-housing - C3 (euro/year,household)</t>
  </si>
  <si>
    <t>Bill saving standard Social-housing - C4 (euro/year,household)</t>
  </si>
  <si>
    <t>Bill saving standard Social-housing - C5 (euro/year,household)</t>
  </si>
  <si>
    <t>Bill saving Owner-occupied - C1 (euro/year,household)</t>
  </si>
  <si>
    <t>Bill saving Owner-occupied - C2 (euro/year,household)</t>
  </si>
  <si>
    <t>Bill saving Owner-occupied - C3 (euro/year,household)</t>
  </si>
  <si>
    <t>Bill saving Owner-occupied - C4 (euro/year,household)</t>
  </si>
  <si>
    <t>Bill saving Owner-occupied - C5 (euro/year,household)</t>
  </si>
  <si>
    <t>Bill saving Privately rented - C1 (euro/year,household)</t>
  </si>
  <si>
    <t>Bill saving Privately rented - C2 (euro/year,household)</t>
  </si>
  <si>
    <t>Bill saving Privately rented - C3 (euro/year,household)</t>
  </si>
  <si>
    <t>Bill saving Privately rented - C4 (euro/year,household)</t>
  </si>
  <si>
    <t>Bill saving Privately rented - C5 (euro/year,household)</t>
  </si>
  <si>
    <t>Bill saving Social-housing - C1 (euro/year,household)</t>
  </si>
  <si>
    <t>Bill saving Social-housing - C2 (euro/year,household)</t>
  </si>
  <si>
    <t>Bill saving Social-housing - C3 (euro/year,household)</t>
  </si>
  <si>
    <t>Bill saving Social-housing - C4 (euro/year,household)</t>
  </si>
  <si>
    <t>Bill saving Social-housing - C5 (euro/year,household)</t>
  </si>
  <si>
    <t>Balance Owner-occupied - C1 (euro/year,household)</t>
  </si>
  <si>
    <t>Balance Owner-occupied - C2 (euro/year,household)</t>
  </si>
  <si>
    <t>Balance Owner-occupied - C3 (euro/year,household)</t>
  </si>
  <si>
    <t>Balance Owner-occupied - C4 (euro/year,household)</t>
  </si>
  <si>
    <t>Balance Owner-occupied - C5 (euro/year,household)</t>
  </si>
  <si>
    <t>Balance Tenant private - C1 (euro/year,household)</t>
  </si>
  <si>
    <t>Balance Tenant private - C2 (euro/year,household)</t>
  </si>
  <si>
    <t>Balance Tenant private - C3 (euro/year,household)</t>
  </si>
  <si>
    <t>Balance Tenant private - C4 (euro/year,household)</t>
  </si>
  <si>
    <t>Balance Tenant private - C5 (euro/year,household)</t>
  </si>
  <si>
    <t>Balance standard Owner-occupied - C1 (euro/year,household)</t>
  </si>
  <si>
    <t>Balance standard Owner-occupied - C2 (euro/year,household)</t>
  </si>
  <si>
    <t>Balance standard Owner-occupied - C3 (euro/year,household)</t>
  </si>
  <si>
    <t>Balance standard Owner-occupied - C4 (euro/year,household)</t>
  </si>
  <si>
    <t>Balance standard Owner-occupied - C5 (euro/year,household)</t>
  </si>
  <si>
    <t>Balance standard Tenant private - C1 (euro/year,household)</t>
  </si>
  <si>
    <t>Balance standard Tenant private - C2 (euro/year,household)</t>
  </si>
  <si>
    <t>Balance standard Tenant private - C3 (euro/year,household)</t>
  </si>
  <si>
    <t>Balance standard Tenant private - C4 (euro/year,household)</t>
  </si>
  <si>
    <t>Balance standard Tenant private - C5 (euro/year,household)</t>
  </si>
  <si>
    <t>saut de 2 classes ou + chauffage</t>
  </si>
  <si>
    <t>saut 2 classes ou +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</si>
</sst>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_-* #,##0.0_-;\-* #,##0.0_-;_-* &quot;-&quot;??_-;_-@_-"/>
    <numFmt numFmtId="168" formatCode="_-* #,##0_-;\-* #,##0_-;_-* &quot;-&quot;??_-;_-@_-"/>
    <numFmt numFmtId="169" formatCode="0.0%"/>
    <numFmt numFmtId="170" formatCode="_-* #,##0.0\ _€_-;\-* #,##0.0\ _€_-;_-* &quot;-&quot;?\ _€_-;_-@_-"/>
    <numFmt numFmtId="171" formatCode="_-* #,##0_-;\-* #,##0_-;_-* \-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E5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7">
    <xf numFmtId="0" fontId="0" fillId="0" borderId="0" xfId="0"/>
    <xf numFmtId="2" fontId="0" fillId="0" borderId="0" xfId="0" applyNumberFormat="1"/>
    <xf numFmtId="0" fontId="16" fillId="0" borderId="0" xfId="0" applyFont="1"/>
    <xf numFmtId="9" fontId="0" fillId="0" borderId="0" xfId="42" applyFont="1"/>
    <xf numFmtId="2" fontId="18" fillId="0" borderId="0" xfId="0" applyNumberFormat="1" applyFont="1"/>
    <xf numFmtId="2" fontId="16" fillId="0" borderId="0" xfId="0" applyNumberFormat="1" applyFont="1"/>
    <xf numFmtId="9" fontId="16" fillId="0" borderId="0" xfId="42" applyFont="1"/>
    <xf numFmtId="9" fontId="0" fillId="0" borderId="0" xfId="0" applyNumberFormat="1"/>
    <xf numFmtId="0" fontId="0" fillId="0" borderId="0" xfId="0" applyFont="1"/>
    <xf numFmtId="0" fontId="0" fillId="0" borderId="0" xfId="0" applyNumberFormat="1"/>
    <xf numFmtId="0" fontId="18" fillId="0" borderId="0" xfId="0" applyFont="1"/>
    <xf numFmtId="164" fontId="0" fillId="0" borderId="0" xfId="0" applyNumberFormat="1"/>
    <xf numFmtId="164" fontId="0" fillId="0" borderId="0" xfId="42" applyNumberFormat="1" applyFont="1"/>
    <xf numFmtId="164" fontId="16" fillId="0" borderId="0" xfId="0" applyNumberFormat="1" applyFont="1"/>
    <xf numFmtId="164" fontId="18" fillId="0" borderId="0" xfId="0" applyNumberFormat="1" applyFont="1"/>
    <xf numFmtId="164" fontId="19" fillId="0" borderId="0" xfId="0" applyNumberFormat="1" applyFont="1" applyAlignment="1">
      <alignment wrapText="1"/>
    </xf>
    <xf numFmtId="164" fontId="19" fillId="33" borderId="0" xfId="0" applyNumberFormat="1" applyFont="1" applyFill="1" applyAlignment="1">
      <alignment wrapText="1"/>
    </xf>
    <xf numFmtId="9" fontId="0" fillId="33" borderId="0" xfId="42" applyFont="1" applyFill="1"/>
    <xf numFmtId="9" fontId="16" fillId="33" borderId="0" xfId="42" applyFont="1" applyFill="1"/>
    <xf numFmtId="0" fontId="0" fillId="0" borderId="0" xfId="0" applyAlignment="1">
      <alignment wrapText="1"/>
    </xf>
    <xf numFmtId="1" fontId="0" fillId="0" borderId="0" xfId="0" applyNumberFormat="1"/>
    <xf numFmtId="0" fontId="0" fillId="34" borderId="0" xfId="0" applyFill="1"/>
    <xf numFmtId="165" fontId="0" fillId="0" borderId="0" xfId="0" applyNumberFormat="1"/>
    <xf numFmtId="166" fontId="0" fillId="0" borderId="0" xfId="0" applyNumberFormat="1"/>
    <xf numFmtId="0" fontId="0" fillId="35" borderId="0" xfId="0" applyFill="1"/>
    <xf numFmtId="0" fontId="0" fillId="36" borderId="0" xfId="0" applyFill="1"/>
    <xf numFmtId="43" fontId="0" fillId="0" borderId="0" xfId="43" applyFont="1"/>
    <xf numFmtId="167" fontId="0" fillId="0" borderId="0" xfId="43" applyNumberFormat="1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6" fillId="0" borderId="0" xfId="0" applyFont="1" applyAlignment="1">
      <alignment wrapText="1"/>
    </xf>
    <xf numFmtId="168" fontId="0" fillId="0" borderId="0" xfId="43" applyNumberFormat="1" applyFont="1"/>
    <xf numFmtId="168" fontId="0" fillId="0" borderId="0" xfId="0" applyNumberFormat="1"/>
    <xf numFmtId="169" fontId="0" fillId="0" borderId="0" xfId="42" applyNumberFormat="1" applyFont="1"/>
    <xf numFmtId="169" fontId="0" fillId="0" borderId="0" xfId="0" applyNumberFormat="1"/>
    <xf numFmtId="10" fontId="0" fillId="0" borderId="0" xfId="0" applyNumberFormat="1"/>
    <xf numFmtId="0" fontId="0" fillId="33" borderId="0" xfId="0" applyFill="1"/>
    <xf numFmtId="0" fontId="0" fillId="37" borderId="0" xfId="0" applyFill="1"/>
    <xf numFmtId="164" fontId="0" fillId="37" borderId="0" xfId="0" applyNumberFormat="1" applyFill="1"/>
    <xf numFmtId="164" fontId="0" fillId="36" borderId="0" xfId="0" applyNumberFormat="1" applyFill="1"/>
    <xf numFmtId="164" fontId="0" fillId="34" borderId="0" xfId="0" applyNumberFormat="1" applyFill="1"/>
    <xf numFmtId="0" fontId="0" fillId="38" borderId="0" xfId="0" applyFill="1"/>
    <xf numFmtId="164" fontId="0" fillId="38" borderId="0" xfId="0" applyNumberFormat="1" applyFill="1"/>
    <xf numFmtId="0" fontId="0" fillId="0" borderId="0" xfId="0" applyFill="1"/>
    <xf numFmtId="0" fontId="16" fillId="0" borderId="0" xfId="0" applyFont="1" applyBorder="1"/>
    <xf numFmtId="164" fontId="18" fillId="0" borderId="0" xfId="0" applyNumberFormat="1" applyFont="1" applyBorder="1"/>
    <xf numFmtId="0" fontId="18" fillId="0" borderId="0" xfId="0" applyFont="1" applyBorder="1"/>
    <xf numFmtId="0" fontId="0" fillId="0" borderId="11" xfId="0" applyBorder="1"/>
    <xf numFmtId="0" fontId="0" fillId="0" borderId="0" xfId="0" applyBorder="1"/>
    <xf numFmtId="0" fontId="0" fillId="0" borderId="14" xfId="0" applyBorder="1"/>
    <xf numFmtId="164" fontId="0" fillId="0" borderId="14" xfId="0" applyNumberFormat="1" applyBorder="1"/>
    <xf numFmtId="0" fontId="18" fillId="0" borderId="12" xfId="0" applyFont="1" applyBorder="1"/>
    <xf numFmtId="0" fontId="16" fillId="0" borderId="10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16" fillId="40" borderId="12" xfId="0" applyFont="1" applyFill="1" applyBorder="1" applyAlignment="1">
      <alignment horizontal="right"/>
    </xf>
    <xf numFmtId="164" fontId="16" fillId="40" borderId="0" xfId="0" applyNumberFormat="1" applyFont="1" applyFill="1" applyBorder="1"/>
    <xf numFmtId="0" fontId="0" fillId="41" borderId="0" xfId="0" applyFill="1"/>
    <xf numFmtId="168" fontId="16" fillId="41" borderId="0" xfId="43" applyNumberFormat="1" applyFont="1" applyFill="1"/>
    <xf numFmtId="0" fontId="16" fillId="41" borderId="0" xfId="0" applyFont="1" applyFill="1"/>
    <xf numFmtId="0" fontId="16" fillId="34" borderId="0" xfId="0" applyFont="1" applyFill="1"/>
    <xf numFmtId="164" fontId="16" fillId="34" borderId="0" xfId="0" applyNumberFormat="1" applyFont="1" applyFill="1"/>
    <xf numFmtId="0" fontId="16" fillId="36" borderId="0" xfId="0" applyFont="1" applyFill="1"/>
    <xf numFmtId="0" fontId="16" fillId="35" borderId="0" xfId="0" applyFont="1" applyFill="1"/>
    <xf numFmtId="164" fontId="16" fillId="35" borderId="0" xfId="0" applyNumberFormat="1" applyFont="1" applyFill="1"/>
    <xf numFmtId="0" fontId="16" fillId="39" borderId="0" xfId="0" applyFont="1" applyFill="1"/>
    <xf numFmtId="164" fontId="16" fillId="39" borderId="0" xfId="0" applyNumberFormat="1" applyFont="1" applyFill="1"/>
    <xf numFmtId="164" fontId="16" fillId="36" borderId="0" xfId="0" applyNumberFormat="1" applyFont="1" applyFill="1"/>
    <xf numFmtId="164" fontId="0" fillId="33" borderId="0" xfId="0" applyNumberFormat="1" applyFill="1"/>
    <xf numFmtId="164" fontId="0" fillId="0" borderId="0" xfId="0" applyNumberFormat="1" applyFill="1"/>
    <xf numFmtId="0" fontId="0" fillId="0" borderId="0" xfId="0" applyAlignment="1">
      <alignment horizontal="center"/>
    </xf>
    <xf numFmtId="169" fontId="0" fillId="0" borderId="0" xfId="42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wrapText="1"/>
    </xf>
    <xf numFmtId="170" fontId="0" fillId="0" borderId="0" xfId="0" applyNumberFormat="1"/>
    <xf numFmtId="167" fontId="0" fillId="0" borderId="0" xfId="0" applyNumberFormat="1"/>
    <xf numFmtId="0" fontId="0" fillId="39" borderId="0" xfId="0" applyFill="1"/>
    <xf numFmtId="0" fontId="22" fillId="39" borderId="0" xfId="0" applyFont="1" applyFill="1"/>
    <xf numFmtId="0" fontId="0" fillId="43" borderId="0" xfId="0" applyFill="1"/>
    <xf numFmtId="0" fontId="16" fillId="43" borderId="0" xfId="0" applyFont="1" applyFill="1"/>
    <xf numFmtId="164" fontId="0" fillId="43" borderId="0" xfId="0" applyNumberFormat="1" applyFill="1"/>
    <xf numFmtId="0" fontId="0" fillId="44" borderId="0" xfId="0" applyFill="1"/>
    <xf numFmtId="9" fontId="0" fillId="44" borderId="0" xfId="0" applyNumberFormat="1" applyFill="1"/>
    <xf numFmtId="0" fontId="16" fillId="44" borderId="0" xfId="0" applyFont="1" applyFill="1"/>
    <xf numFmtId="170" fontId="0" fillId="39" borderId="0" xfId="0" applyNumberFormat="1" applyFill="1"/>
    <xf numFmtId="167" fontId="0" fillId="39" borderId="0" xfId="43" applyNumberFormat="1" applyFont="1" applyFill="1"/>
    <xf numFmtId="0" fontId="0" fillId="43" borderId="0" xfId="0" applyFill="1" applyAlignment="1">
      <alignment wrapText="1"/>
    </xf>
    <xf numFmtId="0" fontId="16" fillId="0" borderId="0" xfId="0" applyFont="1" applyFill="1"/>
    <xf numFmtId="43" fontId="0" fillId="44" borderId="0" xfId="43" applyFont="1" applyFill="1"/>
    <xf numFmtId="0" fontId="0" fillId="39" borderId="0" xfId="0" applyFill="1" applyAlignment="1">
      <alignment wrapText="1"/>
    </xf>
    <xf numFmtId="164" fontId="0" fillId="39" borderId="0" xfId="0" applyNumberFormat="1" applyFill="1"/>
    <xf numFmtId="167" fontId="16" fillId="0" borderId="0" xfId="43" applyNumberFormat="1" applyFont="1"/>
    <xf numFmtId="0" fontId="18" fillId="44" borderId="0" xfId="0" applyFont="1" applyFill="1" applyAlignment="1">
      <alignment horizontal="right"/>
    </xf>
    <xf numFmtId="167" fontId="18" fillId="44" borderId="0" xfId="43" applyNumberFormat="1" applyFont="1" applyFill="1"/>
    <xf numFmtId="167" fontId="0" fillId="44" borderId="0" xfId="43" applyNumberFormat="1" applyFont="1" applyFill="1"/>
    <xf numFmtId="0" fontId="18" fillId="44" borderId="0" xfId="0" applyFont="1" applyFill="1"/>
    <xf numFmtId="0" fontId="0" fillId="42" borderId="0" xfId="0" applyFill="1"/>
    <xf numFmtId="9" fontId="16" fillId="42" borderId="0" xfId="0" applyNumberFormat="1" applyFont="1" applyFill="1"/>
    <xf numFmtId="2" fontId="16" fillId="42" borderId="0" xfId="0" applyNumberFormat="1" applyFont="1" applyFill="1" applyAlignment="1">
      <alignment horizontal="center"/>
    </xf>
    <xf numFmtId="2" fontId="0" fillId="42" borderId="0" xfId="0" applyNumberFormat="1" applyFill="1" applyAlignment="1">
      <alignment horizontal="left"/>
    </xf>
    <xf numFmtId="9" fontId="0" fillId="0" borderId="0" xfId="42" applyNumberFormat="1" applyFont="1"/>
    <xf numFmtId="0" fontId="0" fillId="0" borderId="15" xfId="0" applyBorder="1" applyAlignment="1">
      <alignment horizontal="center"/>
    </xf>
    <xf numFmtId="0" fontId="23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1" fontId="0" fillId="0" borderId="15" xfId="43" applyNumberFormat="1" applyFont="1" applyBorder="1" applyAlignment="1" applyProtection="1">
      <alignment horizontal="center"/>
    </xf>
    <xf numFmtId="43" fontId="0" fillId="0" borderId="15" xfId="43" applyFont="1" applyBorder="1" applyAlignment="1" applyProtection="1">
      <alignment horizontal="center" vertical="center"/>
    </xf>
    <xf numFmtId="43" fontId="24" fillId="45" borderId="15" xfId="43" applyFont="1" applyFill="1" applyBorder="1" applyAlignment="1" applyProtection="1">
      <alignment horizontal="center" vertical="center"/>
    </xf>
    <xf numFmtId="171" fontId="0" fillId="0" borderId="0" xfId="43" applyNumberFormat="1" applyFont="1" applyBorder="1" applyAlignment="1" applyProtection="1">
      <alignment horizontal="center"/>
    </xf>
    <xf numFmtId="171" fontId="0" fillId="0" borderId="0" xfId="43" applyNumberFormat="1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6" fillId="33" borderId="0" xfId="0" applyNumberFormat="1" applyFont="1" applyFill="1"/>
    <xf numFmtId="167" fontId="0" fillId="33" borderId="0" xfId="43" applyNumberFormat="1" applyFont="1" applyFill="1"/>
    <xf numFmtId="167" fontId="0" fillId="39" borderId="0" xfId="43" applyNumberFormat="1" applyFont="1" applyFill="1" applyAlignment="1">
      <alignment wrapText="1"/>
    </xf>
    <xf numFmtId="0" fontId="0" fillId="0" borderId="0" xfId="0"/>
    <xf numFmtId="0" fontId="16" fillId="0" borderId="0" xfId="0" applyFont="1"/>
    <xf numFmtId="164" fontId="0" fillId="0" borderId="0" xfId="0" applyNumberFormat="1"/>
    <xf numFmtId="164" fontId="0" fillId="0" borderId="0" xfId="42" applyNumberFormat="1" applyFont="1"/>
    <xf numFmtId="0" fontId="0" fillId="42" borderId="0" xfId="0" applyFill="1" applyAlignment="1">
      <alignment horizontal="center"/>
    </xf>
    <xf numFmtId="2" fontId="0" fillId="42" borderId="0" xfId="0" applyNumberFormat="1" applyFill="1" applyAlignment="1">
      <alignment horizontal="left"/>
    </xf>
    <xf numFmtId="0" fontId="16" fillId="39" borderId="0" xfId="0" applyFont="1" applyFill="1" applyAlignment="1">
      <alignment horizontal="center"/>
    </xf>
    <xf numFmtId="0" fontId="16" fillId="44" borderId="0" xfId="0" applyFont="1" applyFill="1" applyAlignment="1">
      <alignment horizontal="center" vertical="center" wrapText="1"/>
    </xf>
    <xf numFmtId="0" fontId="0" fillId="44" borderId="0" xfId="0" applyFill="1" applyAlignment="1">
      <alignment horizontal="left" vertical="center"/>
    </xf>
    <xf numFmtId="0" fontId="0" fillId="44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3" builtinId="3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9E5B"/>
      <color rgb="FF00A0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Emissions par vecteur 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'figures 2030'!$I$3</c:f>
              <c:strCache>
                <c:ptCount val="1"/>
                <c:pt idx="0">
                  <c:v>Emissions du gaz (MtCO2)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2030'!$J$3:$V$3</c:f>
              <c:numCache>
                <c:formatCode>0.00</c:formatCode>
                <c:ptCount val="13"/>
                <c:pt idx="0">
                  <c:v>20.02</c:v>
                </c:pt>
                <c:pt idx="1">
                  <c:v>19.600999999999999</c:v>
                </c:pt>
                <c:pt idx="2">
                  <c:v>19.574999999999999</c:v>
                </c:pt>
                <c:pt idx="3">
                  <c:v>19.088000000000001</c:v>
                </c:pt>
                <c:pt idx="4">
                  <c:v>18.257000000000001</c:v>
                </c:pt>
                <c:pt idx="5">
                  <c:v>17.594000000000001</c:v>
                </c:pt>
                <c:pt idx="6">
                  <c:v>16.811</c:v>
                </c:pt>
                <c:pt idx="7">
                  <c:v>15.885999999999999</c:v>
                </c:pt>
                <c:pt idx="8">
                  <c:v>15.006</c:v>
                </c:pt>
                <c:pt idx="9">
                  <c:v>14.026999999999999</c:v>
                </c:pt>
                <c:pt idx="10">
                  <c:v>13.111000000000001</c:v>
                </c:pt>
                <c:pt idx="11">
                  <c:v>12.26</c:v>
                </c:pt>
                <c:pt idx="12">
                  <c:v>11.457000000000001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D-44C3-84D5-240A4C475232}"/>
            </c:ext>
          </c:extLst>
        </c:ser>
        <c:ser>
          <c:idx val="1"/>
          <c:order val="1"/>
          <c:tx>
            <c:strRef>
              <c:f>'figures 2030'!$I$4</c:f>
              <c:strCache>
                <c:ptCount val="1"/>
                <c:pt idx="0">
                  <c:v>Emissions du fioul (MtCO2)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2030'!$J$4:$V$4</c:f>
              <c:numCache>
                <c:formatCode>0.00</c:formatCode>
                <c:ptCount val="13"/>
                <c:pt idx="0">
                  <c:v>10.044</c:v>
                </c:pt>
                <c:pt idx="1">
                  <c:v>9.0399999999999991</c:v>
                </c:pt>
                <c:pt idx="2">
                  <c:v>8.1820000000000004</c:v>
                </c:pt>
                <c:pt idx="3">
                  <c:v>7.23</c:v>
                </c:pt>
                <c:pt idx="4">
                  <c:v>6.14</c:v>
                </c:pt>
                <c:pt idx="5">
                  <c:v>5.2370000000000001</c:v>
                </c:pt>
                <c:pt idx="6">
                  <c:v>4.3789999999999996</c:v>
                </c:pt>
                <c:pt idx="7">
                  <c:v>3.5590000000000002</c:v>
                </c:pt>
                <c:pt idx="8">
                  <c:v>2.7570000000000001</c:v>
                </c:pt>
                <c:pt idx="9">
                  <c:v>1.996</c:v>
                </c:pt>
                <c:pt idx="10">
                  <c:v>1.2849999999999999</c:v>
                </c:pt>
                <c:pt idx="11">
                  <c:v>0.622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D-44C3-84D5-240A4C475232}"/>
            </c:ext>
          </c:extLst>
        </c:ser>
        <c:ser>
          <c:idx val="2"/>
          <c:order val="2"/>
          <c:tx>
            <c:strRef>
              <c:f>'figures 2030'!$I$5</c:f>
              <c:strCache>
                <c:ptCount val="1"/>
                <c:pt idx="0">
                  <c:v>Emissions de l'électricité (MtCO2)</c:v>
                </c:pt>
              </c:strCache>
            </c:strRef>
          </c:tx>
          <c:spPr>
            <a:pattFill prst="pct2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2030'!$J$5:$V$5</c:f>
              <c:numCache>
                <c:formatCode>0.00</c:formatCode>
                <c:ptCount val="13"/>
                <c:pt idx="0">
                  <c:v>4.0209999999999999</c:v>
                </c:pt>
                <c:pt idx="1">
                  <c:v>3.9380000000000002</c:v>
                </c:pt>
                <c:pt idx="2">
                  <c:v>3.923</c:v>
                </c:pt>
                <c:pt idx="3">
                  <c:v>3.9079999999999999</c:v>
                </c:pt>
                <c:pt idx="4">
                  <c:v>3.915</c:v>
                </c:pt>
                <c:pt idx="5">
                  <c:v>3.9169999999999998</c:v>
                </c:pt>
                <c:pt idx="6">
                  <c:v>3.915</c:v>
                </c:pt>
                <c:pt idx="7">
                  <c:v>3.8889999999999998</c:v>
                </c:pt>
                <c:pt idx="8">
                  <c:v>3.8849999999999998</c:v>
                </c:pt>
                <c:pt idx="9">
                  <c:v>3.8730000000000002</c:v>
                </c:pt>
                <c:pt idx="10">
                  <c:v>3.871</c:v>
                </c:pt>
                <c:pt idx="11">
                  <c:v>3.8809999999999998</c:v>
                </c:pt>
                <c:pt idx="12">
                  <c:v>3.9009999999999998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D-44C3-84D5-240A4C475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70496"/>
        <c:axId val="2080872992"/>
      </c:areaChart>
      <c:catAx>
        <c:axId val="20808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2992"/>
        <c:crosses val="autoZero"/>
        <c:auto val="1"/>
        <c:lblAlgn val="ctr"/>
        <c:lblOffset val="100"/>
        <c:noMultiLvlLbl val="0"/>
      </c:catAx>
      <c:valAx>
        <c:axId val="20808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950986442445435E-3"/>
          <c:y val="0.83011764584701997"/>
          <c:w val="0.98858465379420279"/>
          <c:h val="0.145714564374961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Evolution du parc en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6"/>
          <c:order val="0"/>
          <c:tx>
            <c:strRef>
              <c:f>'figures 2030'!$I$19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2030'!$J$19:$V$19</c:f>
              <c:numCache>
                <c:formatCode>0.00</c:formatCode>
                <c:ptCount val="13"/>
                <c:pt idx="0">
                  <c:v>1.3979999999999999</c:v>
                </c:pt>
                <c:pt idx="1">
                  <c:v>1.1619999999999999</c:v>
                </c:pt>
                <c:pt idx="2">
                  <c:v>1.006</c:v>
                </c:pt>
                <c:pt idx="3">
                  <c:v>0.872</c:v>
                </c:pt>
                <c:pt idx="4">
                  <c:v>0.72899999999999998</c:v>
                </c:pt>
                <c:pt idx="5">
                  <c:v>0.60499999999999998</c:v>
                </c:pt>
                <c:pt idx="6">
                  <c:v>0.497</c:v>
                </c:pt>
                <c:pt idx="7">
                  <c:v>0.40300000000000002</c:v>
                </c:pt>
                <c:pt idx="8">
                  <c:v>0.32200000000000001</c:v>
                </c:pt>
                <c:pt idx="9">
                  <c:v>0.247</c:v>
                </c:pt>
                <c:pt idx="10">
                  <c:v>0.184</c:v>
                </c:pt>
                <c:pt idx="11">
                  <c:v>0.13200000000000001</c:v>
                </c:pt>
                <c:pt idx="12">
                  <c:v>8.8999999999999996E-2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B9-47D0-8F2E-C4CF8956F388}"/>
            </c:ext>
          </c:extLst>
        </c:ser>
        <c:ser>
          <c:idx val="5"/>
          <c:order val="1"/>
          <c:tx>
            <c:strRef>
              <c:f>'figures 2030'!$I$18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2030'!$J$18:$V$18</c:f>
              <c:numCache>
                <c:formatCode>0.00</c:formatCode>
                <c:ptCount val="13"/>
                <c:pt idx="0">
                  <c:v>2.927</c:v>
                </c:pt>
                <c:pt idx="1">
                  <c:v>2.7549999999999999</c:v>
                </c:pt>
                <c:pt idx="2">
                  <c:v>2.62</c:v>
                </c:pt>
                <c:pt idx="3">
                  <c:v>2.3849999999999998</c:v>
                </c:pt>
                <c:pt idx="4">
                  <c:v>2.17</c:v>
                </c:pt>
                <c:pt idx="5">
                  <c:v>1.984</c:v>
                </c:pt>
                <c:pt idx="6">
                  <c:v>1.823</c:v>
                </c:pt>
                <c:pt idx="7">
                  <c:v>1.613</c:v>
                </c:pt>
                <c:pt idx="8">
                  <c:v>1.4239999999999999</c:v>
                </c:pt>
                <c:pt idx="9">
                  <c:v>1.248</c:v>
                </c:pt>
                <c:pt idx="10">
                  <c:v>1.089</c:v>
                </c:pt>
                <c:pt idx="11">
                  <c:v>0.94499999999999995</c:v>
                </c:pt>
                <c:pt idx="12">
                  <c:v>0.81599999999999995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B9-47D0-8F2E-C4CF8956F388}"/>
            </c:ext>
          </c:extLst>
        </c:ser>
        <c:ser>
          <c:idx val="4"/>
          <c:order val="2"/>
          <c:tx>
            <c:strRef>
              <c:f>'figures 2030'!$I$17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2030'!$J$17:$V$17</c:f>
              <c:numCache>
                <c:formatCode>0.00</c:formatCode>
                <c:ptCount val="13"/>
                <c:pt idx="0">
                  <c:v>5.024</c:v>
                </c:pt>
                <c:pt idx="1">
                  <c:v>4.8410000000000002</c:v>
                </c:pt>
                <c:pt idx="2">
                  <c:v>4.6470000000000002</c:v>
                </c:pt>
                <c:pt idx="3">
                  <c:v>4.4459999999999997</c:v>
                </c:pt>
                <c:pt idx="4">
                  <c:v>4.2290000000000001</c:v>
                </c:pt>
                <c:pt idx="5">
                  <c:v>4.0010000000000003</c:v>
                </c:pt>
                <c:pt idx="6">
                  <c:v>3.77</c:v>
                </c:pt>
                <c:pt idx="7">
                  <c:v>3.54</c:v>
                </c:pt>
                <c:pt idx="8">
                  <c:v>3.0720000000000001</c:v>
                </c:pt>
                <c:pt idx="9">
                  <c:v>2.66</c:v>
                </c:pt>
                <c:pt idx="10">
                  <c:v>2.294</c:v>
                </c:pt>
                <c:pt idx="11">
                  <c:v>1.988</c:v>
                </c:pt>
                <c:pt idx="12">
                  <c:v>1.7230000000000001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B9-47D0-8F2E-C4CF8956F388}"/>
            </c:ext>
          </c:extLst>
        </c:ser>
        <c:ser>
          <c:idx val="3"/>
          <c:order val="3"/>
          <c:tx>
            <c:strRef>
              <c:f>'figures 2030'!$I$16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2030'!$J$16:$V$16</c:f>
              <c:numCache>
                <c:formatCode>0.00</c:formatCode>
                <c:ptCount val="13"/>
                <c:pt idx="0">
                  <c:v>12.773999999999999</c:v>
                </c:pt>
                <c:pt idx="1">
                  <c:v>12.688000000000001</c:v>
                </c:pt>
                <c:pt idx="2">
                  <c:v>12.638999999999999</c:v>
                </c:pt>
                <c:pt idx="3">
                  <c:v>12.526999999999999</c:v>
                </c:pt>
                <c:pt idx="4">
                  <c:v>12.387</c:v>
                </c:pt>
                <c:pt idx="5">
                  <c:v>12.167999999999999</c:v>
                </c:pt>
                <c:pt idx="6">
                  <c:v>11.875999999999999</c:v>
                </c:pt>
                <c:pt idx="7">
                  <c:v>11.561999999999999</c:v>
                </c:pt>
                <c:pt idx="8">
                  <c:v>11.433</c:v>
                </c:pt>
                <c:pt idx="9">
                  <c:v>11.183999999999999</c:v>
                </c:pt>
                <c:pt idx="10">
                  <c:v>10.872999999999999</c:v>
                </c:pt>
                <c:pt idx="11">
                  <c:v>10.478999999999999</c:v>
                </c:pt>
                <c:pt idx="12">
                  <c:v>10.039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B9-47D0-8F2E-C4CF8956F388}"/>
            </c:ext>
          </c:extLst>
        </c:ser>
        <c:ser>
          <c:idx val="2"/>
          <c:order val="4"/>
          <c:tx>
            <c:strRef>
              <c:f>'figures 2030'!$I$15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2030'!$J$15:$V$15</c:f>
              <c:numCache>
                <c:formatCode>0.00</c:formatCode>
                <c:ptCount val="13"/>
                <c:pt idx="0">
                  <c:v>5.55</c:v>
                </c:pt>
                <c:pt idx="1">
                  <c:v>6.0179999999999998</c:v>
                </c:pt>
                <c:pt idx="2">
                  <c:v>6.359</c:v>
                </c:pt>
                <c:pt idx="3">
                  <c:v>6.835</c:v>
                </c:pt>
                <c:pt idx="4">
                  <c:v>7.3259999999999996</c:v>
                </c:pt>
                <c:pt idx="5">
                  <c:v>7.843</c:v>
                </c:pt>
                <c:pt idx="6">
                  <c:v>8.3770000000000007</c:v>
                </c:pt>
                <c:pt idx="7">
                  <c:v>8.9450000000000003</c:v>
                </c:pt>
                <c:pt idx="8">
                  <c:v>9.5090000000000003</c:v>
                </c:pt>
                <c:pt idx="9">
                  <c:v>10.092000000000001</c:v>
                </c:pt>
                <c:pt idx="10">
                  <c:v>10.634</c:v>
                </c:pt>
                <c:pt idx="11">
                  <c:v>11.148</c:v>
                </c:pt>
                <c:pt idx="12">
                  <c:v>11.615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9-47D0-8F2E-C4CF8956F388}"/>
            </c:ext>
          </c:extLst>
        </c:ser>
        <c:ser>
          <c:idx val="1"/>
          <c:order val="5"/>
          <c:tx>
            <c:strRef>
              <c:f>'figures 2030'!$I$14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2030'!$J$14:$V$14</c:f>
              <c:numCache>
                <c:formatCode>0.00</c:formatCode>
                <c:ptCount val="13"/>
                <c:pt idx="0">
                  <c:v>2.1560000000000001</c:v>
                </c:pt>
                <c:pt idx="1">
                  <c:v>2.4350000000000001</c:v>
                </c:pt>
                <c:pt idx="2">
                  <c:v>2.6859999999999999</c:v>
                </c:pt>
                <c:pt idx="3">
                  <c:v>2.9470000000000001</c:v>
                </c:pt>
                <c:pt idx="4">
                  <c:v>3.2240000000000002</c:v>
                </c:pt>
                <c:pt idx="5">
                  <c:v>3.5190000000000001</c:v>
                </c:pt>
                <c:pt idx="6">
                  <c:v>3.8340000000000001</c:v>
                </c:pt>
                <c:pt idx="7">
                  <c:v>4.141</c:v>
                </c:pt>
                <c:pt idx="8">
                  <c:v>4.4649999999999999</c:v>
                </c:pt>
                <c:pt idx="9">
                  <c:v>4.8179999999999996</c:v>
                </c:pt>
                <c:pt idx="10">
                  <c:v>5.194</c:v>
                </c:pt>
                <c:pt idx="11">
                  <c:v>5.5949999999999998</c:v>
                </c:pt>
                <c:pt idx="12">
                  <c:v>6.0179999999999998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9-47D0-8F2E-C4CF8956F388}"/>
            </c:ext>
          </c:extLst>
        </c:ser>
        <c:ser>
          <c:idx val="0"/>
          <c:order val="6"/>
          <c:tx>
            <c:strRef>
              <c:f>'figures 2030'!$I$13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2030'!$J$13:$V$13</c:f>
              <c:numCache>
                <c:formatCode>0.00</c:formatCode>
                <c:ptCount val="13"/>
                <c:pt idx="0">
                  <c:v>0.39700000000000002</c:v>
                </c:pt>
                <c:pt idx="1">
                  <c:v>0.54500000000000004</c:v>
                </c:pt>
                <c:pt idx="2">
                  <c:v>0.75700000000000001</c:v>
                </c:pt>
                <c:pt idx="3">
                  <c:v>0.96899999999999997</c:v>
                </c:pt>
                <c:pt idx="4">
                  <c:v>1.1819999999999999</c:v>
                </c:pt>
                <c:pt idx="5">
                  <c:v>1.395</c:v>
                </c:pt>
                <c:pt idx="6">
                  <c:v>1.6060000000000001</c:v>
                </c:pt>
                <c:pt idx="7">
                  <c:v>1.7569999999999999</c:v>
                </c:pt>
                <c:pt idx="8">
                  <c:v>1.913</c:v>
                </c:pt>
                <c:pt idx="9">
                  <c:v>2.0670000000000002</c:v>
                </c:pt>
                <c:pt idx="10">
                  <c:v>2.2250000000000001</c:v>
                </c:pt>
                <c:pt idx="11">
                  <c:v>2.3849999999999998</c:v>
                </c:pt>
                <c:pt idx="12">
                  <c:v>2.5489999999999999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9-47D0-8F2E-C4CF8956F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4256"/>
        <c:axId val="2022994672"/>
      </c:areaChart>
      <c:catAx>
        <c:axId val="202299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672"/>
        <c:crosses val="autoZero"/>
        <c:auto val="1"/>
        <c:lblAlgn val="ctr"/>
        <c:lblOffset val="100"/>
        <c:noMultiLvlLbl val="0"/>
      </c:catAx>
      <c:valAx>
        <c:axId val="20229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d'énergie par vecteur (TWh)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'figures 2030'!$I$31</c:f>
              <c:strCache>
                <c:ptCount val="1"/>
                <c:pt idx="0">
                  <c:v>Electricité (joule)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2030'!$J$31:$V$31</c:f>
              <c:numCache>
                <c:formatCode>0.00</c:formatCode>
                <c:ptCount val="13"/>
                <c:pt idx="0">
                  <c:v>43.912999999999997</c:v>
                </c:pt>
                <c:pt idx="1">
                  <c:v>40.822000000000003</c:v>
                </c:pt>
                <c:pt idx="2">
                  <c:v>38.813000000000002</c:v>
                </c:pt>
                <c:pt idx="3">
                  <c:v>36.838999999999999</c:v>
                </c:pt>
                <c:pt idx="4">
                  <c:v>34.963000000000001</c:v>
                </c:pt>
                <c:pt idx="5">
                  <c:v>33.127000000000002</c:v>
                </c:pt>
                <c:pt idx="6">
                  <c:v>31.306999999999999</c:v>
                </c:pt>
                <c:pt idx="7">
                  <c:v>29.36</c:v>
                </c:pt>
                <c:pt idx="8">
                  <c:v>27.512</c:v>
                </c:pt>
                <c:pt idx="9">
                  <c:v>25.66</c:v>
                </c:pt>
                <c:pt idx="10">
                  <c:v>23.901</c:v>
                </c:pt>
                <c:pt idx="11">
                  <c:v>22.231000000000002</c:v>
                </c:pt>
                <c:pt idx="12">
                  <c:v>20.646000000000001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A0-403D-A14E-ABC0B9180F97}"/>
            </c:ext>
          </c:extLst>
        </c:ser>
        <c:ser>
          <c:idx val="4"/>
          <c:order val="1"/>
          <c:tx>
            <c:strRef>
              <c:f>'figures 2030'!$I$30</c:f>
              <c:strCache>
                <c:ptCount val="1"/>
                <c:pt idx="0">
                  <c:v>Electricité (pompe à chaleur)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2030'!$J$30:$V$30</c:f>
              <c:numCache>
                <c:formatCode>0.00</c:formatCode>
                <c:ptCount val="13"/>
                <c:pt idx="0">
                  <c:v>6.984</c:v>
                </c:pt>
                <c:pt idx="1">
                  <c:v>9.0269999999999992</c:v>
                </c:pt>
                <c:pt idx="2">
                  <c:v>10.851000000000001</c:v>
                </c:pt>
                <c:pt idx="3">
                  <c:v>12.635</c:v>
                </c:pt>
                <c:pt idx="4">
                  <c:v>14.589</c:v>
                </c:pt>
                <c:pt idx="5">
                  <c:v>16.460999999999999</c:v>
                </c:pt>
                <c:pt idx="6">
                  <c:v>18.247</c:v>
                </c:pt>
                <c:pt idx="7">
                  <c:v>19.873000000000001</c:v>
                </c:pt>
                <c:pt idx="8">
                  <c:v>21.664000000000001</c:v>
                </c:pt>
                <c:pt idx="9">
                  <c:v>23.361999999999998</c:v>
                </c:pt>
                <c:pt idx="10">
                  <c:v>25.103999999999999</c:v>
                </c:pt>
                <c:pt idx="11">
                  <c:v>26.896000000000001</c:v>
                </c:pt>
                <c:pt idx="12">
                  <c:v>28.731999999999999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A0-403D-A14E-ABC0B9180F97}"/>
            </c:ext>
          </c:extLst>
        </c:ser>
        <c:ser>
          <c:idx val="0"/>
          <c:order val="2"/>
          <c:tx>
            <c:strRef>
              <c:f>'figures 2030'!$I$26</c:f>
              <c:strCache>
                <c:ptCount val="1"/>
                <c:pt idx="0">
                  <c:v>Chauffage urbain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2030'!$J$26:$V$26</c:f>
              <c:numCache>
                <c:formatCode>0.00</c:formatCode>
                <c:ptCount val="13"/>
                <c:pt idx="0">
                  <c:v>11.458</c:v>
                </c:pt>
                <c:pt idx="1">
                  <c:v>12.433</c:v>
                </c:pt>
                <c:pt idx="2">
                  <c:v>12.516999999999999</c:v>
                </c:pt>
                <c:pt idx="3">
                  <c:v>14.035</c:v>
                </c:pt>
                <c:pt idx="4">
                  <c:v>15.012</c:v>
                </c:pt>
                <c:pt idx="5">
                  <c:v>17.038</c:v>
                </c:pt>
                <c:pt idx="6">
                  <c:v>20.233000000000001</c:v>
                </c:pt>
                <c:pt idx="7">
                  <c:v>24.457999999999998</c:v>
                </c:pt>
                <c:pt idx="8">
                  <c:v>26.763999999999999</c:v>
                </c:pt>
                <c:pt idx="9">
                  <c:v>30.184999999999999</c:v>
                </c:pt>
                <c:pt idx="10">
                  <c:v>33.073999999999998</c:v>
                </c:pt>
                <c:pt idx="11">
                  <c:v>35.36</c:v>
                </c:pt>
                <c:pt idx="12">
                  <c:v>37.128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0-403D-A14E-ABC0B9180F97}"/>
            </c:ext>
          </c:extLst>
        </c:ser>
        <c:ser>
          <c:idx val="3"/>
          <c:order val="3"/>
          <c:tx>
            <c:strRef>
              <c:f>'figures 2030'!$I$29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2030'!$J$29:$V$29</c:f>
              <c:numCache>
                <c:formatCode>0.00</c:formatCode>
                <c:ptCount val="13"/>
                <c:pt idx="0">
                  <c:v>76.102999999999994</c:v>
                </c:pt>
                <c:pt idx="1">
                  <c:v>74.563999999999993</c:v>
                </c:pt>
                <c:pt idx="2">
                  <c:v>73.540999999999997</c:v>
                </c:pt>
                <c:pt idx="3">
                  <c:v>71.847999999999999</c:v>
                </c:pt>
                <c:pt idx="4">
                  <c:v>69.644999999999996</c:v>
                </c:pt>
                <c:pt idx="5">
                  <c:v>67.831000000000003</c:v>
                </c:pt>
                <c:pt idx="6">
                  <c:v>65.930000000000007</c:v>
                </c:pt>
                <c:pt idx="7">
                  <c:v>63.777999999999999</c:v>
                </c:pt>
                <c:pt idx="8">
                  <c:v>61.703000000000003</c:v>
                </c:pt>
                <c:pt idx="9">
                  <c:v>59.557000000000002</c:v>
                </c:pt>
                <c:pt idx="10">
                  <c:v>57.555999999999997</c:v>
                </c:pt>
                <c:pt idx="11">
                  <c:v>55.695</c:v>
                </c:pt>
                <c:pt idx="12">
                  <c:v>53.951999999999998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A0-403D-A14E-ABC0B9180F97}"/>
            </c:ext>
          </c:extLst>
        </c:ser>
        <c:ser>
          <c:idx val="1"/>
          <c:order val="4"/>
          <c:tx>
            <c:strRef>
              <c:f>'figures 2030'!$I$27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2030'!$J$27:$V$27</c:f>
              <c:numCache>
                <c:formatCode>0.00</c:formatCode>
                <c:ptCount val="13"/>
                <c:pt idx="0">
                  <c:v>91</c:v>
                </c:pt>
                <c:pt idx="1">
                  <c:v>89.096999999999994</c:v>
                </c:pt>
                <c:pt idx="2">
                  <c:v>88.978999999999999</c:v>
                </c:pt>
                <c:pt idx="3">
                  <c:v>86.763999999999996</c:v>
                </c:pt>
                <c:pt idx="4">
                  <c:v>82.988</c:v>
                </c:pt>
                <c:pt idx="5">
                  <c:v>79.971999999999994</c:v>
                </c:pt>
                <c:pt idx="6">
                  <c:v>76.412000000000006</c:v>
                </c:pt>
                <c:pt idx="7">
                  <c:v>72.209000000000003</c:v>
                </c:pt>
                <c:pt idx="8">
                  <c:v>68.207999999999998</c:v>
                </c:pt>
                <c:pt idx="9">
                  <c:v>63.76</c:v>
                </c:pt>
                <c:pt idx="10">
                  <c:v>59.594999999999999</c:v>
                </c:pt>
                <c:pt idx="11">
                  <c:v>55.725999999999999</c:v>
                </c:pt>
                <c:pt idx="12">
                  <c:v>52.078000000000003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0-403D-A14E-ABC0B9180F97}"/>
            </c:ext>
          </c:extLst>
        </c:ser>
        <c:ser>
          <c:idx val="2"/>
          <c:order val="5"/>
          <c:tx>
            <c:strRef>
              <c:f>'figures 2030'!$I$28</c:f>
              <c:strCache>
                <c:ptCount val="1"/>
                <c:pt idx="0">
                  <c:v>Fioul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2030'!$J$28:$V$28</c:f>
              <c:numCache>
                <c:formatCode>0.00</c:formatCode>
                <c:ptCount val="13"/>
                <c:pt idx="0">
                  <c:v>31</c:v>
                </c:pt>
                <c:pt idx="1">
                  <c:v>27.902999999999999</c:v>
                </c:pt>
                <c:pt idx="2">
                  <c:v>25.251999999999999</c:v>
                </c:pt>
                <c:pt idx="3">
                  <c:v>22.315000000000001</c:v>
                </c:pt>
                <c:pt idx="4">
                  <c:v>18.951000000000001</c:v>
                </c:pt>
                <c:pt idx="5">
                  <c:v>16.163</c:v>
                </c:pt>
                <c:pt idx="6">
                  <c:v>13.513999999999999</c:v>
                </c:pt>
                <c:pt idx="7">
                  <c:v>10.984</c:v>
                </c:pt>
                <c:pt idx="8">
                  <c:v>8.5090000000000003</c:v>
                </c:pt>
                <c:pt idx="9">
                  <c:v>6.16</c:v>
                </c:pt>
                <c:pt idx="10">
                  <c:v>3.9670000000000001</c:v>
                </c:pt>
                <c:pt idx="11">
                  <c:v>1.9179999999999999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A0-403D-A14E-ABC0B9180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077200"/>
        <c:axId val="1794627920"/>
      </c:areaChart>
      <c:catAx>
        <c:axId val="172207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627920"/>
        <c:crosses val="autoZero"/>
        <c:auto val="1"/>
        <c:lblAlgn val="ctr"/>
        <c:lblOffset val="100"/>
        <c:noMultiLvlLbl val="0"/>
      </c:catAx>
      <c:valAx>
        <c:axId val="17946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2077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du parc par énergie de chauffage</a:t>
            </a:r>
          </a:p>
          <a:p>
            <a:pPr>
              <a:defRPr/>
            </a:pPr>
            <a:r>
              <a:rPr lang="fr-FR"/>
              <a:t> (millions de logements)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520024657165206E-2"/>
          <c:y val="0.16360212796350085"/>
          <c:w val="0.87615414576790551"/>
          <c:h val="0.54568296691325535"/>
        </c:manualLayout>
      </c:layout>
      <c:areaChart>
        <c:grouping val="stacked"/>
        <c:varyColors val="0"/>
        <c:ser>
          <c:idx val="0"/>
          <c:order val="0"/>
          <c:tx>
            <c:strRef>
              <c:f>'figures 2030'!$I$37</c:f>
              <c:strCache>
                <c:ptCount val="1"/>
                <c:pt idx="0">
                  <c:v>Electricité (joule)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2030'!$J$37:$V$37</c:f>
              <c:numCache>
                <c:formatCode>0.00</c:formatCode>
                <c:ptCount val="13"/>
                <c:pt idx="0">
                  <c:v>8.3170000000000002</c:v>
                </c:pt>
                <c:pt idx="1">
                  <c:v>8.0120000000000005</c:v>
                </c:pt>
                <c:pt idx="2">
                  <c:v>7.7679999999999998</c:v>
                </c:pt>
                <c:pt idx="3">
                  <c:v>7.4989999999999997</c:v>
                </c:pt>
                <c:pt idx="4">
                  <c:v>7.2409999999999997</c:v>
                </c:pt>
                <c:pt idx="5">
                  <c:v>6.9640000000000004</c:v>
                </c:pt>
                <c:pt idx="6">
                  <c:v>6.6660000000000004</c:v>
                </c:pt>
                <c:pt idx="7">
                  <c:v>6.3319999999999999</c:v>
                </c:pt>
                <c:pt idx="8">
                  <c:v>6.03</c:v>
                </c:pt>
                <c:pt idx="9">
                  <c:v>5.7069999999999999</c:v>
                </c:pt>
                <c:pt idx="10">
                  <c:v>5.3929999999999998</c:v>
                </c:pt>
                <c:pt idx="11">
                  <c:v>5.09</c:v>
                </c:pt>
                <c:pt idx="12">
                  <c:v>4.7949999999999999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6-40B9-A901-5F6DCBFE1C18}"/>
            </c:ext>
          </c:extLst>
        </c:ser>
        <c:ser>
          <c:idx val="1"/>
          <c:order val="1"/>
          <c:tx>
            <c:strRef>
              <c:f>'figures 2030'!$I$38</c:f>
              <c:strCache>
                <c:ptCount val="1"/>
                <c:pt idx="0">
                  <c:v>Electricité (pompe à chaleur)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2030'!$J$38:$V$38</c:f>
              <c:numCache>
                <c:formatCode>0.00</c:formatCode>
                <c:ptCount val="13"/>
                <c:pt idx="0">
                  <c:v>2.8959999999999999</c:v>
                </c:pt>
                <c:pt idx="1">
                  <c:v>3.6419999999999999</c:v>
                </c:pt>
                <c:pt idx="2">
                  <c:v>4.3680000000000003</c:v>
                </c:pt>
                <c:pt idx="3">
                  <c:v>5.0540000000000003</c:v>
                </c:pt>
                <c:pt idx="4">
                  <c:v>5.7990000000000004</c:v>
                </c:pt>
                <c:pt idx="5">
                  <c:v>6.5110000000000001</c:v>
                </c:pt>
                <c:pt idx="6">
                  <c:v>7.1840000000000002</c:v>
                </c:pt>
                <c:pt idx="7">
                  <c:v>7.7560000000000002</c:v>
                </c:pt>
                <c:pt idx="8">
                  <c:v>8.4190000000000005</c:v>
                </c:pt>
                <c:pt idx="9">
                  <c:v>9.0389999999999997</c:v>
                </c:pt>
                <c:pt idx="10">
                  <c:v>9.6920000000000002</c:v>
                </c:pt>
                <c:pt idx="11">
                  <c:v>10.382</c:v>
                </c:pt>
                <c:pt idx="12">
                  <c:v>11.106999999999999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A6-40B9-A901-5F6DCBFE1C18}"/>
            </c:ext>
          </c:extLst>
        </c:ser>
        <c:ser>
          <c:idx val="5"/>
          <c:order val="2"/>
          <c:tx>
            <c:strRef>
              <c:f>'figures 2030'!$I$42</c:f>
              <c:strCache>
                <c:ptCount val="1"/>
                <c:pt idx="0">
                  <c:v>Chauffage urbain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2030'!$J$42:$V$42</c:f>
              <c:numCache>
                <c:formatCode>0.00</c:formatCode>
                <c:ptCount val="13"/>
                <c:pt idx="0">
                  <c:v>1.421</c:v>
                </c:pt>
                <c:pt idx="1">
                  <c:v>1.5649999999999999</c:v>
                </c:pt>
                <c:pt idx="2">
                  <c:v>1.619</c:v>
                </c:pt>
                <c:pt idx="3">
                  <c:v>1.8680000000000001</c:v>
                </c:pt>
                <c:pt idx="4">
                  <c:v>2.0470000000000002</c:v>
                </c:pt>
                <c:pt idx="5">
                  <c:v>2.375</c:v>
                </c:pt>
                <c:pt idx="6">
                  <c:v>2.8740000000000001</c:v>
                </c:pt>
                <c:pt idx="7">
                  <c:v>3.5219999999999998</c:v>
                </c:pt>
                <c:pt idx="8">
                  <c:v>3.919</c:v>
                </c:pt>
                <c:pt idx="9">
                  <c:v>4.4909999999999997</c:v>
                </c:pt>
                <c:pt idx="10">
                  <c:v>4.9969999999999999</c:v>
                </c:pt>
                <c:pt idx="11">
                  <c:v>5.4219999999999997</c:v>
                </c:pt>
                <c:pt idx="12">
                  <c:v>5.7770000000000001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A6-40B9-A901-5F6DCBFE1C18}"/>
            </c:ext>
          </c:extLst>
        </c:ser>
        <c:ser>
          <c:idx val="3"/>
          <c:order val="3"/>
          <c:tx>
            <c:strRef>
              <c:f>'figures 2030'!$I$40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2030'!$J$40:$V$40</c:f>
              <c:numCache>
                <c:formatCode>0.00</c:formatCode>
                <c:ptCount val="13"/>
                <c:pt idx="0">
                  <c:v>2.7330000000000001</c:v>
                </c:pt>
                <c:pt idx="1">
                  <c:v>2.7629999999999999</c:v>
                </c:pt>
                <c:pt idx="2">
                  <c:v>2.782</c:v>
                </c:pt>
                <c:pt idx="3">
                  <c:v>2.8</c:v>
                </c:pt>
                <c:pt idx="4">
                  <c:v>2.82</c:v>
                </c:pt>
                <c:pt idx="5">
                  <c:v>2.84</c:v>
                </c:pt>
                <c:pt idx="6">
                  <c:v>2.86</c:v>
                </c:pt>
                <c:pt idx="7">
                  <c:v>2.8759999999999999</c:v>
                </c:pt>
                <c:pt idx="8">
                  <c:v>2.8929999999999998</c:v>
                </c:pt>
                <c:pt idx="9">
                  <c:v>2.91</c:v>
                </c:pt>
                <c:pt idx="10">
                  <c:v>2.927</c:v>
                </c:pt>
                <c:pt idx="11">
                  <c:v>2.944</c:v>
                </c:pt>
                <c:pt idx="12">
                  <c:v>2.9620000000000002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A6-40B9-A901-5F6DCBFE1C18}"/>
            </c:ext>
          </c:extLst>
        </c:ser>
        <c:ser>
          <c:idx val="4"/>
          <c:order val="4"/>
          <c:tx>
            <c:strRef>
              <c:f>'figures 2030'!$I$41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2030'!$J$41:$V$41</c:f>
              <c:numCache>
                <c:formatCode>0.00</c:formatCode>
                <c:ptCount val="13"/>
                <c:pt idx="0">
                  <c:v>11.808999999999999</c:v>
                </c:pt>
                <c:pt idx="1">
                  <c:v>11.673999999999999</c:v>
                </c:pt>
                <c:pt idx="2">
                  <c:v>11.648</c:v>
                </c:pt>
                <c:pt idx="3">
                  <c:v>11.49</c:v>
                </c:pt>
                <c:pt idx="4">
                  <c:v>11.327999999999999</c:v>
                </c:pt>
                <c:pt idx="5">
                  <c:v>11.067</c:v>
                </c:pt>
                <c:pt idx="6">
                  <c:v>10.695</c:v>
                </c:pt>
                <c:pt idx="7">
                  <c:v>10.223000000000001</c:v>
                </c:pt>
                <c:pt idx="8">
                  <c:v>9.8780000000000001</c:v>
                </c:pt>
                <c:pt idx="9">
                  <c:v>9.4220000000000006</c:v>
                </c:pt>
                <c:pt idx="10">
                  <c:v>8.9879999999999995</c:v>
                </c:pt>
                <c:pt idx="11">
                  <c:v>8.5860000000000003</c:v>
                </c:pt>
                <c:pt idx="12">
                  <c:v>8.2080000000000002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A6-40B9-A901-5F6DCBFE1C18}"/>
            </c:ext>
          </c:extLst>
        </c:ser>
        <c:ser>
          <c:idx val="2"/>
          <c:order val="5"/>
          <c:tx>
            <c:strRef>
              <c:f>'figures 2030'!$I$39</c:f>
              <c:strCache>
                <c:ptCount val="1"/>
                <c:pt idx="0">
                  <c:v>Fioul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'figures 2030'!$J$1:$V$1</c:f>
              <c:numCache>
                <c:formatCode>General</c:formatCode>
                <c:ptCount val="1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</c:numCache>
            </c:numRef>
          </c:cat>
          <c:val>
            <c:numRef>
              <c:f>'figures 2030'!$J$39:$V$39</c:f>
              <c:numCache>
                <c:formatCode>0.00</c:formatCode>
                <c:ptCount val="13"/>
                <c:pt idx="0">
                  <c:v>3.0489999999999999</c:v>
                </c:pt>
                <c:pt idx="1">
                  <c:v>2.7879999999999998</c:v>
                </c:pt>
                <c:pt idx="2">
                  <c:v>2.528</c:v>
                </c:pt>
                <c:pt idx="3">
                  <c:v>2.27</c:v>
                </c:pt>
                <c:pt idx="4">
                  <c:v>2.0129999999999999</c:v>
                </c:pt>
                <c:pt idx="5">
                  <c:v>1.758</c:v>
                </c:pt>
                <c:pt idx="6">
                  <c:v>1.504</c:v>
                </c:pt>
                <c:pt idx="7">
                  <c:v>1.2509999999999999</c:v>
                </c:pt>
                <c:pt idx="8">
                  <c:v>0.999</c:v>
                </c:pt>
                <c:pt idx="9">
                  <c:v>0.748</c:v>
                </c:pt>
                <c:pt idx="10">
                  <c:v>0.497</c:v>
                </c:pt>
                <c:pt idx="11">
                  <c:v>0.248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A6-40B9-A901-5F6DCBFE1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60816"/>
        <c:axId val="2026353744"/>
      </c:areaChart>
      <c:catAx>
        <c:axId val="202636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3744"/>
        <c:crosses val="autoZero"/>
        <c:auto val="1"/>
        <c:lblAlgn val="ctr"/>
        <c:lblOffset val="100"/>
        <c:noMultiLvlLbl val="0"/>
      </c:catAx>
      <c:valAx>
        <c:axId val="20263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6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Répartition des rénovations du parc privé en fonction du nombr</a:t>
            </a:r>
            <a:r>
              <a:rPr lang="fr-FR" sz="1100" baseline="0"/>
              <a:t>e de sauts de classe DPE</a:t>
            </a:r>
            <a:endParaRPr lang="fr-F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'figures 2030'!$I$53</c:f>
              <c:strCache>
                <c:ptCount val="1"/>
                <c:pt idx="0">
                  <c:v>1 classe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2030'!$K$53:$V$53</c:f>
              <c:numCache>
                <c:formatCode>0.00</c:formatCode>
                <c:ptCount val="12"/>
                <c:pt idx="0">
                  <c:v>385.95299999999997</c:v>
                </c:pt>
                <c:pt idx="1">
                  <c:v>333.73599999999999</c:v>
                </c:pt>
                <c:pt idx="2">
                  <c:v>470.83</c:v>
                </c:pt>
                <c:pt idx="3">
                  <c:v>468.452</c:v>
                </c:pt>
                <c:pt idx="4">
                  <c:v>549.61</c:v>
                </c:pt>
                <c:pt idx="5">
                  <c:v>624.923</c:v>
                </c:pt>
                <c:pt idx="6">
                  <c:v>694.25400000000002</c:v>
                </c:pt>
                <c:pt idx="7">
                  <c:v>754.02700000000004</c:v>
                </c:pt>
                <c:pt idx="8">
                  <c:v>801.86900000000003</c:v>
                </c:pt>
                <c:pt idx="9">
                  <c:v>753.399</c:v>
                </c:pt>
                <c:pt idx="10">
                  <c:v>713.75400000000002</c:v>
                </c:pt>
                <c:pt idx="11">
                  <c:v>668.20299999999997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C6-47ED-84C0-9E09BE68AA5C}"/>
            </c:ext>
          </c:extLst>
        </c:ser>
        <c:ser>
          <c:idx val="4"/>
          <c:order val="1"/>
          <c:tx>
            <c:strRef>
              <c:f>'figures 2030'!$I$52</c:f>
              <c:strCache>
                <c:ptCount val="1"/>
                <c:pt idx="0">
                  <c:v>2 classes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2030'!$K$52:$V$52</c:f>
              <c:numCache>
                <c:formatCode>0.00</c:formatCode>
                <c:ptCount val="12"/>
                <c:pt idx="0">
                  <c:v>354.06599999999997</c:v>
                </c:pt>
                <c:pt idx="1">
                  <c:v>275.01600000000002</c:v>
                </c:pt>
                <c:pt idx="2">
                  <c:v>332.51100000000002</c:v>
                </c:pt>
                <c:pt idx="3">
                  <c:v>348.66500000000002</c:v>
                </c:pt>
                <c:pt idx="4">
                  <c:v>341.08800000000002</c:v>
                </c:pt>
                <c:pt idx="5">
                  <c:v>331.27100000000002</c:v>
                </c:pt>
                <c:pt idx="6">
                  <c:v>362.798</c:v>
                </c:pt>
                <c:pt idx="7">
                  <c:v>439.12200000000001</c:v>
                </c:pt>
                <c:pt idx="8">
                  <c:v>422.20699999999999</c:v>
                </c:pt>
                <c:pt idx="9">
                  <c:v>417.22699999999998</c:v>
                </c:pt>
                <c:pt idx="10">
                  <c:v>412.24</c:v>
                </c:pt>
                <c:pt idx="11">
                  <c:v>408.51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C6-47ED-84C0-9E09BE68AA5C}"/>
            </c:ext>
          </c:extLst>
        </c:ser>
        <c:ser>
          <c:idx val="3"/>
          <c:order val="2"/>
          <c:tx>
            <c:strRef>
              <c:f>'figures 2030'!$I$51</c:f>
              <c:strCache>
                <c:ptCount val="1"/>
                <c:pt idx="0">
                  <c:v>3 classes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2030'!$K$51:$V$51</c:f>
              <c:numCache>
                <c:formatCode>0.00</c:formatCode>
                <c:ptCount val="12"/>
                <c:pt idx="0">
                  <c:v>251.61500000000001</c:v>
                </c:pt>
                <c:pt idx="1">
                  <c:v>184.15899999999999</c:v>
                </c:pt>
                <c:pt idx="2">
                  <c:v>210.072</c:v>
                </c:pt>
                <c:pt idx="3">
                  <c:v>221.142</c:v>
                </c:pt>
                <c:pt idx="4">
                  <c:v>192.73400000000001</c:v>
                </c:pt>
                <c:pt idx="5">
                  <c:v>166.14699999999999</c:v>
                </c:pt>
                <c:pt idx="6">
                  <c:v>168.64699999999999</c:v>
                </c:pt>
                <c:pt idx="7">
                  <c:v>168.32599999999999</c:v>
                </c:pt>
                <c:pt idx="8">
                  <c:v>156.03399999999999</c:v>
                </c:pt>
                <c:pt idx="9">
                  <c:v>144.17099999999999</c:v>
                </c:pt>
                <c:pt idx="10">
                  <c:v>132.35599999999999</c:v>
                </c:pt>
                <c:pt idx="11">
                  <c:v>122.339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C6-47ED-84C0-9E09BE68AA5C}"/>
            </c:ext>
          </c:extLst>
        </c:ser>
        <c:ser>
          <c:idx val="2"/>
          <c:order val="3"/>
          <c:tx>
            <c:strRef>
              <c:f>'figures 2030'!$I$50</c:f>
              <c:strCache>
                <c:ptCount val="1"/>
                <c:pt idx="0">
                  <c:v>4 classes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2030'!$K$50:$V$50</c:f>
              <c:numCache>
                <c:formatCode>0.00</c:formatCode>
                <c:ptCount val="12"/>
                <c:pt idx="0">
                  <c:v>61.33</c:v>
                </c:pt>
                <c:pt idx="1">
                  <c:v>40.121000000000002</c:v>
                </c:pt>
                <c:pt idx="2">
                  <c:v>29.405000000000001</c:v>
                </c:pt>
                <c:pt idx="3">
                  <c:v>29.236999999999998</c:v>
                </c:pt>
                <c:pt idx="4">
                  <c:v>22.59</c:v>
                </c:pt>
                <c:pt idx="5">
                  <c:v>17.082999999999998</c:v>
                </c:pt>
                <c:pt idx="6">
                  <c:v>13.109</c:v>
                </c:pt>
                <c:pt idx="7">
                  <c:v>12.311</c:v>
                </c:pt>
                <c:pt idx="8">
                  <c:v>9.9390000000000001</c:v>
                </c:pt>
                <c:pt idx="9">
                  <c:v>8.3919999999999995</c:v>
                </c:pt>
                <c:pt idx="10">
                  <c:v>7.2089999999999996</c:v>
                </c:pt>
                <c:pt idx="11">
                  <c:v>6.1890000000000001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6-47ED-84C0-9E09BE68AA5C}"/>
            </c:ext>
          </c:extLst>
        </c:ser>
        <c:ser>
          <c:idx val="1"/>
          <c:order val="4"/>
          <c:tx>
            <c:strRef>
              <c:f>'figures 2030'!$I$49</c:f>
              <c:strCache>
                <c:ptCount val="1"/>
                <c:pt idx="0">
                  <c:v>5 classes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2030'!$K$49:$V$49</c:f>
              <c:numCache>
                <c:formatCode>0.00</c:formatCode>
                <c:ptCount val="12"/>
                <c:pt idx="0">
                  <c:v>0.77300000000000002</c:v>
                </c:pt>
                <c:pt idx="1">
                  <c:v>0.31</c:v>
                </c:pt>
                <c:pt idx="2">
                  <c:v>0.24099999999999999</c:v>
                </c:pt>
                <c:pt idx="3">
                  <c:v>0.27900000000000003</c:v>
                </c:pt>
                <c:pt idx="4">
                  <c:v>0.23</c:v>
                </c:pt>
                <c:pt idx="5">
                  <c:v>0.182</c:v>
                </c:pt>
                <c:pt idx="6">
                  <c:v>0.16</c:v>
                </c:pt>
                <c:pt idx="7">
                  <c:v>0.14299999999999999</c:v>
                </c:pt>
                <c:pt idx="8">
                  <c:v>0.14199999999999999</c:v>
                </c:pt>
                <c:pt idx="9">
                  <c:v>0.125</c:v>
                </c:pt>
                <c:pt idx="10">
                  <c:v>0.11</c:v>
                </c:pt>
                <c:pt idx="11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6-47ED-84C0-9E09BE68AA5C}"/>
            </c:ext>
          </c:extLst>
        </c:ser>
        <c:ser>
          <c:idx val="0"/>
          <c:order val="5"/>
          <c:tx>
            <c:strRef>
              <c:f>'figures 2030'!$I$48</c:f>
              <c:strCache>
                <c:ptCount val="1"/>
                <c:pt idx="0">
                  <c:v>6 classes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2030'!$K$48:$V$48</c:f>
              <c:numCache>
                <c:formatCode>0.00</c:formatCode>
                <c:ptCount val="12"/>
                <c:pt idx="0">
                  <c:v>5.8999999999999997E-2</c:v>
                </c:pt>
                <c:pt idx="1">
                  <c:v>1.4E-2</c:v>
                </c:pt>
                <c:pt idx="2">
                  <c:v>6.0000000000000001E-3</c:v>
                </c:pt>
                <c:pt idx="3">
                  <c:v>3.0000000000000001E-3</c:v>
                </c:pt>
                <c:pt idx="4">
                  <c:v>2E-3</c:v>
                </c:pt>
                <c:pt idx="5">
                  <c:v>2E-3</c:v>
                </c:pt>
                <c:pt idx="6">
                  <c:v>1E-3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6-47ED-84C0-9E09BE68A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484192"/>
        <c:axId val="2022484608"/>
      </c:areaChart>
      <c:catAx>
        <c:axId val="20224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608"/>
        <c:crosses val="autoZero"/>
        <c:auto val="1"/>
        <c:lblAlgn val="ctr"/>
        <c:lblOffset val="100"/>
        <c:noMultiLvlLbl val="0"/>
      </c:catAx>
      <c:valAx>
        <c:axId val="2022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par type de logement</a:t>
            </a:r>
          </a:p>
        </c:rich>
      </c:tx>
      <c:layout>
        <c:manualLayout>
          <c:xMode val="edge"/>
          <c:yMode val="edge"/>
          <c:x val="0.12182728959860732"/>
          <c:y val="1.18943454328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3"/>
          <c:order val="0"/>
          <c:tx>
            <c:strRef>
              <c:f>'figures 2030'!$I$63</c:f>
              <c:strCache>
                <c:ptCount val="1"/>
                <c:pt idx="0">
                  <c:v>PO en maison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2030'!$K$63:$V$63</c:f>
              <c:numCache>
                <c:formatCode>0.00</c:formatCode>
                <c:ptCount val="12"/>
                <c:pt idx="0">
                  <c:v>373.90800000000002</c:v>
                </c:pt>
                <c:pt idx="1">
                  <c:v>194.506</c:v>
                </c:pt>
                <c:pt idx="2">
                  <c:v>207.952</c:v>
                </c:pt>
                <c:pt idx="3">
                  <c:v>230.08699999999999</c:v>
                </c:pt>
                <c:pt idx="4">
                  <c:v>222.751</c:v>
                </c:pt>
                <c:pt idx="5">
                  <c:v>216.001</c:v>
                </c:pt>
                <c:pt idx="6">
                  <c:v>266.178</c:v>
                </c:pt>
                <c:pt idx="7">
                  <c:v>254.64</c:v>
                </c:pt>
                <c:pt idx="8">
                  <c:v>255.42400000000001</c:v>
                </c:pt>
                <c:pt idx="9">
                  <c:v>242.626</c:v>
                </c:pt>
                <c:pt idx="10">
                  <c:v>230.38900000000001</c:v>
                </c:pt>
                <c:pt idx="11">
                  <c:v>218.739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A7-4397-880D-75146AE7CE27}"/>
            </c:ext>
          </c:extLst>
        </c:ser>
        <c:ser>
          <c:idx val="4"/>
          <c:order val="1"/>
          <c:tx>
            <c:strRef>
              <c:f>'figures 2030'!$I$64</c:f>
              <c:strCache>
                <c:ptCount val="1"/>
                <c:pt idx="0">
                  <c:v>PB en maison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2030'!$K$64:$V$64</c:f>
              <c:numCache>
                <c:formatCode>0.00</c:formatCode>
                <c:ptCount val="12"/>
                <c:pt idx="0">
                  <c:v>54.747</c:v>
                </c:pt>
                <c:pt idx="1">
                  <c:v>37.575000000000003</c:v>
                </c:pt>
                <c:pt idx="2">
                  <c:v>88.86</c:v>
                </c:pt>
                <c:pt idx="3">
                  <c:v>71.555999999999997</c:v>
                </c:pt>
                <c:pt idx="4">
                  <c:v>57.828000000000003</c:v>
                </c:pt>
                <c:pt idx="5">
                  <c:v>47.110999999999997</c:v>
                </c:pt>
                <c:pt idx="6">
                  <c:v>38.75</c:v>
                </c:pt>
                <c:pt idx="7">
                  <c:v>66.132000000000005</c:v>
                </c:pt>
                <c:pt idx="8">
                  <c:v>52.555999999999997</c:v>
                </c:pt>
                <c:pt idx="9">
                  <c:v>41.511000000000003</c:v>
                </c:pt>
                <c:pt idx="10">
                  <c:v>33.067</c:v>
                </c:pt>
                <c:pt idx="11">
                  <c:v>26.641999999999999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A7-4397-880D-75146AE7CE27}"/>
            </c:ext>
          </c:extLst>
        </c:ser>
        <c:ser>
          <c:idx val="5"/>
          <c:order val="2"/>
          <c:tx>
            <c:strRef>
              <c:f>'figures 2030'!$I$65</c:f>
              <c:strCache>
                <c:ptCount val="1"/>
                <c:pt idx="0">
                  <c:v>PB social en maison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2030'!$K$65:$V$65</c:f>
              <c:numCache>
                <c:formatCode>0.00</c:formatCode>
                <c:ptCount val="12"/>
                <c:pt idx="0">
                  <c:v>14.484</c:v>
                </c:pt>
                <c:pt idx="1">
                  <c:v>29.827999999999999</c:v>
                </c:pt>
                <c:pt idx="2">
                  <c:v>47.03</c:v>
                </c:pt>
                <c:pt idx="3">
                  <c:v>59.106000000000002</c:v>
                </c:pt>
                <c:pt idx="4">
                  <c:v>61.26</c:v>
                </c:pt>
                <c:pt idx="5">
                  <c:v>56.506999999999998</c:v>
                </c:pt>
                <c:pt idx="6">
                  <c:v>61.023000000000003</c:v>
                </c:pt>
                <c:pt idx="7">
                  <c:v>68.090999999999994</c:v>
                </c:pt>
                <c:pt idx="8">
                  <c:v>75.900000000000006</c:v>
                </c:pt>
                <c:pt idx="9">
                  <c:v>89.632999999999996</c:v>
                </c:pt>
                <c:pt idx="10">
                  <c:v>108.262</c:v>
                </c:pt>
                <c:pt idx="11">
                  <c:v>100.738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A7-4397-880D-75146AE7CE27}"/>
            </c:ext>
          </c:extLst>
        </c:ser>
        <c:ser>
          <c:idx val="0"/>
          <c:order val="3"/>
          <c:tx>
            <c:strRef>
              <c:f>'figures 2030'!$I$60</c:f>
              <c:strCache>
                <c:ptCount val="1"/>
                <c:pt idx="0">
                  <c:v>PO en copropriété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2030'!$K$60:$V$60</c:f>
              <c:numCache>
                <c:formatCode>0.00</c:formatCode>
                <c:ptCount val="12"/>
                <c:pt idx="0">
                  <c:v>66.858999999999995</c:v>
                </c:pt>
                <c:pt idx="1">
                  <c:v>51</c:v>
                </c:pt>
                <c:pt idx="2">
                  <c:v>50.872</c:v>
                </c:pt>
                <c:pt idx="3">
                  <c:v>55.295000000000002</c:v>
                </c:pt>
                <c:pt idx="4">
                  <c:v>54.615000000000002</c:v>
                </c:pt>
                <c:pt idx="5">
                  <c:v>53.884</c:v>
                </c:pt>
                <c:pt idx="6">
                  <c:v>57.445999999999998</c:v>
                </c:pt>
                <c:pt idx="7">
                  <c:v>56.115000000000002</c:v>
                </c:pt>
                <c:pt idx="8">
                  <c:v>58.914000000000001</c:v>
                </c:pt>
                <c:pt idx="9">
                  <c:v>57.405000000000001</c:v>
                </c:pt>
                <c:pt idx="10">
                  <c:v>55.917999999999999</c:v>
                </c:pt>
                <c:pt idx="11">
                  <c:v>54.484999999999999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7-4397-880D-75146AE7CE27}"/>
            </c:ext>
          </c:extLst>
        </c:ser>
        <c:ser>
          <c:idx val="1"/>
          <c:order val="4"/>
          <c:tx>
            <c:strRef>
              <c:f>'figures 2030'!$I$61</c:f>
              <c:strCache>
                <c:ptCount val="1"/>
                <c:pt idx="0">
                  <c:v>PB en copropriété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2030'!$K$61:$V$61</c:f>
              <c:numCache>
                <c:formatCode>0.00</c:formatCode>
                <c:ptCount val="12"/>
                <c:pt idx="0">
                  <c:v>75.745999999999995</c:v>
                </c:pt>
                <c:pt idx="1">
                  <c:v>60.488</c:v>
                </c:pt>
                <c:pt idx="2">
                  <c:v>89.875</c:v>
                </c:pt>
                <c:pt idx="3">
                  <c:v>75.798000000000002</c:v>
                </c:pt>
                <c:pt idx="4">
                  <c:v>64.471999999999994</c:v>
                </c:pt>
                <c:pt idx="5">
                  <c:v>55.584000000000003</c:v>
                </c:pt>
                <c:pt idx="6">
                  <c:v>48.606000000000002</c:v>
                </c:pt>
                <c:pt idx="7">
                  <c:v>235.9</c:v>
                </c:pt>
                <c:pt idx="8">
                  <c:v>192.02699999999999</c:v>
                </c:pt>
                <c:pt idx="9">
                  <c:v>156.03399999999999</c:v>
                </c:pt>
                <c:pt idx="10">
                  <c:v>127.49</c:v>
                </c:pt>
                <c:pt idx="11">
                  <c:v>104.876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7-4397-880D-75146AE7CE27}"/>
            </c:ext>
          </c:extLst>
        </c:ser>
        <c:ser>
          <c:idx val="2"/>
          <c:order val="5"/>
          <c:tx>
            <c:strRef>
              <c:f>'figures 2030'!$I$62</c:f>
              <c:strCache>
                <c:ptCount val="1"/>
                <c:pt idx="0">
                  <c:v>PB social en copropriété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2030'!$K$62:$V$62</c:f>
              <c:numCache>
                <c:formatCode>0.00</c:formatCode>
                <c:ptCount val="12"/>
                <c:pt idx="0">
                  <c:v>15.24</c:v>
                </c:pt>
                <c:pt idx="1">
                  <c:v>61.817999999999998</c:v>
                </c:pt>
                <c:pt idx="2">
                  <c:v>139.63300000000001</c:v>
                </c:pt>
                <c:pt idx="3">
                  <c:v>181.31</c:v>
                </c:pt>
                <c:pt idx="4">
                  <c:v>224.56700000000001</c:v>
                </c:pt>
                <c:pt idx="5">
                  <c:v>234.96600000000001</c:v>
                </c:pt>
                <c:pt idx="6">
                  <c:v>238.434</c:v>
                </c:pt>
                <c:pt idx="7">
                  <c:v>253.65299999999999</c:v>
                </c:pt>
                <c:pt idx="8">
                  <c:v>245.87799999999999</c:v>
                </c:pt>
                <c:pt idx="9">
                  <c:v>265.50299999999999</c:v>
                </c:pt>
                <c:pt idx="10">
                  <c:v>311.76100000000002</c:v>
                </c:pt>
                <c:pt idx="11">
                  <c:v>325.79500000000002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A7-4397-880D-75146AE7C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57904"/>
        <c:axId val="2026354160"/>
      </c:areaChart>
      <c:catAx>
        <c:axId val="202635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4160"/>
        <c:crosses val="autoZero"/>
        <c:auto val="1"/>
        <c:lblAlgn val="ctr"/>
        <c:lblOffset val="100"/>
        <c:noMultiLvlLbl val="0"/>
      </c:catAx>
      <c:valAx>
        <c:axId val="20263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Empreinte carbone du secteur </a:t>
            </a:r>
          </a:p>
          <a:p>
            <a:pPr>
              <a:defRPr/>
            </a:pPr>
            <a:r>
              <a:rPr lang="fr-FR" sz="1200"/>
              <a:t>Emissions</a:t>
            </a:r>
            <a:r>
              <a:rPr lang="fr-FR" sz="1200" baseline="0"/>
              <a:t> énergétiques, rénovation, construction neuve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3"/>
          <c:order val="0"/>
          <c:tx>
            <c:strRef>
              <c:f>'figures 2030'!$H$93</c:f>
              <c:strCache>
                <c:ptCount val="1"/>
                <c:pt idx="0">
                  <c:v>Emission Oil fuel (MtCO2)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2030'!$K$93:$V$93</c:f>
              <c:numCache>
                <c:formatCode>0.00</c:formatCode>
                <c:ptCount val="12"/>
                <c:pt idx="0">
                  <c:v>9.0399999999999991</c:v>
                </c:pt>
                <c:pt idx="1">
                  <c:v>8.1820000000000004</c:v>
                </c:pt>
                <c:pt idx="2">
                  <c:v>7.23</c:v>
                </c:pt>
                <c:pt idx="3">
                  <c:v>6.14</c:v>
                </c:pt>
                <c:pt idx="4">
                  <c:v>5.2370000000000001</c:v>
                </c:pt>
                <c:pt idx="5">
                  <c:v>4.3789999999999996</c:v>
                </c:pt>
                <c:pt idx="6">
                  <c:v>3.5590000000000002</c:v>
                </c:pt>
                <c:pt idx="7">
                  <c:v>2.7570000000000001</c:v>
                </c:pt>
                <c:pt idx="8">
                  <c:v>1.996</c:v>
                </c:pt>
                <c:pt idx="9">
                  <c:v>1.2849999999999999</c:v>
                </c:pt>
                <c:pt idx="10">
                  <c:v>0.622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A6-4B58-8CCF-8C81E2913F94}"/>
            </c:ext>
          </c:extLst>
        </c:ser>
        <c:ser>
          <c:idx val="2"/>
          <c:order val="1"/>
          <c:tx>
            <c:strRef>
              <c:f>'figures 2030'!$H$92</c:f>
              <c:strCache>
                <c:ptCount val="1"/>
                <c:pt idx="0">
                  <c:v>Emission Natural gas (MtCO2)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2030'!$K$92:$V$92</c:f>
              <c:numCache>
                <c:formatCode>0.00</c:formatCode>
                <c:ptCount val="12"/>
                <c:pt idx="0">
                  <c:v>19.600999999999999</c:v>
                </c:pt>
                <c:pt idx="1">
                  <c:v>19.574999999999999</c:v>
                </c:pt>
                <c:pt idx="2">
                  <c:v>19.088000000000001</c:v>
                </c:pt>
                <c:pt idx="3">
                  <c:v>18.257000000000001</c:v>
                </c:pt>
                <c:pt idx="4">
                  <c:v>17.594000000000001</c:v>
                </c:pt>
                <c:pt idx="5">
                  <c:v>16.811</c:v>
                </c:pt>
                <c:pt idx="6">
                  <c:v>15.885999999999999</c:v>
                </c:pt>
                <c:pt idx="7">
                  <c:v>15.006</c:v>
                </c:pt>
                <c:pt idx="8">
                  <c:v>14.026999999999999</c:v>
                </c:pt>
                <c:pt idx="9">
                  <c:v>13.111000000000001</c:v>
                </c:pt>
                <c:pt idx="10">
                  <c:v>12.26</c:v>
                </c:pt>
                <c:pt idx="11">
                  <c:v>11.457000000000001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A6-4B58-8CCF-8C81E2913F94}"/>
            </c:ext>
          </c:extLst>
        </c:ser>
        <c:ser>
          <c:idx val="4"/>
          <c:order val="2"/>
          <c:tx>
            <c:strRef>
              <c:f>'figures 2030'!$H$94</c:f>
              <c:strCache>
                <c:ptCount val="1"/>
                <c:pt idx="0">
                  <c:v>Emission Electricity (MtCO2)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2030'!$K$94:$V$94</c:f>
              <c:numCache>
                <c:formatCode>0.00</c:formatCode>
                <c:ptCount val="12"/>
                <c:pt idx="0">
                  <c:v>3.9380000000000002</c:v>
                </c:pt>
                <c:pt idx="1">
                  <c:v>3.923</c:v>
                </c:pt>
                <c:pt idx="2">
                  <c:v>3.9079999999999999</c:v>
                </c:pt>
                <c:pt idx="3">
                  <c:v>3.915</c:v>
                </c:pt>
                <c:pt idx="4">
                  <c:v>3.9169999999999998</c:v>
                </c:pt>
                <c:pt idx="5">
                  <c:v>3.915</c:v>
                </c:pt>
                <c:pt idx="6">
                  <c:v>3.8889999999999998</c:v>
                </c:pt>
                <c:pt idx="7">
                  <c:v>3.8849999999999998</c:v>
                </c:pt>
                <c:pt idx="8">
                  <c:v>3.8730000000000002</c:v>
                </c:pt>
                <c:pt idx="9">
                  <c:v>3.871</c:v>
                </c:pt>
                <c:pt idx="10">
                  <c:v>3.8809999999999998</c:v>
                </c:pt>
                <c:pt idx="11">
                  <c:v>3.9009999999999998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A6-4B58-8CCF-8C81E2913F94}"/>
            </c:ext>
          </c:extLst>
        </c:ser>
        <c:ser>
          <c:idx val="0"/>
          <c:order val="3"/>
          <c:tx>
            <c:strRef>
              <c:f>'figures 2030'!$H$90</c:f>
              <c:strCache>
                <c:ptCount val="1"/>
                <c:pt idx="0">
                  <c:v>Carbon footprint renovation (MtCO2)</c:v>
                </c:pt>
              </c:strCache>
            </c:strRef>
          </c:tx>
          <c:spPr>
            <a:pattFill prst="pct10">
              <a:fgClr>
                <a:schemeClr val="accent6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2030'!$K$90:$V$90</c:f>
              <c:numCache>
                <c:formatCode>0.00</c:formatCode>
                <c:ptCount val="12"/>
                <c:pt idx="0">
                  <c:v>2.6230000000000002</c:v>
                </c:pt>
                <c:pt idx="1">
                  <c:v>1.589</c:v>
                </c:pt>
                <c:pt idx="2">
                  <c:v>2.347</c:v>
                </c:pt>
                <c:pt idx="3">
                  <c:v>2.5430000000000001</c:v>
                </c:pt>
                <c:pt idx="4">
                  <c:v>2.4590000000000001</c:v>
                </c:pt>
                <c:pt idx="5">
                  <c:v>2.3010000000000002</c:v>
                </c:pt>
                <c:pt idx="6">
                  <c:v>2.6640000000000001</c:v>
                </c:pt>
                <c:pt idx="7">
                  <c:v>3.3149999999999999</c:v>
                </c:pt>
                <c:pt idx="8">
                  <c:v>3.1659999999999999</c:v>
                </c:pt>
                <c:pt idx="9">
                  <c:v>2.99</c:v>
                </c:pt>
                <c:pt idx="10">
                  <c:v>2.93</c:v>
                </c:pt>
                <c:pt idx="11">
                  <c:v>2.7410000000000001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6-4B58-8CCF-8C81E2913F94}"/>
            </c:ext>
          </c:extLst>
        </c:ser>
        <c:ser>
          <c:idx val="1"/>
          <c:order val="4"/>
          <c:tx>
            <c:strRef>
              <c:f>'figures 2030'!$H$91</c:f>
              <c:strCache>
                <c:ptCount val="1"/>
                <c:pt idx="0">
                  <c:v>Carbon footprint construction (MtCO2)</c:v>
                </c:pt>
              </c:strCache>
            </c:strRef>
          </c:tx>
          <c:spPr>
            <a:pattFill prst="ltDnDiag">
              <a:fgClr>
                <a:srgbClr val="FFC000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'figures 2030'!$K$1:$V$1</c:f>
              <c:numCache>
                <c:formatCode>General</c:formatCode>
                <c:ptCount val="1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</c:numCache>
            </c:numRef>
          </c:cat>
          <c:val>
            <c:numRef>
              <c:f>'figures 2030'!$K$91:$V$91</c:f>
              <c:numCache>
                <c:formatCode>0.00</c:formatCode>
                <c:ptCount val="12"/>
                <c:pt idx="0">
                  <c:v>11.736000000000001</c:v>
                </c:pt>
                <c:pt idx="1">
                  <c:v>14.01</c:v>
                </c:pt>
                <c:pt idx="2">
                  <c:v>14.01</c:v>
                </c:pt>
                <c:pt idx="3">
                  <c:v>14.01</c:v>
                </c:pt>
                <c:pt idx="4">
                  <c:v>14.01</c:v>
                </c:pt>
                <c:pt idx="5">
                  <c:v>14.01</c:v>
                </c:pt>
                <c:pt idx="6">
                  <c:v>9.6289999999999996</c:v>
                </c:pt>
                <c:pt idx="7">
                  <c:v>9.6289999999999996</c:v>
                </c:pt>
                <c:pt idx="8">
                  <c:v>9.6289999999999996</c:v>
                </c:pt>
                <c:pt idx="9">
                  <c:v>9.6289999999999996</c:v>
                </c:pt>
                <c:pt idx="10">
                  <c:v>9.6289999999999996</c:v>
                </c:pt>
                <c:pt idx="11">
                  <c:v>9.6289999999999996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6-4B58-8CCF-8C81E2913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142464"/>
        <c:axId val="2022141632"/>
      </c:areaChart>
      <c:catAx>
        <c:axId val="202214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141632"/>
        <c:crosses val="autoZero"/>
        <c:auto val="1"/>
        <c:lblAlgn val="ctr"/>
        <c:lblOffset val="100"/>
        <c:noMultiLvlLbl val="0"/>
      </c:catAx>
      <c:valAx>
        <c:axId val="202214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14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32405773598899"/>
          <c:y val="0.8249500804293447"/>
          <c:w val="0.7233055226190106"/>
          <c:h val="0.1486341870160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Aides à la rénovation énergétique (milliards d'euros)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'figures 2030'!$I$106</c:f>
              <c:strCache>
                <c:ptCount val="1"/>
                <c:pt idx="0">
                  <c:v>CEE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2030'!$N$1:$V$1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'figures 2030'!$N$106:$V$106</c:f>
              <c:numCache>
                <c:formatCode>0.00</c:formatCode>
                <c:ptCount val="9"/>
                <c:pt idx="0">
                  <c:v>2.2000000000000002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B-4DDA-91D9-F39B420E5869}"/>
            </c:ext>
          </c:extLst>
        </c:ser>
        <c:ser>
          <c:idx val="1"/>
          <c:order val="1"/>
          <c:tx>
            <c:strRef>
              <c:f>'figures 2030'!$I$107</c:f>
              <c:strCache>
                <c:ptCount val="1"/>
                <c:pt idx="0">
                  <c:v>MPR Efficacité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'figures 2030'!$N$1:$V$1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'figures 2030'!$N$107:$V$107</c:f>
              <c:numCache>
                <c:formatCode>0.00</c:formatCode>
                <c:ptCount val="9"/>
                <c:pt idx="0">
                  <c:v>2</c:v>
                </c:pt>
                <c:pt idx="1">
                  <c:v>2.4500000000000002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B-4DDA-91D9-F39B420E5869}"/>
            </c:ext>
          </c:extLst>
        </c:ser>
        <c:ser>
          <c:idx val="3"/>
          <c:order val="2"/>
          <c:tx>
            <c:strRef>
              <c:f>'figures 2030'!$I$109</c:f>
              <c:strCache>
                <c:ptCount val="1"/>
                <c:pt idx="0">
                  <c:v>MPR Performance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'figures 2030'!$N$1:$V$1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'figures 2030'!$N$109:$V$109</c:f>
              <c:numCache>
                <c:formatCode>0.00</c:formatCode>
                <c:ptCount val="9"/>
                <c:pt idx="0">
                  <c:v>0.5</c:v>
                </c:pt>
                <c:pt idx="1">
                  <c:v>0.6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B-4DDA-91D9-F39B420E5869}"/>
            </c:ext>
          </c:extLst>
        </c:ser>
        <c:ser>
          <c:idx val="2"/>
          <c:order val="3"/>
          <c:tx>
            <c:strRef>
              <c:f>'figures 2030'!$I$108</c:f>
              <c:strCache>
                <c:ptCount val="1"/>
                <c:pt idx="0">
                  <c:v>MPR Copro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'figures 2030'!$N$1:$V$1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'figures 2030'!$N$108:$V$108</c:f>
              <c:numCache>
                <c:formatCode>0.00</c:formatCode>
                <c:ptCount val="9"/>
                <c:pt idx="0">
                  <c:v>0.2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B-4DDA-91D9-F39B420E5869}"/>
            </c:ext>
          </c:extLst>
        </c:ser>
        <c:ser>
          <c:idx val="4"/>
          <c:order val="4"/>
          <c:tx>
            <c:strRef>
              <c:f>'figures 2030'!$I$110</c:f>
              <c:strCache>
                <c:ptCount val="1"/>
                <c:pt idx="0">
                  <c:v>Montant écrêté</c:v>
                </c:pt>
              </c:strCache>
            </c:strRef>
          </c:tx>
          <c:spPr>
            <a:pattFill prst="pct2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'figures 2030'!$N$1:$V$1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'figures 2030'!$N$110:$V$110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B-4DDA-91D9-F39B420E5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577536"/>
        <c:axId val="2024573792"/>
      </c:areaChart>
      <c:catAx>
        <c:axId val="202457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4573792"/>
        <c:crosses val="autoZero"/>
        <c:auto val="1"/>
        <c:lblAlgn val="ctr"/>
        <c:lblOffset val="100"/>
        <c:noMultiLvlLbl val="0"/>
      </c:catAx>
      <c:valAx>
        <c:axId val="20245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457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Part</a:t>
            </a:r>
            <a:r>
              <a:rPr lang="fr-FR" baseline="0"/>
              <a:t> de financement (MPR et CEE) dans les dépense de rénovation par décile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'figures 2030'!$H$116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2030'!$L$116:$V$116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3-4380-B261-5B77CCF090D4}"/>
            </c:ext>
          </c:extLst>
        </c:ser>
        <c:ser>
          <c:idx val="1"/>
          <c:order val="1"/>
          <c:tx>
            <c:strRef>
              <c:f>'figures 2030'!$H$117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2030'!$L$117:$V$117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3-4380-B261-5B77CCF090D4}"/>
            </c:ext>
          </c:extLst>
        </c:ser>
        <c:ser>
          <c:idx val="2"/>
          <c:order val="2"/>
          <c:tx>
            <c:strRef>
              <c:f>'figures 2030'!$H$160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2030'!$L$160:$V$160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3-4380-B261-5B77CCF090D4}"/>
            </c:ext>
          </c:extLst>
        </c:ser>
        <c:ser>
          <c:idx val="3"/>
          <c:order val="3"/>
          <c:tx>
            <c:strRef>
              <c:f>'figures 2030'!$H$161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2030'!$L$161:$V$161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E3-4380-B261-5B77CCF090D4}"/>
            </c:ext>
          </c:extLst>
        </c:ser>
        <c:ser>
          <c:idx val="4"/>
          <c:order val="4"/>
          <c:tx>
            <c:strRef>
              <c:f>'figures 2030'!$H$162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2030'!$L$162:$V$162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E3-4380-B261-5B77CCF090D4}"/>
            </c:ext>
          </c:extLst>
        </c:ser>
        <c:ser>
          <c:idx val="5"/>
          <c:order val="5"/>
          <c:tx>
            <c:strRef>
              <c:f>'figures 2030'!$H$163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2030'!$L$163:$V$163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E3-4380-B261-5B77CCF090D4}"/>
            </c:ext>
          </c:extLst>
        </c:ser>
        <c:ser>
          <c:idx val="6"/>
          <c:order val="6"/>
          <c:tx>
            <c:strRef>
              <c:f>'figures 2030'!$H$164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2030'!$L$164:$V$164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E3-4380-B261-5B77CCF090D4}"/>
            </c:ext>
          </c:extLst>
        </c:ser>
        <c:ser>
          <c:idx val="7"/>
          <c:order val="7"/>
          <c:tx>
            <c:strRef>
              <c:f>'figures 2030'!$H$165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2030'!$L$165:$V$165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E3-4380-B261-5B77CCF090D4}"/>
            </c:ext>
          </c:extLst>
        </c:ser>
        <c:ser>
          <c:idx val="8"/>
          <c:order val="8"/>
          <c:tx>
            <c:strRef>
              <c:f>'figures 2030'!$H$166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2030'!$L$166:$V$166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E3-4380-B261-5B77CCF090D4}"/>
            </c:ext>
          </c:extLst>
        </c:ser>
        <c:ser>
          <c:idx val="9"/>
          <c:order val="9"/>
          <c:tx>
            <c:strRef>
              <c:f>'figures 2030'!$H$167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'figures 2030'!$L$1:$V$1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'figures 2030'!$L$167:$V$167</c:f>
              <c:numCache>
                <c:formatCode>0%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CE3-4380-B261-5B77CCF0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157824"/>
        <c:axId val="1962161568"/>
      </c:lineChart>
      <c:catAx>
        <c:axId val="19621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2161568"/>
        <c:crosses val="autoZero"/>
        <c:auto val="1"/>
        <c:lblAlgn val="ctr"/>
        <c:lblOffset val="100"/>
        <c:noMultiLvlLbl val="0"/>
      </c:catAx>
      <c:valAx>
        <c:axId val="196216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21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Investissement total et part des aides </a:t>
            </a:r>
          </a:p>
          <a:p>
            <a:pPr>
              <a:defRPr/>
            </a:pPr>
            <a:r>
              <a:rPr lang="fr-FR"/>
              <a:t>(milliards d'euros)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338019835689512E-2"/>
          <c:y val="0.16283717486440769"/>
          <c:w val="0.86344074535288518"/>
          <c:h val="0.67705911227879889"/>
        </c:manualLayout>
      </c:layout>
      <c:areaChart>
        <c:grouping val="standard"/>
        <c:varyColors val="0"/>
        <c:ser>
          <c:idx val="0"/>
          <c:order val="0"/>
          <c:tx>
            <c:strRef>
              <c:f>'figures 2030'!$I$79</c:f>
              <c:strCache>
                <c:ptCount val="1"/>
                <c:pt idx="0">
                  <c:v>Investissement total (milliards)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2030'!$N$1:$V$1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'figures 2030'!$N$86:$V$86</c:f>
              <c:numCache>
                <c:formatCode>0.00</c:formatCode>
                <c:ptCount val="9"/>
                <c:pt idx="0" formatCode="General">
                  <c:v>17</c:v>
                </c:pt>
                <c:pt idx="1">
                  <c:v>19</c:v>
                </c:pt>
                <c:pt idx="2">
                  <c:v>17.324000000000002</c:v>
                </c:pt>
                <c:pt idx="3">
                  <c:v>17.885999999999999</c:v>
                </c:pt>
                <c:pt idx="4">
                  <c:v>20.459</c:v>
                </c:pt>
                <c:pt idx="5">
                  <c:v>19.163</c:v>
                </c:pt>
                <c:pt idx="6">
                  <c:v>18.896999999999998</c:v>
                </c:pt>
                <c:pt idx="7">
                  <c:v>18.943999999999999</c:v>
                </c:pt>
                <c:pt idx="8">
                  <c:v>18.638999999999999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C-4DC4-944A-5BEEB8276320}"/>
            </c:ext>
          </c:extLst>
        </c:ser>
        <c:ser>
          <c:idx val="1"/>
          <c:order val="1"/>
          <c:tx>
            <c:strRef>
              <c:f>'figures 2030'!$I$82</c:f>
              <c:strCache>
                <c:ptCount val="1"/>
                <c:pt idx="0">
                  <c:v>Soutien total (milliards)</c:v>
                </c:pt>
              </c:strCache>
            </c:strRef>
          </c:tx>
          <c:spPr>
            <a:pattFill prst="wdUpDiag">
              <a:fgClr>
                <a:schemeClr val="accent4"/>
              </a:fgClr>
              <a:bgClr>
                <a:schemeClr val="accent1"/>
              </a:bgClr>
            </a:pattFill>
            <a:ln>
              <a:noFill/>
            </a:ln>
            <a:effectLst/>
          </c:spPr>
          <c:cat>
            <c:numRef>
              <c:f>'figures 2030'!$N$1:$V$1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'figures 2030'!$N$87:$V$87</c:f>
              <c:numCache>
                <c:formatCode>0.00</c:formatCode>
                <c:ptCount val="9"/>
                <c:pt idx="0" formatCode="General">
                  <c:v>5.5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C-4DC4-944A-5BEEB827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6336"/>
        <c:axId val="2022996752"/>
      </c:areaChart>
      <c:catAx>
        <c:axId val="202299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752"/>
        <c:crosses val="autoZero"/>
        <c:auto val="1"/>
        <c:lblAlgn val="ctr"/>
        <c:lblOffset val="100"/>
        <c:noMultiLvlLbl val="0"/>
      </c:catAx>
      <c:valAx>
        <c:axId val="20229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Emissions par vecteur 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475750313819473E-2"/>
          <c:y val="9.8521587822189949E-2"/>
          <c:w val="0.87612552778728747"/>
          <c:h val="0.69942991625251927"/>
        </c:manualLayout>
      </c:layout>
      <c:areaChart>
        <c:grouping val="stacked"/>
        <c:varyColors val="0"/>
        <c:ser>
          <c:idx val="0"/>
          <c:order val="0"/>
          <c:tx>
            <c:strRef>
              <c:f>'figures 2050'!$H$15</c:f>
              <c:strCache>
                <c:ptCount val="1"/>
                <c:pt idx="0">
                  <c:v>Emissions du gaz (MtCO2)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2050'!$J$15:$AP$15</c:f>
              <c:numCache>
                <c:formatCode>0.0</c:formatCode>
                <c:ptCount val="33"/>
                <c:pt idx="0">
                  <c:v>20.02</c:v>
                </c:pt>
                <c:pt idx="1">
                  <c:v>19.600999999999999</c:v>
                </c:pt>
                <c:pt idx="2">
                  <c:v>19.574999999999999</c:v>
                </c:pt>
                <c:pt idx="3">
                  <c:v>18.897120000000001</c:v>
                </c:pt>
                <c:pt idx="4">
                  <c:v>17.891860000000001</c:v>
                </c:pt>
                <c:pt idx="5">
                  <c:v>17.066179999999999</c:v>
                </c:pt>
                <c:pt idx="6">
                  <c:v>15.977174399999999</c:v>
                </c:pt>
                <c:pt idx="7">
                  <c:v>14.789865999999998</c:v>
                </c:pt>
                <c:pt idx="8">
                  <c:v>13.682470799999999</c:v>
                </c:pt>
                <c:pt idx="9">
                  <c:v>12.5233056</c:v>
                </c:pt>
                <c:pt idx="10">
                  <c:v>11.459014</c:v>
                </c:pt>
                <c:pt idx="11">
                  <c:v>10.544825999999999</c:v>
                </c:pt>
                <c:pt idx="12">
                  <c:v>9.6960591000000012</c:v>
                </c:pt>
                <c:pt idx="13">
                  <c:v>8.8495335000000015</c:v>
                </c:pt>
                <c:pt idx="14">
                  <c:v>8.1444366000000006</c:v>
                </c:pt>
                <c:pt idx="15">
                  <c:v>7.4066654400000012</c:v>
                </c:pt>
                <c:pt idx="16">
                  <c:v>6.9012451200000005</c:v>
                </c:pt>
                <c:pt idx="17">
                  <c:v>5.4130824000000004</c:v>
                </c:pt>
                <c:pt idx="18">
                  <c:v>5.6928115200000002</c:v>
                </c:pt>
                <c:pt idx="19">
                  <c:v>5.2724865600000008</c:v>
                </c:pt>
                <c:pt idx="20">
                  <c:v>4.8622420800000006</c:v>
                </c:pt>
                <c:pt idx="21">
                  <c:v>4.5704388600000003</c:v>
                </c:pt>
                <c:pt idx="22">
                  <c:v>4.3336962000000003</c:v>
                </c:pt>
                <c:pt idx="23">
                  <c:v>4.0571732250000005</c:v>
                </c:pt>
                <c:pt idx="24">
                  <c:v>3.83786928</c:v>
                </c:pt>
                <c:pt idx="25">
                  <c:v>3.6153041400000001</c:v>
                </c:pt>
                <c:pt idx="26">
                  <c:v>3.3668723700000003</c:v>
                </c:pt>
                <c:pt idx="27">
                  <c:v>3.1360250625000003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A-4C11-9916-BF345FE94A6F}"/>
            </c:ext>
          </c:extLst>
        </c:ser>
        <c:ser>
          <c:idx val="1"/>
          <c:order val="1"/>
          <c:tx>
            <c:strRef>
              <c:f>'figures 2050'!$H$16</c:f>
              <c:strCache>
                <c:ptCount val="1"/>
                <c:pt idx="0">
                  <c:v>Emissions du fioul (MtCO2)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2050'!$J$16:$AP$16</c:f>
              <c:numCache>
                <c:formatCode>0.0</c:formatCode>
                <c:ptCount val="33"/>
                <c:pt idx="0">
                  <c:v>10.044</c:v>
                </c:pt>
                <c:pt idx="1">
                  <c:v>9.0399999999999991</c:v>
                </c:pt>
                <c:pt idx="2">
                  <c:v>8.1820000000000004</c:v>
                </c:pt>
                <c:pt idx="3">
                  <c:v>7.1577000000000002</c:v>
                </c:pt>
                <c:pt idx="4">
                  <c:v>6.0171999999999999</c:v>
                </c:pt>
                <c:pt idx="5">
                  <c:v>5.0798899999999998</c:v>
                </c:pt>
                <c:pt idx="6">
                  <c:v>4.1618015999999995</c:v>
                </c:pt>
                <c:pt idx="7">
                  <c:v>3.3134289999999997</c:v>
                </c:pt>
                <c:pt idx="8">
                  <c:v>2.5138325999999998</c:v>
                </c:pt>
                <c:pt idx="9">
                  <c:v>1.7820288</c:v>
                </c:pt>
                <c:pt idx="10">
                  <c:v>1.1230899999999999</c:v>
                </c:pt>
                <c:pt idx="11">
                  <c:v>0.53498219999999996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A-4C11-9916-BF345FE94A6F}"/>
            </c:ext>
          </c:extLst>
        </c:ser>
        <c:ser>
          <c:idx val="2"/>
          <c:order val="2"/>
          <c:tx>
            <c:strRef>
              <c:f>'figures 2050'!$H$17</c:f>
              <c:strCache>
                <c:ptCount val="1"/>
                <c:pt idx="0">
                  <c:v>Emissions de l'électricité (MtCO2)</c:v>
                </c:pt>
              </c:strCache>
            </c:strRef>
          </c:tx>
          <c:spPr>
            <a:pattFill prst="pct2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2050'!$J$17:$AP$17</c:f>
              <c:numCache>
                <c:formatCode>0.0</c:formatCode>
                <c:ptCount val="33"/>
                <c:pt idx="0">
                  <c:v>4.0209999999999999</c:v>
                </c:pt>
                <c:pt idx="1">
                  <c:v>3.9380000000000002</c:v>
                </c:pt>
                <c:pt idx="2">
                  <c:v>3.923</c:v>
                </c:pt>
                <c:pt idx="3">
                  <c:v>3.8689199999999997</c:v>
                </c:pt>
                <c:pt idx="4">
                  <c:v>3.8367</c:v>
                </c:pt>
                <c:pt idx="5">
                  <c:v>3.7994899999999996</c:v>
                </c:pt>
                <c:pt idx="6">
                  <c:v>3.7208159999999997</c:v>
                </c:pt>
                <c:pt idx="7">
                  <c:v>3.6206589999999994</c:v>
                </c:pt>
                <c:pt idx="8">
                  <c:v>3.5423429999999998</c:v>
                </c:pt>
                <c:pt idx="9">
                  <c:v>3.4578144000000002</c:v>
                </c:pt>
                <c:pt idx="10">
                  <c:v>3.383254</c:v>
                </c:pt>
                <c:pt idx="11">
                  <c:v>3.3380480999999995</c:v>
                </c:pt>
                <c:pt idx="12">
                  <c:v>3.3014163000000001</c:v>
                </c:pt>
                <c:pt idx="13">
                  <c:v>3.2431576500000001</c:v>
                </c:pt>
                <c:pt idx="14">
                  <c:v>3.2220666000000002</c:v>
                </c:pt>
                <c:pt idx="15">
                  <c:v>3.1753442250000004</c:v>
                </c:pt>
                <c:pt idx="16">
                  <c:v>3.1553953200000007</c:v>
                </c:pt>
                <c:pt idx="17">
                  <c:v>3.1075704000000002</c:v>
                </c:pt>
                <c:pt idx="18">
                  <c:v>3.0822554400000004</c:v>
                </c:pt>
                <c:pt idx="19">
                  <c:v>3.0602431200000004</c:v>
                </c:pt>
                <c:pt idx="20">
                  <c:v>2.9989683</c:v>
                </c:pt>
                <c:pt idx="21">
                  <c:v>2.9948653799999998</c:v>
                </c:pt>
                <c:pt idx="22">
                  <c:v>2.9796151499999999</c:v>
                </c:pt>
                <c:pt idx="23">
                  <c:v>2.9755252800000003</c:v>
                </c:pt>
                <c:pt idx="24">
                  <c:v>2.9650852800000003</c:v>
                </c:pt>
                <c:pt idx="25">
                  <c:v>2.9570399550000004</c:v>
                </c:pt>
                <c:pt idx="26">
                  <c:v>2.936774475</c:v>
                </c:pt>
                <c:pt idx="27">
                  <c:v>2.9358532500000005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A-4C11-9916-BF345FE94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70496"/>
        <c:axId val="2080872992"/>
      </c:areaChart>
      <c:catAx>
        <c:axId val="20808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2992"/>
        <c:crosses val="autoZero"/>
        <c:auto val="1"/>
        <c:lblAlgn val="ctr"/>
        <c:lblOffset val="100"/>
        <c:noMultiLvlLbl val="0"/>
      </c:catAx>
      <c:valAx>
        <c:axId val="20808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950986442445435E-3"/>
          <c:y val="0.887351251204887"/>
          <c:w val="0.98858465379420279"/>
          <c:h val="8.8480903321107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Evolution du parc en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6"/>
          <c:order val="0"/>
          <c:tx>
            <c:strRef>
              <c:f>'figures 2050'!$I$29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2050'!$J$29:$AP$29</c:f>
              <c:numCache>
                <c:formatCode>0.0</c:formatCode>
                <c:ptCount val="33"/>
                <c:pt idx="0">
                  <c:v>1.3979999999999999</c:v>
                </c:pt>
                <c:pt idx="1">
                  <c:v>1.1619999999999999</c:v>
                </c:pt>
                <c:pt idx="2">
                  <c:v>1.006</c:v>
                </c:pt>
                <c:pt idx="3">
                  <c:v>0.872</c:v>
                </c:pt>
                <c:pt idx="4">
                  <c:v>0.72899999999999998</c:v>
                </c:pt>
                <c:pt idx="5">
                  <c:v>0.60499999999999998</c:v>
                </c:pt>
                <c:pt idx="6">
                  <c:v>0.497</c:v>
                </c:pt>
                <c:pt idx="7">
                  <c:v>0.40300000000000002</c:v>
                </c:pt>
                <c:pt idx="8">
                  <c:v>0.32200000000000001</c:v>
                </c:pt>
                <c:pt idx="9">
                  <c:v>0.247</c:v>
                </c:pt>
                <c:pt idx="10">
                  <c:v>0.184</c:v>
                </c:pt>
                <c:pt idx="11">
                  <c:v>0.13200000000000001</c:v>
                </c:pt>
                <c:pt idx="12">
                  <c:v>8.8999999999999996E-2</c:v>
                </c:pt>
                <c:pt idx="13">
                  <c:v>7.3999999999999996E-2</c:v>
                </c:pt>
                <c:pt idx="14">
                  <c:v>6.2E-2</c:v>
                </c:pt>
                <c:pt idx="15">
                  <c:v>5.0999999999999997E-2</c:v>
                </c:pt>
                <c:pt idx="16">
                  <c:v>4.2999999999999997E-2</c:v>
                </c:pt>
                <c:pt idx="17">
                  <c:v>3.4000000000000002E-2</c:v>
                </c:pt>
                <c:pt idx="18">
                  <c:v>2.8000000000000001E-2</c:v>
                </c:pt>
                <c:pt idx="19">
                  <c:v>2.1999999999999999E-2</c:v>
                </c:pt>
                <c:pt idx="20">
                  <c:v>1.7999999999999999E-2</c:v>
                </c:pt>
                <c:pt idx="21">
                  <c:v>1.4999999999999999E-2</c:v>
                </c:pt>
                <c:pt idx="22">
                  <c:v>1.2E-2</c:v>
                </c:pt>
                <c:pt idx="23">
                  <c:v>0.01</c:v>
                </c:pt>
                <c:pt idx="24">
                  <c:v>8.0000000000000002E-3</c:v>
                </c:pt>
                <c:pt idx="25">
                  <c:v>6.0000000000000001E-3</c:v>
                </c:pt>
                <c:pt idx="26">
                  <c:v>5.0000000000000001E-3</c:v>
                </c:pt>
                <c:pt idx="27">
                  <c:v>3.0000000000000001E-3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E-4B21-AE6E-4CB205A3B761}"/>
            </c:ext>
          </c:extLst>
        </c:ser>
        <c:ser>
          <c:idx val="5"/>
          <c:order val="1"/>
          <c:tx>
            <c:strRef>
              <c:f>'figures 2050'!$I$28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2050'!$J$28:$AP$28</c:f>
              <c:numCache>
                <c:formatCode>0.0</c:formatCode>
                <c:ptCount val="33"/>
                <c:pt idx="0">
                  <c:v>2.927</c:v>
                </c:pt>
                <c:pt idx="1">
                  <c:v>2.7549999999999999</c:v>
                </c:pt>
                <c:pt idx="2">
                  <c:v>2.62</c:v>
                </c:pt>
                <c:pt idx="3">
                  <c:v>2.3849999999999998</c:v>
                </c:pt>
                <c:pt idx="4">
                  <c:v>2.17</c:v>
                </c:pt>
                <c:pt idx="5">
                  <c:v>1.984</c:v>
                </c:pt>
                <c:pt idx="6">
                  <c:v>1.823</c:v>
                </c:pt>
                <c:pt idx="7">
                  <c:v>1.613</c:v>
                </c:pt>
                <c:pt idx="8">
                  <c:v>1.4239999999999999</c:v>
                </c:pt>
                <c:pt idx="9">
                  <c:v>1.248</c:v>
                </c:pt>
                <c:pt idx="10">
                  <c:v>1.089</c:v>
                </c:pt>
                <c:pt idx="11">
                  <c:v>0.94499999999999995</c:v>
                </c:pt>
                <c:pt idx="12">
                  <c:v>0.81599999999999995</c:v>
                </c:pt>
                <c:pt idx="13">
                  <c:v>0.71</c:v>
                </c:pt>
                <c:pt idx="14">
                  <c:v>0.61399999999999999</c:v>
                </c:pt>
                <c:pt idx="15">
                  <c:v>0.52900000000000003</c:v>
                </c:pt>
                <c:pt idx="16">
                  <c:v>0.45600000000000002</c:v>
                </c:pt>
                <c:pt idx="17">
                  <c:v>0.35799999999999998</c:v>
                </c:pt>
                <c:pt idx="18">
                  <c:v>0.30399999999999999</c:v>
                </c:pt>
                <c:pt idx="19">
                  <c:v>0.255</c:v>
                </c:pt>
                <c:pt idx="20">
                  <c:v>0.21099999999999999</c:v>
                </c:pt>
                <c:pt idx="21">
                  <c:v>0.183</c:v>
                </c:pt>
                <c:pt idx="22">
                  <c:v>0.155</c:v>
                </c:pt>
                <c:pt idx="23">
                  <c:v>0.13</c:v>
                </c:pt>
                <c:pt idx="24">
                  <c:v>0.107</c:v>
                </c:pt>
                <c:pt idx="25">
                  <c:v>8.5999999999999993E-2</c:v>
                </c:pt>
                <c:pt idx="26">
                  <c:v>6.7000000000000004E-2</c:v>
                </c:pt>
                <c:pt idx="27">
                  <c:v>4.7E-2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E-4B21-AE6E-4CB205A3B761}"/>
            </c:ext>
          </c:extLst>
        </c:ser>
        <c:ser>
          <c:idx val="4"/>
          <c:order val="2"/>
          <c:tx>
            <c:strRef>
              <c:f>'figures 2050'!$I$27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2050'!$J$27:$AP$27</c:f>
              <c:numCache>
                <c:formatCode>0.0</c:formatCode>
                <c:ptCount val="33"/>
                <c:pt idx="0">
                  <c:v>5.024</c:v>
                </c:pt>
                <c:pt idx="1">
                  <c:v>4.8410000000000002</c:v>
                </c:pt>
                <c:pt idx="2">
                  <c:v>4.6470000000000002</c:v>
                </c:pt>
                <c:pt idx="3">
                  <c:v>4.4459999999999997</c:v>
                </c:pt>
                <c:pt idx="4">
                  <c:v>4.2290000000000001</c:v>
                </c:pt>
                <c:pt idx="5">
                  <c:v>4.0010000000000003</c:v>
                </c:pt>
                <c:pt idx="6">
                  <c:v>3.77</c:v>
                </c:pt>
                <c:pt idx="7">
                  <c:v>3.54</c:v>
                </c:pt>
                <c:pt idx="8">
                  <c:v>3.0720000000000001</c:v>
                </c:pt>
                <c:pt idx="9">
                  <c:v>2.66</c:v>
                </c:pt>
                <c:pt idx="10">
                  <c:v>2.294</c:v>
                </c:pt>
                <c:pt idx="11">
                  <c:v>1.988</c:v>
                </c:pt>
                <c:pt idx="12">
                  <c:v>1.7230000000000001</c:v>
                </c:pt>
                <c:pt idx="13">
                  <c:v>1.5149999999999999</c:v>
                </c:pt>
                <c:pt idx="14">
                  <c:v>1.329</c:v>
                </c:pt>
                <c:pt idx="15">
                  <c:v>1.163</c:v>
                </c:pt>
                <c:pt idx="16">
                  <c:v>1.0189999999999999</c:v>
                </c:pt>
                <c:pt idx="17">
                  <c:v>0.84199999999999997</c:v>
                </c:pt>
                <c:pt idx="18">
                  <c:v>0.72299999999999998</c:v>
                </c:pt>
                <c:pt idx="19">
                  <c:v>0.61599999999999999</c:v>
                </c:pt>
                <c:pt idx="20">
                  <c:v>0.52100000000000002</c:v>
                </c:pt>
                <c:pt idx="21">
                  <c:v>0.44700000000000001</c:v>
                </c:pt>
                <c:pt idx="22">
                  <c:v>0.379</c:v>
                </c:pt>
                <c:pt idx="23">
                  <c:v>0.316</c:v>
                </c:pt>
                <c:pt idx="24">
                  <c:v>0.25900000000000001</c:v>
                </c:pt>
                <c:pt idx="25">
                  <c:v>0.20699999999999999</c:v>
                </c:pt>
                <c:pt idx="26">
                  <c:v>0.159</c:v>
                </c:pt>
                <c:pt idx="27">
                  <c:v>0.111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7E-4B21-AE6E-4CB205A3B761}"/>
            </c:ext>
          </c:extLst>
        </c:ser>
        <c:ser>
          <c:idx val="3"/>
          <c:order val="3"/>
          <c:tx>
            <c:strRef>
              <c:f>'figures 2050'!$I$26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2050'!$J$26:$AP$26</c:f>
              <c:numCache>
                <c:formatCode>0.0</c:formatCode>
                <c:ptCount val="33"/>
                <c:pt idx="0">
                  <c:v>12.773999999999999</c:v>
                </c:pt>
                <c:pt idx="1">
                  <c:v>12.688000000000001</c:v>
                </c:pt>
                <c:pt idx="2">
                  <c:v>12.638999999999999</c:v>
                </c:pt>
                <c:pt idx="3">
                  <c:v>12.526999999999999</c:v>
                </c:pt>
                <c:pt idx="4">
                  <c:v>12.387</c:v>
                </c:pt>
                <c:pt idx="5">
                  <c:v>12.167999999999999</c:v>
                </c:pt>
                <c:pt idx="6">
                  <c:v>11.875999999999999</c:v>
                </c:pt>
                <c:pt idx="7">
                  <c:v>11.561999999999999</c:v>
                </c:pt>
                <c:pt idx="8">
                  <c:v>11.433</c:v>
                </c:pt>
                <c:pt idx="9">
                  <c:v>11.183999999999999</c:v>
                </c:pt>
                <c:pt idx="10">
                  <c:v>10.872999999999999</c:v>
                </c:pt>
                <c:pt idx="11">
                  <c:v>10.478999999999999</c:v>
                </c:pt>
                <c:pt idx="12">
                  <c:v>10.039</c:v>
                </c:pt>
                <c:pt idx="13">
                  <c:v>9.6530000000000005</c:v>
                </c:pt>
                <c:pt idx="14">
                  <c:v>9.0909999999999993</c:v>
                </c:pt>
                <c:pt idx="15">
                  <c:v>8.5649999999999995</c:v>
                </c:pt>
                <c:pt idx="16">
                  <c:v>8.1029999999999998</c:v>
                </c:pt>
                <c:pt idx="17">
                  <c:v>7.548</c:v>
                </c:pt>
                <c:pt idx="18">
                  <c:v>7.077</c:v>
                </c:pt>
                <c:pt idx="19">
                  <c:v>6.6280000000000001</c:v>
                </c:pt>
                <c:pt idx="20">
                  <c:v>6.2430000000000003</c:v>
                </c:pt>
                <c:pt idx="21">
                  <c:v>6.0129999999999999</c:v>
                </c:pt>
                <c:pt idx="22">
                  <c:v>5.7850000000000001</c:v>
                </c:pt>
                <c:pt idx="23">
                  <c:v>5.55</c:v>
                </c:pt>
                <c:pt idx="24">
                  <c:v>5.3369999999999997</c:v>
                </c:pt>
                <c:pt idx="25">
                  <c:v>5.1319999999999997</c:v>
                </c:pt>
                <c:pt idx="26">
                  <c:v>4.9349999999999996</c:v>
                </c:pt>
                <c:pt idx="27">
                  <c:v>4.7460000000000004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7E-4B21-AE6E-4CB205A3B761}"/>
            </c:ext>
          </c:extLst>
        </c:ser>
        <c:ser>
          <c:idx val="2"/>
          <c:order val="4"/>
          <c:tx>
            <c:strRef>
              <c:f>'figures 2050'!$I$25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2050'!$J$25:$AP$25</c:f>
              <c:numCache>
                <c:formatCode>0.0</c:formatCode>
                <c:ptCount val="33"/>
                <c:pt idx="0">
                  <c:v>5.55</c:v>
                </c:pt>
                <c:pt idx="1">
                  <c:v>6.0179999999999998</c:v>
                </c:pt>
                <c:pt idx="2">
                  <c:v>6.359</c:v>
                </c:pt>
                <c:pt idx="3">
                  <c:v>6.835</c:v>
                </c:pt>
                <c:pt idx="4">
                  <c:v>7.3259999999999996</c:v>
                </c:pt>
                <c:pt idx="5">
                  <c:v>7.843</c:v>
                </c:pt>
                <c:pt idx="6">
                  <c:v>8.3770000000000007</c:v>
                </c:pt>
                <c:pt idx="7">
                  <c:v>8.9450000000000003</c:v>
                </c:pt>
                <c:pt idx="8">
                  <c:v>9.5090000000000003</c:v>
                </c:pt>
                <c:pt idx="9">
                  <c:v>10.092000000000001</c:v>
                </c:pt>
                <c:pt idx="10">
                  <c:v>10.634</c:v>
                </c:pt>
                <c:pt idx="11">
                  <c:v>11.148</c:v>
                </c:pt>
                <c:pt idx="12">
                  <c:v>11.615</c:v>
                </c:pt>
                <c:pt idx="13">
                  <c:v>11.957000000000001</c:v>
                </c:pt>
                <c:pt idx="14">
                  <c:v>12.417</c:v>
                </c:pt>
                <c:pt idx="15">
                  <c:v>12.785</c:v>
                </c:pt>
                <c:pt idx="16">
                  <c:v>13.061</c:v>
                </c:pt>
                <c:pt idx="17">
                  <c:v>13.427</c:v>
                </c:pt>
                <c:pt idx="18">
                  <c:v>13.611000000000001</c:v>
                </c:pt>
                <c:pt idx="19">
                  <c:v>13.746</c:v>
                </c:pt>
                <c:pt idx="20">
                  <c:v>13.816000000000001</c:v>
                </c:pt>
                <c:pt idx="21">
                  <c:v>13.888</c:v>
                </c:pt>
                <c:pt idx="22">
                  <c:v>13.92</c:v>
                </c:pt>
                <c:pt idx="23">
                  <c:v>13.938000000000001</c:v>
                </c:pt>
                <c:pt idx="24">
                  <c:v>13.946</c:v>
                </c:pt>
                <c:pt idx="25">
                  <c:v>13.944000000000001</c:v>
                </c:pt>
                <c:pt idx="26">
                  <c:v>13.930999999999999</c:v>
                </c:pt>
                <c:pt idx="27">
                  <c:v>13.907999999999999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7E-4B21-AE6E-4CB205A3B761}"/>
            </c:ext>
          </c:extLst>
        </c:ser>
        <c:ser>
          <c:idx val="1"/>
          <c:order val="5"/>
          <c:tx>
            <c:strRef>
              <c:f>'figures 2050'!$I$24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2050'!$J$24:$AP$24</c:f>
              <c:numCache>
                <c:formatCode>0.0</c:formatCode>
                <c:ptCount val="33"/>
                <c:pt idx="0">
                  <c:v>2.1560000000000001</c:v>
                </c:pt>
                <c:pt idx="1">
                  <c:v>2.4350000000000001</c:v>
                </c:pt>
                <c:pt idx="2">
                  <c:v>2.6859999999999999</c:v>
                </c:pt>
                <c:pt idx="3">
                  <c:v>2.9470000000000001</c:v>
                </c:pt>
                <c:pt idx="4">
                  <c:v>3.2240000000000002</c:v>
                </c:pt>
                <c:pt idx="5">
                  <c:v>3.5190000000000001</c:v>
                </c:pt>
                <c:pt idx="6">
                  <c:v>3.8340000000000001</c:v>
                </c:pt>
                <c:pt idx="7">
                  <c:v>4.141</c:v>
                </c:pt>
                <c:pt idx="8">
                  <c:v>4.4649999999999999</c:v>
                </c:pt>
                <c:pt idx="9">
                  <c:v>4.8179999999999996</c:v>
                </c:pt>
                <c:pt idx="10">
                  <c:v>5.194</c:v>
                </c:pt>
                <c:pt idx="11">
                  <c:v>5.5949999999999998</c:v>
                </c:pt>
                <c:pt idx="12">
                  <c:v>6.0179999999999998</c:v>
                </c:pt>
                <c:pt idx="13">
                  <c:v>6.4039999999999999</c:v>
                </c:pt>
                <c:pt idx="14">
                  <c:v>6.8079999999999998</c:v>
                </c:pt>
                <c:pt idx="15">
                  <c:v>7.2309999999999999</c:v>
                </c:pt>
                <c:pt idx="16">
                  <c:v>7.6459999999999999</c:v>
                </c:pt>
                <c:pt idx="17">
                  <c:v>8.0660000000000007</c:v>
                </c:pt>
                <c:pt idx="18">
                  <c:v>8.4809999999999999</c:v>
                </c:pt>
                <c:pt idx="19">
                  <c:v>8.9030000000000005</c:v>
                </c:pt>
                <c:pt idx="20">
                  <c:v>9.3059999999999992</c:v>
                </c:pt>
                <c:pt idx="21">
                  <c:v>9.5500000000000007</c:v>
                </c:pt>
                <c:pt idx="22">
                  <c:v>9.8070000000000004</c:v>
                </c:pt>
                <c:pt idx="23">
                  <c:v>10.074999999999999</c:v>
                </c:pt>
                <c:pt idx="24">
                  <c:v>10.324</c:v>
                </c:pt>
                <c:pt idx="25">
                  <c:v>10.569000000000001</c:v>
                </c:pt>
                <c:pt idx="26">
                  <c:v>10.808999999999999</c:v>
                </c:pt>
                <c:pt idx="27">
                  <c:v>11.044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7E-4B21-AE6E-4CB205A3B761}"/>
            </c:ext>
          </c:extLst>
        </c:ser>
        <c:ser>
          <c:idx val="0"/>
          <c:order val="6"/>
          <c:tx>
            <c:strRef>
              <c:f>'figures 2050'!$I$23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2050'!$J$23:$AP$23</c:f>
              <c:numCache>
                <c:formatCode>0.0</c:formatCode>
                <c:ptCount val="33"/>
                <c:pt idx="0">
                  <c:v>0.39700000000000002</c:v>
                </c:pt>
                <c:pt idx="1">
                  <c:v>0.54500000000000004</c:v>
                </c:pt>
                <c:pt idx="2">
                  <c:v>0.75700000000000001</c:v>
                </c:pt>
                <c:pt idx="3">
                  <c:v>0.96899999999999997</c:v>
                </c:pt>
                <c:pt idx="4">
                  <c:v>1.1819999999999999</c:v>
                </c:pt>
                <c:pt idx="5">
                  <c:v>1.395</c:v>
                </c:pt>
                <c:pt idx="6">
                  <c:v>1.6060000000000001</c:v>
                </c:pt>
                <c:pt idx="7">
                  <c:v>1.7569999999999999</c:v>
                </c:pt>
                <c:pt idx="8">
                  <c:v>1.913</c:v>
                </c:pt>
                <c:pt idx="9">
                  <c:v>2.0670000000000002</c:v>
                </c:pt>
                <c:pt idx="10">
                  <c:v>2.2250000000000001</c:v>
                </c:pt>
                <c:pt idx="11">
                  <c:v>2.3849999999999998</c:v>
                </c:pt>
                <c:pt idx="12">
                  <c:v>2.5489999999999999</c:v>
                </c:pt>
                <c:pt idx="13">
                  <c:v>2.7130000000000001</c:v>
                </c:pt>
                <c:pt idx="14">
                  <c:v>2.8820000000000001</c:v>
                </c:pt>
                <c:pt idx="15">
                  <c:v>3.0539999999999998</c:v>
                </c:pt>
                <c:pt idx="16">
                  <c:v>3.2290000000000001</c:v>
                </c:pt>
                <c:pt idx="17">
                  <c:v>3.33</c:v>
                </c:pt>
                <c:pt idx="18">
                  <c:v>3.4319999999999999</c:v>
                </c:pt>
                <c:pt idx="19">
                  <c:v>3.536</c:v>
                </c:pt>
                <c:pt idx="20">
                  <c:v>3.64</c:v>
                </c:pt>
                <c:pt idx="21">
                  <c:v>3.7080000000000002</c:v>
                </c:pt>
                <c:pt idx="22">
                  <c:v>3.794</c:v>
                </c:pt>
                <c:pt idx="23">
                  <c:v>3.883</c:v>
                </c:pt>
                <c:pt idx="24">
                  <c:v>3.97</c:v>
                </c:pt>
                <c:pt idx="25">
                  <c:v>4.0570000000000004</c:v>
                </c:pt>
                <c:pt idx="26">
                  <c:v>4.1440000000000001</c:v>
                </c:pt>
                <c:pt idx="27">
                  <c:v>4.2320000000000002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7E-4B21-AE6E-4CB205A3B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4256"/>
        <c:axId val="2022994672"/>
      </c:areaChart>
      <c:catAx>
        <c:axId val="202299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672"/>
        <c:crosses val="autoZero"/>
        <c:auto val="1"/>
        <c:lblAlgn val="ctr"/>
        <c:lblOffset val="100"/>
        <c:noMultiLvlLbl val="0"/>
      </c:catAx>
      <c:valAx>
        <c:axId val="20229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d'énergie par vecteur (TWh)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'figures 2050'!$H$50</c:f>
              <c:strCache>
                <c:ptCount val="1"/>
                <c:pt idx="0">
                  <c:v>Electricité (joule)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2050'!$J$50:$AP$50</c:f>
              <c:numCache>
                <c:formatCode>0.0</c:formatCode>
                <c:ptCount val="33"/>
                <c:pt idx="0">
                  <c:v>43.912999999999997</c:v>
                </c:pt>
                <c:pt idx="1">
                  <c:v>40.822000000000003</c:v>
                </c:pt>
                <c:pt idx="2">
                  <c:v>38.813000000000002</c:v>
                </c:pt>
                <c:pt idx="3">
                  <c:v>36.470610000000001</c:v>
                </c:pt>
                <c:pt idx="4">
                  <c:v>34.263739999999999</c:v>
                </c:pt>
                <c:pt idx="5">
                  <c:v>32.133189999999999</c:v>
                </c:pt>
                <c:pt idx="6">
                  <c:v>29.754172799999996</c:v>
                </c:pt>
                <c:pt idx="7">
                  <c:v>27.334159999999997</c:v>
                </c:pt>
                <c:pt idx="8">
                  <c:v>25.085441599999999</c:v>
                </c:pt>
                <c:pt idx="9">
                  <c:v>22.909248000000002</c:v>
                </c:pt>
                <c:pt idx="10">
                  <c:v>20.889474</c:v>
                </c:pt>
                <c:pt idx="11">
                  <c:v>19.1208831</c:v>
                </c:pt>
                <c:pt idx="12">
                  <c:v>17.472709800000001</c:v>
                </c:pt>
                <c:pt idx="13">
                  <c:v>15.920803800000002</c:v>
                </c:pt>
                <c:pt idx="14">
                  <c:v>14.561872200000002</c:v>
                </c:pt>
                <c:pt idx="15">
                  <c:v>13.146172200000002</c:v>
                </c:pt>
                <c:pt idx="16">
                  <c:v>11.943134280000001</c:v>
                </c:pt>
                <c:pt idx="17">
                  <c:v>10.665428400000001</c:v>
                </c:pt>
                <c:pt idx="18">
                  <c:v>9.5531277600000024</c:v>
                </c:pt>
                <c:pt idx="19">
                  <c:v>8.4977983200000011</c:v>
                </c:pt>
                <c:pt idx="20">
                  <c:v>7.4083701600000005</c:v>
                </c:pt>
                <c:pt idx="21">
                  <c:v>7.0781203350000013</c:v>
                </c:pt>
                <c:pt idx="22">
                  <c:v>6.6430372500000008</c:v>
                </c:pt>
                <c:pt idx="23">
                  <c:v>6.2912014200000002</c:v>
                </c:pt>
                <c:pt idx="24">
                  <c:v>5.9222361600000006</c:v>
                </c:pt>
                <c:pt idx="25">
                  <c:v>5.605939395</c:v>
                </c:pt>
                <c:pt idx="26">
                  <c:v>5.3145003150000001</c:v>
                </c:pt>
                <c:pt idx="27">
                  <c:v>5.0929989000000004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D-4454-9E9C-63531F18E952}"/>
            </c:ext>
          </c:extLst>
        </c:ser>
        <c:ser>
          <c:idx val="4"/>
          <c:order val="1"/>
          <c:tx>
            <c:strRef>
              <c:f>'figures 2050'!$H$49</c:f>
              <c:strCache>
                <c:ptCount val="1"/>
                <c:pt idx="0">
                  <c:v>Electricité (pompe à chaleur)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2050'!$J$49:$AP$49</c:f>
              <c:numCache>
                <c:formatCode>0.0</c:formatCode>
                <c:ptCount val="33"/>
                <c:pt idx="0">
                  <c:v>6.984</c:v>
                </c:pt>
                <c:pt idx="1">
                  <c:v>9.0269999999999992</c:v>
                </c:pt>
                <c:pt idx="2">
                  <c:v>10.851000000000001</c:v>
                </c:pt>
                <c:pt idx="3">
                  <c:v>12.508649999999999</c:v>
                </c:pt>
                <c:pt idx="4">
                  <c:v>14.297219999999999</c:v>
                </c:pt>
                <c:pt idx="5">
                  <c:v>15.967169999999998</c:v>
                </c:pt>
                <c:pt idx="6">
                  <c:v>17.341948799999997</c:v>
                </c:pt>
                <c:pt idx="7">
                  <c:v>18.501763</c:v>
                </c:pt>
                <c:pt idx="8">
                  <c:v>19.753235199999999</c:v>
                </c:pt>
                <c:pt idx="9">
                  <c:v>20.857593599999998</c:v>
                </c:pt>
                <c:pt idx="10">
                  <c:v>21.940895999999999</c:v>
                </c:pt>
                <c:pt idx="11">
                  <c:v>23.133249599999999</c:v>
                </c:pt>
                <c:pt idx="12">
                  <c:v>24.3158916</c:v>
                </c:pt>
                <c:pt idx="13">
                  <c:v>25.133009400000002</c:v>
                </c:pt>
                <c:pt idx="14">
                  <c:v>26.227889100000002</c:v>
                </c:pt>
                <c:pt idx="15">
                  <c:v>27.042730545000005</c:v>
                </c:pt>
                <c:pt idx="16">
                  <c:v>27.997246200000003</c:v>
                </c:pt>
                <c:pt idx="17">
                  <c:v>28.667093400000006</c:v>
                </c:pt>
                <c:pt idx="18">
                  <c:v>29.46743184</c:v>
                </c:pt>
                <c:pt idx="19">
                  <c:v>30.235072560000003</c:v>
                </c:pt>
                <c:pt idx="20">
                  <c:v>30.214613006666671</c:v>
                </c:pt>
                <c:pt idx="21">
                  <c:v>30.660672343333331</c:v>
                </c:pt>
                <c:pt idx="22">
                  <c:v>31.073811749999997</c:v>
                </c:pt>
                <c:pt idx="23">
                  <c:v>31.378916834999998</c:v>
                </c:pt>
                <c:pt idx="24">
                  <c:v>31.6066824</c:v>
                </c:pt>
                <c:pt idx="25">
                  <c:v>31.827984300000001</c:v>
                </c:pt>
                <c:pt idx="26">
                  <c:v>31.862627055000004</c:v>
                </c:pt>
                <c:pt idx="27">
                  <c:v>32.0659543875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D-4454-9E9C-63531F18E952}"/>
            </c:ext>
          </c:extLst>
        </c:ser>
        <c:ser>
          <c:idx val="0"/>
          <c:order val="2"/>
          <c:tx>
            <c:strRef>
              <c:f>'figures 2050'!$H$45</c:f>
              <c:strCache>
                <c:ptCount val="1"/>
                <c:pt idx="0">
                  <c:v>Chauffage urbain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2050'!$J$45:$AP$45</c:f>
              <c:numCache>
                <c:formatCode>0.0</c:formatCode>
                <c:ptCount val="33"/>
                <c:pt idx="0">
                  <c:v>11.458</c:v>
                </c:pt>
                <c:pt idx="1">
                  <c:v>12.433</c:v>
                </c:pt>
                <c:pt idx="2">
                  <c:v>12.516999999999999</c:v>
                </c:pt>
                <c:pt idx="3">
                  <c:v>13.89465</c:v>
                </c:pt>
                <c:pt idx="4">
                  <c:v>14.71176</c:v>
                </c:pt>
                <c:pt idx="5">
                  <c:v>16.526859999999999</c:v>
                </c:pt>
                <c:pt idx="6">
                  <c:v>19.229443199999999</c:v>
                </c:pt>
                <c:pt idx="7">
                  <c:v>22.770397999999997</c:v>
                </c:pt>
                <c:pt idx="8">
                  <c:v>24.403415199999998</c:v>
                </c:pt>
                <c:pt idx="9">
                  <c:v>26.949168</c:v>
                </c:pt>
                <c:pt idx="10">
                  <c:v>28.906675999999997</c:v>
                </c:pt>
                <c:pt idx="11">
                  <c:v>30.413135999999998</c:v>
                </c:pt>
                <c:pt idx="12">
                  <c:v>31.421426400000001</c:v>
                </c:pt>
                <c:pt idx="13">
                  <c:v>32.100659100000009</c:v>
                </c:pt>
                <c:pt idx="14">
                  <c:v>32.502659399999999</c:v>
                </c:pt>
                <c:pt idx="15">
                  <c:v>32.271546405000002</c:v>
                </c:pt>
                <c:pt idx="16">
                  <c:v>32.141940600000005</c:v>
                </c:pt>
                <c:pt idx="17">
                  <c:v>31.282713000000001</c:v>
                </c:pt>
                <c:pt idx="18">
                  <c:v>30.921432960000004</c:v>
                </c:pt>
                <c:pt idx="19">
                  <c:v>30.560354880000006</c:v>
                </c:pt>
                <c:pt idx="20">
                  <c:v>29.887454519999999</c:v>
                </c:pt>
                <c:pt idx="21">
                  <c:v>29.556355140000001</c:v>
                </c:pt>
                <c:pt idx="22">
                  <c:v>29.234140199999999</c:v>
                </c:pt>
                <c:pt idx="23">
                  <c:v>28.92077055</c:v>
                </c:pt>
                <c:pt idx="24">
                  <c:v>28.61303328</c:v>
                </c:pt>
                <c:pt idx="25">
                  <c:v>28.312489169999999</c:v>
                </c:pt>
                <c:pt idx="26">
                  <c:v>27.858077550000001</c:v>
                </c:pt>
                <c:pt idx="27">
                  <c:v>27.5444263875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D-4454-9E9C-63531F18E952}"/>
            </c:ext>
          </c:extLst>
        </c:ser>
        <c:ser>
          <c:idx val="3"/>
          <c:order val="3"/>
          <c:tx>
            <c:strRef>
              <c:f>'figures 2050'!$H$48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2050'!$J$48:$AP$48</c:f>
              <c:numCache>
                <c:formatCode>0.0</c:formatCode>
                <c:ptCount val="33"/>
                <c:pt idx="0">
                  <c:v>76.102999999999994</c:v>
                </c:pt>
                <c:pt idx="1">
                  <c:v>74.563999999999993</c:v>
                </c:pt>
                <c:pt idx="2">
                  <c:v>73.540999999999997</c:v>
                </c:pt>
                <c:pt idx="3">
                  <c:v>71.129519999999999</c:v>
                </c:pt>
                <c:pt idx="4">
                  <c:v>68.252099999999999</c:v>
                </c:pt>
                <c:pt idx="5">
                  <c:v>65.79607</c:v>
                </c:pt>
                <c:pt idx="6">
                  <c:v>62.659872</c:v>
                </c:pt>
                <c:pt idx="7">
                  <c:v>59.377317999999995</c:v>
                </c:pt>
                <c:pt idx="8">
                  <c:v>56.260795399999999</c:v>
                </c:pt>
                <c:pt idx="9">
                  <c:v>53.172489600000006</c:v>
                </c:pt>
                <c:pt idx="10">
                  <c:v>50.303943999999994</c:v>
                </c:pt>
                <c:pt idx="11">
                  <c:v>47.9032695</c:v>
                </c:pt>
                <c:pt idx="12">
                  <c:v>45.659577599999999</c:v>
                </c:pt>
                <c:pt idx="13">
                  <c:v>44.005329000000003</c:v>
                </c:pt>
                <c:pt idx="14">
                  <c:v>42.882185700000001</c:v>
                </c:pt>
                <c:pt idx="15">
                  <c:v>41.372552460000001</c:v>
                </c:pt>
                <c:pt idx="16">
                  <c:v>40.500407640000006</c:v>
                </c:pt>
                <c:pt idx="17">
                  <c:v>38.061243000000005</c:v>
                </c:pt>
                <c:pt idx="18">
                  <c:v>38.06338272</c:v>
                </c:pt>
                <c:pt idx="19">
                  <c:v>37.244825640000009</c:v>
                </c:pt>
                <c:pt idx="20">
                  <c:v>36.085056120000004</c:v>
                </c:pt>
                <c:pt idx="21">
                  <c:v>35.47113453</c:v>
                </c:pt>
                <c:pt idx="22">
                  <c:v>34.905996449999996</c:v>
                </c:pt>
                <c:pt idx="23">
                  <c:v>34.315499609999996</c:v>
                </c:pt>
                <c:pt idx="24">
                  <c:v>33.783088320000005</c:v>
                </c:pt>
                <c:pt idx="25">
                  <c:v>33.256203704999997</c:v>
                </c:pt>
                <c:pt idx="26">
                  <c:v>32.544336149999999</c:v>
                </c:pt>
                <c:pt idx="27">
                  <c:v>32.010220275000002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8D-4454-9E9C-63531F18E952}"/>
            </c:ext>
          </c:extLst>
        </c:ser>
        <c:ser>
          <c:idx val="1"/>
          <c:order val="4"/>
          <c:tx>
            <c:strRef>
              <c:f>'figures 2050'!$H$46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2050'!$J$46:$AP$46</c:f>
              <c:numCache>
                <c:formatCode>0.0</c:formatCode>
                <c:ptCount val="33"/>
                <c:pt idx="0">
                  <c:v>91</c:v>
                </c:pt>
                <c:pt idx="1">
                  <c:v>89.096999999999994</c:v>
                </c:pt>
                <c:pt idx="2">
                  <c:v>88.978999999999999</c:v>
                </c:pt>
                <c:pt idx="3">
                  <c:v>85.896360000000001</c:v>
                </c:pt>
                <c:pt idx="4">
                  <c:v>81.328239999999994</c:v>
                </c:pt>
                <c:pt idx="5">
                  <c:v>77.572839999999985</c:v>
                </c:pt>
                <c:pt idx="6">
                  <c:v>72.621964800000001</c:v>
                </c:pt>
                <c:pt idx="7">
                  <c:v>67.226579000000001</c:v>
                </c:pt>
                <c:pt idx="8">
                  <c:v>62.192054399999996</c:v>
                </c:pt>
                <c:pt idx="9">
                  <c:v>56.924928000000001</c:v>
                </c:pt>
                <c:pt idx="10">
                  <c:v>52.086030000000001</c:v>
                </c:pt>
                <c:pt idx="11">
                  <c:v>47.929932600000001</c:v>
                </c:pt>
                <c:pt idx="12">
                  <c:v>44.073611400000004</c:v>
                </c:pt>
                <c:pt idx="13">
                  <c:v>40.225684050000005</c:v>
                </c:pt>
                <c:pt idx="14">
                  <c:v>37.021228200000003</c:v>
                </c:pt>
                <c:pt idx="15">
                  <c:v>33.666885735000001</c:v>
                </c:pt>
                <c:pt idx="16">
                  <c:v>31.370566920000002</c:v>
                </c:pt>
                <c:pt idx="17">
                  <c:v>24.604846200000004</c:v>
                </c:pt>
                <c:pt idx="18">
                  <c:v>25.874574000000003</c:v>
                </c:pt>
                <c:pt idx="19">
                  <c:v>23.964082560000001</c:v>
                </c:pt>
                <c:pt idx="20">
                  <c:v>22.099720860000001</c:v>
                </c:pt>
                <c:pt idx="21">
                  <c:v>20.774287170000001</c:v>
                </c:pt>
                <c:pt idx="22">
                  <c:v>19.699849350000001</c:v>
                </c:pt>
                <c:pt idx="23">
                  <c:v>18.443647215000002</c:v>
                </c:pt>
                <c:pt idx="24">
                  <c:v>17.443778399999999</c:v>
                </c:pt>
                <c:pt idx="25">
                  <c:v>16.431256304999998</c:v>
                </c:pt>
                <c:pt idx="26">
                  <c:v>15.304251239999999</c:v>
                </c:pt>
                <c:pt idx="27">
                  <c:v>14.254588012500001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8D-4454-9E9C-63531F18E952}"/>
            </c:ext>
          </c:extLst>
        </c:ser>
        <c:ser>
          <c:idx val="2"/>
          <c:order val="5"/>
          <c:tx>
            <c:strRef>
              <c:f>'figures 2050'!$H$47</c:f>
              <c:strCache>
                <c:ptCount val="1"/>
                <c:pt idx="0">
                  <c:v>Fioul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2050'!$J$47:$AP$47</c:f>
              <c:numCache>
                <c:formatCode>0.0</c:formatCode>
                <c:ptCount val="33"/>
                <c:pt idx="0">
                  <c:v>31</c:v>
                </c:pt>
                <c:pt idx="1">
                  <c:v>27.902999999999999</c:v>
                </c:pt>
                <c:pt idx="2">
                  <c:v>25.251999999999999</c:v>
                </c:pt>
                <c:pt idx="3">
                  <c:v>22.091850000000001</c:v>
                </c:pt>
                <c:pt idx="4">
                  <c:v>18.57198</c:v>
                </c:pt>
                <c:pt idx="5">
                  <c:v>15.67811</c:v>
                </c:pt>
                <c:pt idx="6">
                  <c:v>12.843705599999998</c:v>
                </c:pt>
                <c:pt idx="7">
                  <c:v>10.226103999999999</c:v>
                </c:pt>
                <c:pt idx="8">
                  <c:v>7.7585062000000002</c:v>
                </c:pt>
                <c:pt idx="9">
                  <c:v>5.4996480000000005</c:v>
                </c:pt>
                <c:pt idx="10">
                  <c:v>3.467158</c:v>
                </c:pt>
                <c:pt idx="11">
                  <c:v>1.6496717999999999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8D-4454-9E9C-63531F18E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077200"/>
        <c:axId val="1794627920"/>
      </c:areaChart>
      <c:catAx>
        <c:axId val="172207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627920"/>
        <c:crosses val="autoZero"/>
        <c:auto val="1"/>
        <c:lblAlgn val="ctr"/>
        <c:lblOffset val="100"/>
        <c:noMultiLvlLbl val="0"/>
      </c:catAx>
      <c:valAx>
        <c:axId val="17946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2077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du parc par énergie de chauffage</a:t>
            </a:r>
          </a:p>
          <a:p>
            <a:pPr>
              <a:defRPr/>
            </a:pPr>
            <a:r>
              <a:rPr lang="fr-FR"/>
              <a:t> (millions de logements)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520024657165206E-2"/>
          <c:y val="0.16360212796350085"/>
          <c:w val="0.87615414576790551"/>
          <c:h val="0.64708780159803803"/>
        </c:manualLayout>
      </c:layout>
      <c:areaChart>
        <c:grouping val="stacked"/>
        <c:varyColors val="0"/>
        <c:ser>
          <c:idx val="0"/>
          <c:order val="0"/>
          <c:tx>
            <c:strRef>
              <c:f>'figures 2050'!$I$57</c:f>
              <c:strCache>
                <c:ptCount val="1"/>
                <c:pt idx="0">
                  <c:v>Electricité (joule)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2050'!$J$57:$AP$57</c:f>
              <c:numCache>
                <c:formatCode>0.0</c:formatCode>
                <c:ptCount val="33"/>
                <c:pt idx="0">
                  <c:v>8.3170000000000002</c:v>
                </c:pt>
                <c:pt idx="1">
                  <c:v>8.0120000000000005</c:v>
                </c:pt>
                <c:pt idx="2">
                  <c:v>7.7679999999999998</c:v>
                </c:pt>
                <c:pt idx="3">
                  <c:v>7.4989999999999997</c:v>
                </c:pt>
                <c:pt idx="4">
                  <c:v>7.2409999999999997</c:v>
                </c:pt>
                <c:pt idx="5">
                  <c:v>6.9640000000000004</c:v>
                </c:pt>
                <c:pt idx="6">
                  <c:v>6.6660000000000004</c:v>
                </c:pt>
                <c:pt idx="7">
                  <c:v>6.3319999999999999</c:v>
                </c:pt>
                <c:pt idx="8">
                  <c:v>6.03</c:v>
                </c:pt>
                <c:pt idx="9">
                  <c:v>5.7069999999999999</c:v>
                </c:pt>
                <c:pt idx="10">
                  <c:v>5.3929999999999998</c:v>
                </c:pt>
                <c:pt idx="11">
                  <c:v>5.09</c:v>
                </c:pt>
                <c:pt idx="12">
                  <c:v>4.7949999999999999</c:v>
                </c:pt>
                <c:pt idx="13">
                  <c:v>4.4969999999999999</c:v>
                </c:pt>
                <c:pt idx="14">
                  <c:v>4.2130000000000001</c:v>
                </c:pt>
                <c:pt idx="15">
                  <c:v>3.9380000000000002</c:v>
                </c:pt>
                <c:pt idx="16">
                  <c:v>3.6669999999999998</c:v>
                </c:pt>
                <c:pt idx="17">
                  <c:v>3.4039999999999999</c:v>
                </c:pt>
                <c:pt idx="18">
                  <c:v>3.1360000000000001</c:v>
                </c:pt>
                <c:pt idx="19">
                  <c:v>2.8719999999999999</c:v>
                </c:pt>
                <c:pt idx="20">
                  <c:v>2.609</c:v>
                </c:pt>
                <c:pt idx="21">
                  <c:v>2.5430000000000001</c:v>
                </c:pt>
                <c:pt idx="22">
                  <c:v>2.44</c:v>
                </c:pt>
                <c:pt idx="23">
                  <c:v>2.36</c:v>
                </c:pt>
                <c:pt idx="24">
                  <c:v>2.27</c:v>
                </c:pt>
                <c:pt idx="25">
                  <c:v>2.1949999999999998</c:v>
                </c:pt>
                <c:pt idx="26">
                  <c:v>2.1360000000000001</c:v>
                </c:pt>
                <c:pt idx="27">
                  <c:v>2.09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7-4BB7-9ABF-2116D19F9C3E}"/>
            </c:ext>
          </c:extLst>
        </c:ser>
        <c:ser>
          <c:idx val="1"/>
          <c:order val="1"/>
          <c:tx>
            <c:strRef>
              <c:f>'figures 2050'!$I$58</c:f>
              <c:strCache>
                <c:ptCount val="1"/>
                <c:pt idx="0">
                  <c:v>Electricité (pompe à chaleur)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2050'!$J$58:$AP$58</c:f>
              <c:numCache>
                <c:formatCode>0.0</c:formatCode>
                <c:ptCount val="33"/>
                <c:pt idx="0">
                  <c:v>2.8959999999999999</c:v>
                </c:pt>
                <c:pt idx="1">
                  <c:v>3.6419999999999999</c:v>
                </c:pt>
                <c:pt idx="2">
                  <c:v>4.3680000000000003</c:v>
                </c:pt>
                <c:pt idx="3">
                  <c:v>5.0540000000000003</c:v>
                </c:pt>
                <c:pt idx="4">
                  <c:v>5.7990000000000004</c:v>
                </c:pt>
                <c:pt idx="5">
                  <c:v>6.5110000000000001</c:v>
                </c:pt>
                <c:pt idx="6">
                  <c:v>7.1840000000000002</c:v>
                </c:pt>
                <c:pt idx="7">
                  <c:v>7.7560000000000002</c:v>
                </c:pt>
                <c:pt idx="8">
                  <c:v>8.4190000000000005</c:v>
                </c:pt>
                <c:pt idx="9">
                  <c:v>9.0389999999999997</c:v>
                </c:pt>
                <c:pt idx="10">
                  <c:v>9.6920000000000002</c:v>
                </c:pt>
                <c:pt idx="11">
                  <c:v>10.382</c:v>
                </c:pt>
                <c:pt idx="12">
                  <c:v>11.106999999999999</c:v>
                </c:pt>
                <c:pt idx="13">
                  <c:v>11.712999999999999</c:v>
                </c:pt>
                <c:pt idx="14">
                  <c:v>12.358000000000001</c:v>
                </c:pt>
                <c:pt idx="15">
                  <c:v>13.023999999999999</c:v>
                </c:pt>
                <c:pt idx="16">
                  <c:v>13.643000000000001</c:v>
                </c:pt>
                <c:pt idx="17">
                  <c:v>14.268000000000001</c:v>
                </c:pt>
                <c:pt idx="18">
                  <c:v>14.823</c:v>
                </c:pt>
                <c:pt idx="19">
                  <c:v>15.372999999999999</c:v>
                </c:pt>
                <c:pt idx="20">
                  <c:v>15.782999999999999</c:v>
                </c:pt>
                <c:pt idx="21">
                  <c:v>16.064</c:v>
                </c:pt>
                <c:pt idx="22">
                  <c:v>16.440999999999999</c:v>
                </c:pt>
                <c:pt idx="23">
                  <c:v>16.747</c:v>
                </c:pt>
                <c:pt idx="24">
                  <c:v>17.018000000000001</c:v>
                </c:pt>
                <c:pt idx="25">
                  <c:v>17.286999999999999</c:v>
                </c:pt>
                <c:pt idx="26">
                  <c:v>17.553999999999998</c:v>
                </c:pt>
                <c:pt idx="27">
                  <c:v>17.817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87-4BB7-9ABF-2116D19F9C3E}"/>
            </c:ext>
          </c:extLst>
        </c:ser>
        <c:ser>
          <c:idx val="5"/>
          <c:order val="2"/>
          <c:tx>
            <c:strRef>
              <c:f>'figures 2050'!$I$62</c:f>
              <c:strCache>
                <c:ptCount val="1"/>
                <c:pt idx="0">
                  <c:v>Chauffage urbain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2050'!$J$62:$AP$62</c:f>
              <c:numCache>
                <c:formatCode>0.0</c:formatCode>
                <c:ptCount val="33"/>
                <c:pt idx="0">
                  <c:v>1.421</c:v>
                </c:pt>
                <c:pt idx="1">
                  <c:v>1.5649999999999999</c:v>
                </c:pt>
                <c:pt idx="2">
                  <c:v>1.619</c:v>
                </c:pt>
                <c:pt idx="3">
                  <c:v>1.8680000000000001</c:v>
                </c:pt>
                <c:pt idx="4">
                  <c:v>2.0470000000000002</c:v>
                </c:pt>
                <c:pt idx="5">
                  <c:v>2.375</c:v>
                </c:pt>
                <c:pt idx="6">
                  <c:v>2.8740000000000001</c:v>
                </c:pt>
                <c:pt idx="7">
                  <c:v>3.5219999999999998</c:v>
                </c:pt>
                <c:pt idx="8">
                  <c:v>3.919</c:v>
                </c:pt>
                <c:pt idx="9">
                  <c:v>4.4909999999999997</c:v>
                </c:pt>
                <c:pt idx="10">
                  <c:v>4.9969999999999999</c:v>
                </c:pt>
                <c:pt idx="11">
                  <c:v>5.4219999999999997</c:v>
                </c:pt>
                <c:pt idx="12">
                  <c:v>5.7770000000000001</c:v>
                </c:pt>
                <c:pt idx="13">
                  <c:v>6.07</c:v>
                </c:pt>
                <c:pt idx="14">
                  <c:v>6.2629999999999999</c:v>
                </c:pt>
                <c:pt idx="15">
                  <c:v>6.4059999999999997</c:v>
                </c:pt>
                <c:pt idx="16">
                  <c:v>6.4980000000000002</c:v>
                </c:pt>
                <c:pt idx="17">
                  <c:v>6.4989999999999997</c:v>
                </c:pt>
                <c:pt idx="18">
                  <c:v>6.53</c:v>
                </c:pt>
                <c:pt idx="19">
                  <c:v>6.56</c:v>
                </c:pt>
                <c:pt idx="20">
                  <c:v>6.59</c:v>
                </c:pt>
                <c:pt idx="21">
                  <c:v>6.6189999999999998</c:v>
                </c:pt>
                <c:pt idx="22">
                  <c:v>6.6479999999999997</c:v>
                </c:pt>
                <c:pt idx="23">
                  <c:v>6.6760000000000002</c:v>
                </c:pt>
                <c:pt idx="24">
                  <c:v>6.7039999999999997</c:v>
                </c:pt>
                <c:pt idx="25">
                  <c:v>6.7320000000000002</c:v>
                </c:pt>
                <c:pt idx="26">
                  <c:v>6.7590000000000003</c:v>
                </c:pt>
                <c:pt idx="27">
                  <c:v>6.7839999999999998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87-4BB7-9ABF-2116D19F9C3E}"/>
            </c:ext>
          </c:extLst>
        </c:ser>
        <c:ser>
          <c:idx val="3"/>
          <c:order val="3"/>
          <c:tx>
            <c:strRef>
              <c:f>'figures 2050'!$I$60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2050'!$J$60:$AP$60</c:f>
              <c:numCache>
                <c:formatCode>0.0</c:formatCode>
                <c:ptCount val="33"/>
                <c:pt idx="0">
                  <c:v>2.7330000000000001</c:v>
                </c:pt>
                <c:pt idx="1">
                  <c:v>2.7629999999999999</c:v>
                </c:pt>
                <c:pt idx="2">
                  <c:v>2.782</c:v>
                </c:pt>
                <c:pt idx="3">
                  <c:v>2.8</c:v>
                </c:pt>
                <c:pt idx="4">
                  <c:v>2.82</c:v>
                </c:pt>
                <c:pt idx="5">
                  <c:v>2.84</c:v>
                </c:pt>
                <c:pt idx="6">
                  <c:v>2.86</c:v>
                </c:pt>
                <c:pt idx="7">
                  <c:v>2.8759999999999999</c:v>
                </c:pt>
                <c:pt idx="8">
                  <c:v>2.8929999999999998</c:v>
                </c:pt>
                <c:pt idx="9">
                  <c:v>2.91</c:v>
                </c:pt>
                <c:pt idx="10">
                  <c:v>2.927</c:v>
                </c:pt>
                <c:pt idx="11">
                  <c:v>2.944</c:v>
                </c:pt>
                <c:pt idx="12">
                  <c:v>2.9620000000000002</c:v>
                </c:pt>
                <c:pt idx="13">
                  <c:v>2.9750000000000001</c:v>
                </c:pt>
                <c:pt idx="14">
                  <c:v>2.988</c:v>
                </c:pt>
                <c:pt idx="15">
                  <c:v>3.0019999999999998</c:v>
                </c:pt>
                <c:pt idx="16">
                  <c:v>3.0139999999999998</c:v>
                </c:pt>
                <c:pt idx="17">
                  <c:v>3.024</c:v>
                </c:pt>
                <c:pt idx="18">
                  <c:v>3.0310000000000001</c:v>
                </c:pt>
                <c:pt idx="19">
                  <c:v>3.0390000000000001</c:v>
                </c:pt>
                <c:pt idx="20">
                  <c:v>3.0449999999999999</c:v>
                </c:pt>
                <c:pt idx="21">
                  <c:v>3.0449999999999999</c:v>
                </c:pt>
                <c:pt idx="22">
                  <c:v>3.0449999999999999</c:v>
                </c:pt>
                <c:pt idx="23">
                  <c:v>3.0449999999999999</c:v>
                </c:pt>
                <c:pt idx="24">
                  <c:v>3.044</c:v>
                </c:pt>
                <c:pt idx="25">
                  <c:v>3.0430000000000001</c:v>
                </c:pt>
                <c:pt idx="26">
                  <c:v>3.0419999999999998</c:v>
                </c:pt>
                <c:pt idx="27">
                  <c:v>3.0390000000000001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87-4BB7-9ABF-2116D19F9C3E}"/>
            </c:ext>
          </c:extLst>
        </c:ser>
        <c:ser>
          <c:idx val="4"/>
          <c:order val="4"/>
          <c:tx>
            <c:strRef>
              <c:f>'figures 2050'!$I$61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2050'!$J$61:$AP$61</c:f>
              <c:numCache>
                <c:formatCode>0.0</c:formatCode>
                <c:ptCount val="33"/>
                <c:pt idx="0">
                  <c:v>11.808999999999999</c:v>
                </c:pt>
                <c:pt idx="1">
                  <c:v>11.673999999999999</c:v>
                </c:pt>
                <c:pt idx="2">
                  <c:v>11.648</c:v>
                </c:pt>
                <c:pt idx="3">
                  <c:v>11.49</c:v>
                </c:pt>
                <c:pt idx="4">
                  <c:v>11.327999999999999</c:v>
                </c:pt>
                <c:pt idx="5">
                  <c:v>11.067</c:v>
                </c:pt>
                <c:pt idx="6">
                  <c:v>10.695</c:v>
                </c:pt>
                <c:pt idx="7">
                  <c:v>10.223000000000001</c:v>
                </c:pt>
                <c:pt idx="8">
                  <c:v>9.8780000000000001</c:v>
                </c:pt>
                <c:pt idx="9">
                  <c:v>9.4220000000000006</c:v>
                </c:pt>
                <c:pt idx="10">
                  <c:v>8.9879999999999995</c:v>
                </c:pt>
                <c:pt idx="11">
                  <c:v>8.5860000000000003</c:v>
                </c:pt>
                <c:pt idx="12">
                  <c:v>8.2080000000000002</c:v>
                </c:pt>
                <c:pt idx="13">
                  <c:v>7.7720000000000002</c:v>
                </c:pt>
                <c:pt idx="14">
                  <c:v>7.3810000000000002</c:v>
                </c:pt>
                <c:pt idx="15">
                  <c:v>7.01</c:v>
                </c:pt>
                <c:pt idx="16">
                  <c:v>6.7350000000000003</c:v>
                </c:pt>
                <c:pt idx="17">
                  <c:v>6.4119999999999999</c:v>
                </c:pt>
                <c:pt idx="18">
                  <c:v>6.1360000000000001</c:v>
                </c:pt>
                <c:pt idx="19">
                  <c:v>5.8620000000000001</c:v>
                </c:pt>
                <c:pt idx="20">
                  <c:v>5.6280000000000001</c:v>
                </c:pt>
                <c:pt idx="21">
                  <c:v>5.4329999999999998</c:v>
                </c:pt>
                <c:pt idx="22">
                  <c:v>5.28</c:v>
                </c:pt>
                <c:pt idx="23">
                  <c:v>5.0750000000000002</c:v>
                </c:pt>
                <c:pt idx="24">
                  <c:v>4.915</c:v>
                </c:pt>
                <c:pt idx="25">
                  <c:v>4.7439999999999998</c:v>
                </c:pt>
                <c:pt idx="26">
                  <c:v>4.5590000000000002</c:v>
                </c:pt>
                <c:pt idx="27">
                  <c:v>4.3620000000000001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87-4BB7-9ABF-2116D19F9C3E}"/>
            </c:ext>
          </c:extLst>
        </c:ser>
        <c:ser>
          <c:idx val="2"/>
          <c:order val="5"/>
          <c:tx>
            <c:strRef>
              <c:f>'figures 2050'!$I$59</c:f>
              <c:strCache>
                <c:ptCount val="1"/>
                <c:pt idx="0">
                  <c:v>Fioul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'figures 2050'!$J$1:$AP$1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'figures 2050'!$J$59:$AP$59</c:f>
              <c:numCache>
                <c:formatCode>0.0</c:formatCode>
                <c:ptCount val="33"/>
                <c:pt idx="0">
                  <c:v>3.0489999999999999</c:v>
                </c:pt>
                <c:pt idx="1">
                  <c:v>2.7879999999999998</c:v>
                </c:pt>
                <c:pt idx="2">
                  <c:v>2.528</c:v>
                </c:pt>
                <c:pt idx="3">
                  <c:v>2.27</c:v>
                </c:pt>
                <c:pt idx="4">
                  <c:v>2.0129999999999999</c:v>
                </c:pt>
                <c:pt idx="5">
                  <c:v>1.758</c:v>
                </c:pt>
                <c:pt idx="6">
                  <c:v>1.504</c:v>
                </c:pt>
                <c:pt idx="7">
                  <c:v>1.2509999999999999</c:v>
                </c:pt>
                <c:pt idx="8">
                  <c:v>0.999</c:v>
                </c:pt>
                <c:pt idx="9">
                  <c:v>0.748</c:v>
                </c:pt>
                <c:pt idx="10">
                  <c:v>0.497</c:v>
                </c:pt>
                <c:pt idx="11">
                  <c:v>0.248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87-4BB7-9ABF-2116D19F9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60816"/>
        <c:axId val="2026353744"/>
      </c:areaChart>
      <c:catAx>
        <c:axId val="202636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3744"/>
        <c:crosses val="autoZero"/>
        <c:auto val="1"/>
        <c:lblAlgn val="ctr"/>
        <c:lblOffset val="100"/>
        <c:noMultiLvlLbl val="0"/>
      </c:catAx>
      <c:valAx>
        <c:axId val="20263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6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133188283378686E-2"/>
          <c:y val="0.86848748951492472"/>
          <c:w val="0.83499185282848509"/>
          <c:h val="0.11307538543558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du parc privé en fonction du nombre de sauts de classe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'figures 2050'!$I$73</c:f>
              <c:strCache>
                <c:ptCount val="1"/>
                <c:pt idx="0">
                  <c:v>1 classe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2050'!$K$73:$AP$73</c:f>
              <c:numCache>
                <c:formatCode>0.0</c:formatCode>
                <c:ptCount val="32"/>
                <c:pt idx="0">
                  <c:v>385.95299999999997</c:v>
                </c:pt>
                <c:pt idx="1">
                  <c:v>333.73599999999999</c:v>
                </c:pt>
                <c:pt idx="2">
                  <c:v>470.83</c:v>
                </c:pt>
                <c:pt idx="3">
                  <c:v>468.452</c:v>
                </c:pt>
                <c:pt idx="4">
                  <c:v>549.61</c:v>
                </c:pt>
                <c:pt idx="5">
                  <c:v>624.923</c:v>
                </c:pt>
                <c:pt idx="6">
                  <c:v>694.25400000000002</c:v>
                </c:pt>
                <c:pt idx="7">
                  <c:v>754.02700000000004</c:v>
                </c:pt>
                <c:pt idx="8">
                  <c:v>801.86900000000003</c:v>
                </c:pt>
                <c:pt idx="9">
                  <c:v>753.399</c:v>
                </c:pt>
                <c:pt idx="10">
                  <c:v>713.75400000000002</c:v>
                </c:pt>
                <c:pt idx="11">
                  <c:v>668.20299999999997</c:v>
                </c:pt>
                <c:pt idx="12">
                  <c:v>599.50300000000004</c:v>
                </c:pt>
                <c:pt idx="13">
                  <c:v>698.79</c:v>
                </c:pt>
                <c:pt idx="14">
                  <c:v>634.58000000000004</c:v>
                </c:pt>
                <c:pt idx="15">
                  <c:v>544.91300000000001</c:v>
                </c:pt>
                <c:pt idx="16">
                  <c:v>621.20899999999995</c:v>
                </c:pt>
                <c:pt idx="17">
                  <c:v>514.50800000000004</c:v>
                </c:pt>
                <c:pt idx="18">
                  <c:v>489.74099999999999</c:v>
                </c:pt>
                <c:pt idx="19">
                  <c:v>428.56200000000001</c:v>
                </c:pt>
                <c:pt idx="20">
                  <c:v>358.36</c:v>
                </c:pt>
                <c:pt idx="21">
                  <c:v>335.13400000000001</c:v>
                </c:pt>
                <c:pt idx="22">
                  <c:v>345.25099999999998</c:v>
                </c:pt>
                <c:pt idx="23">
                  <c:v>310.822</c:v>
                </c:pt>
                <c:pt idx="24">
                  <c:v>301.54300000000001</c:v>
                </c:pt>
                <c:pt idx="25">
                  <c:v>294.68299999999999</c:v>
                </c:pt>
                <c:pt idx="26">
                  <c:v>287.11099999999999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3-4AE8-89E2-4DF66E51EDC2}"/>
            </c:ext>
          </c:extLst>
        </c:ser>
        <c:ser>
          <c:idx val="4"/>
          <c:order val="1"/>
          <c:tx>
            <c:strRef>
              <c:f>'figures 2050'!$I$72</c:f>
              <c:strCache>
                <c:ptCount val="1"/>
                <c:pt idx="0">
                  <c:v>2 classes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2050'!$K$72:$AP$72</c:f>
              <c:numCache>
                <c:formatCode>0.0</c:formatCode>
                <c:ptCount val="32"/>
                <c:pt idx="0">
                  <c:v>354.06599999999997</c:v>
                </c:pt>
                <c:pt idx="1">
                  <c:v>275.01600000000002</c:v>
                </c:pt>
                <c:pt idx="2">
                  <c:v>332.51100000000002</c:v>
                </c:pt>
                <c:pt idx="3">
                  <c:v>348.66500000000002</c:v>
                </c:pt>
                <c:pt idx="4">
                  <c:v>341.08800000000002</c:v>
                </c:pt>
                <c:pt idx="5">
                  <c:v>331.27100000000002</c:v>
                </c:pt>
                <c:pt idx="6">
                  <c:v>362.798</c:v>
                </c:pt>
                <c:pt idx="7">
                  <c:v>439.12200000000001</c:v>
                </c:pt>
                <c:pt idx="8">
                  <c:v>422.20699999999999</c:v>
                </c:pt>
                <c:pt idx="9">
                  <c:v>417.22699999999998</c:v>
                </c:pt>
                <c:pt idx="10">
                  <c:v>412.24</c:v>
                </c:pt>
                <c:pt idx="11">
                  <c:v>408.51</c:v>
                </c:pt>
                <c:pt idx="12">
                  <c:v>308.73700000000002</c:v>
                </c:pt>
                <c:pt idx="13">
                  <c:v>326.73099999999999</c:v>
                </c:pt>
                <c:pt idx="14">
                  <c:v>325.14</c:v>
                </c:pt>
                <c:pt idx="15">
                  <c:v>301.05599999999998</c:v>
                </c:pt>
                <c:pt idx="16">
                  <c:v>372.75299999999999</c:v>
                </c:pt>
                <c:pt idx="17">
                  <c:v>289.50299999999999</c:v>
                </c:pt>
                <c:pt idx="18">
                  <c:v>282.084</c:v>
                </c:pt>
                <c:pt idx="19">
                  <c:v>255.803</c:v>
                </c:pt>
                <c:pt idx="20">
                  <c:v>119.97</c:v>
                </c:pt>
                <c:pt idx="21">
                  <c:v>125.964</c:v>
                </c:pt>
                <c:pt idx="22">
                  <c:v>127.764</c:v>
                </c:pt>
                <c:pt idx="23">
                  <c:v>116.226</c:v>
                </c:pt>
                <c:pt idx="24">
                  <c:v>109.31</c:v>
                </c:pt>
                <c:pt idx="25">
                  <c:v>102.51300000000001</c:v>
                </c:pt>
                <c:pt idx="26">
                  <c:v>95.671999999999997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3-4AE8-89E2-4DF66E51EDC2}"/>
            </c:ext>
          </c:extLst>
        </c:ser>
        <c:ser>
          <c:idx val="3"/>
          <c:order val="2"/>
          <c:tx>
            <c:strRef>
              <c:f>'figures 2050'!$I$71</c:f>
              <c:strCache>
                <c:ptCount val="1"/>
                <c:pt idx="0">
                  <c:v>3 classes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2050'!$K$71:$AP$71</c:f>
              <c:numCache>
                <c:formatCode>0.0</c:formatCode>
                <c:ptCount val="32"/>
                <c:pt idx="0">
                  <c:v>251.61500000000001</c:v>
                </c:pt>
                <c:pt idx="1">
                  <c:v>184.15899999999999</c:v>
                </c:pt>
                <c:pt idx="2">
                  <c:v>210.072</c:v>
                </c:pt>
                <c:pt idx="3">
                  <c:v>221.142</c:v>
                </c:pt>
                <c:pt idx="4">
                  <c:v>192.73400000000001</c:v>
                </c:pt>
                <c:pt idx="5">
                  <c:v>166.14699999999999</c:v>
                </c:pt>
                <c:pt idx="6">
                  <c:v>168.64699999999999</c:v>
                </c:pt>
                <c:pt idx="7">
                  <c:v>168.32599999999999</c:v>
                </c:pt>
                <c:pt idx="8">
                  <c:v>156.03399999999999</c:v>
                </c:pt>
                <c:pt idx="9">
                  <c:v>144.17099999999999</c:v>
                </c:pt>
                <c:pt idx="10">
                  <c:v>132.35599999999999</c:v>
                </c:pt>
                <c:pt idx="11">
                  <c:v>122.339</c:v>
                </c:pt>
                <c:pt idx="12">
                  <c:v>83.052999999999997</c:v>
                </c:pt>
                <c:pt idx="13">
                  <c:v>78.012</c:v>
                </c:pt>
                <c:pt idx="14">
                  <c:v>72.119</c:v>
                </c:pt>
                <c:pt idx="15">
                  <c:v>66.459999999999994</c:v>
                </c:pt>
                <c:pt idx="16">
                  <c:v>75.507000000000005</c:v>
                </c:pt>
                <c:pt idx="17">
                  <c:v>52.606999999999999</c:v>
                </c:pt>
                <c:pt idx="18">
                  <c:v>47.72</c:v>
                </c:pt>
                <c:pt idx="19">
                  <c:v>42.865000000000002</c:v>
                </c:pt>
                <c:pt idx="20">
                  <c:v>15.28</c:v>
                </c:pt>
                <c:pt idx="21">
                  <c:v>17.327999999999999</c:v>
                </c:pt>
                <c:pt idx="22">
                  <c:v>13.885</c:v>
                </c:pt>
                <c:pt idx="23">
                  <c:v>12.832000000000001</c:v>
                </c:pt>
                <c:pt idx="24">
                  <c:v>10.260999999999999</c:v>
                </c:pt>
                <c:pt idx="25">
                  <c:v>7.8470000000000004</c:v>
                </c:pt>
                <c:pt idx="26">
                  <c:v>5.6710000000000003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3-4AE8-89E2-4DF66E51EDC2}"/>
            </c:ext>
          </c:extLst>
        </c:ser>
        <c:ser>
          <c:idx val="2"/>
          <c:order val="3"/>
          <c:tx>
            <c:strRef>
              <c:f>'figures 2050'!$I$70</c:f>
              <c:strCache>
                <c:ptCount val="1"/>
                <c:pt idx="0">
                  <c:v>4 classes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2050'!$K$70:$AP$70</c:f>
              <c:numCache>
                <c:formatCode>0.0</c:formatCode>
                <c:ptCount val="32"/>
                <c:pt idx="0">
                  <c:v>61.33</c:v>
                </c:pt>
                <c:pt idx="1">
                  <c:v>40.121000000000002</c:v>
                </c:pt>
                <c:pt idx="2">
                  <c:v>29.405000000000001</c:v>
                </c:pt>
                <c:pt idx="3">
                  <c:v>29.236999999999998</c:v>
                </c:pt>
                <c:pt idx="4">
                  <c:v>22.59</c:v>
                </c:pt>
                <c:pt idx="5">
                  <c:v>17.082999999999998</c:v>
                </c:pt>
                <c:pt idx="6">
                  <c:v>13.109</c:v>
                </c:pt>
                <c:pt idx="7">
                  <c:v>12.311</c:v>
                </c:pt>
                <c:pt idx="8">
                  <c:v>9.9390000000000001</c:v>
                </c:pt>
                <c:pt idx="9">
                  <c:v>8.3919999999999995</c:v>
                </c:pt>
                <c:pt idx="10">
                  <c:v>7.2089999999999996</c:v>
                </c:pt>
                <c:pt idx="11">
                  <c:v>6.1890000000000001</c:v>
                </c:pt>
                <c:pt idx="12">
                  <c:v>5.15</c:v>
                </c:pt>
                <c:pt idx="13">
                  <c:v>4.6310000000000002</c:v>
                </c:pt>
                <c:pt idx="14">
                  <c:v>4.04</c:v>
                </c:pt>
                <c:pt idx="15">
                  <c:v>3.5059999999999998</c:v>
                </c:pt>
                <c:pt idx="16">
                  <c:v>3.0739999999999998</c:v>
                </c:pt>
                <c:pt idx="17">
                  <c:v>2.468</c:v>
                </c:pt>
                <c:pt idx="18">
                  <c:v>2.0449999999999999</c:v>
                </c:pt>
                <c:pt idx="19">
                  <c:v>1.6719999999999999</c:v>
                </c:pt>
                <c:pt idx="20">
                  <c:v>0.78300000000000003</c:v>
                </c:pt>
                <c:pt idx="21">
                  <c:v>0.72599999999999998</c:v>
                </c:pt>
                <c:pt idx="22">
                  <c:v>0.56200000000000006</c:v>
                </c:pt>
                <c:pt idx="23">
                  <c:v>0.45800000000000002</c:v>
                </c:pt>
                <c:pt idx="24">
                  <c:v>0.34200000000000003</c:v>
                </c:pt>
                <c:pt idx="25">
                  <c:v>0.245</c:v>
                </c:pt>
                <c:pt idx="26">
                  <c:v>0.159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3-4AE8-89E2-4DF66E51EDC2}"/>
            </c:ext>
          </c:extLst>
        </c:ser>
        <c:ser>
          <c:idx val="1"/>
          <c:order val="4"/>
          <c:tx>
            <c:strRef>
              <c:f>'figures 2050'!$I$69</c:f>
              <c:strCache>
                <c:ptCount val="1"/>
                <c:pt idx="0">
                  <c:v>5 classes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2050'!$K$69:$AP$69</c:f>
              <c:numCache>
                <c:formatCode>0.0</c:formatCode>
                <c:ptCount val="32"/>
                <c:pt idx="0">
                  <c:v>0.77300000000000002</c:v>
                </c:pt>
                <c:pt idx="1">
                  <c:v>0.31</c:v>
                </c:pt>
                <c:pt idx="2">
                  <c:v>0.24099999999999999</c:v>
                </c:pt>
                <c:pt idx="3">
                  <c:v>0.27900000000000003</c:v>
                </c:pt>
                <c:pt idx="4">
                  <c:v>0.23</c:v>
                </c:pt>
                <c:pt idx="5">
                  <c:v>0.182</c:v>
                </c:pt>
                <c:pt idx="6">
                  <c:v>0.16</c:v>
                </c:pt>
                <c:pt idx="7">
                  <c:v>0.14299999999999999</c:v>
                </c:pt>
                <c:pt idx="8">
                  <c:v>0.14199999999999999</c:v>
                </c:pt>
                <c:pt idx="9">
                  <c:v>0.125</c:v>
                </c:pt>
                <c:pt idx="10">
                  <c:v>0.11</c:v>
                </c:pt>
                <c:pt idx="11">
                  <c:v>9.7000000000000003E-2</c:v>
                </c:pt>
                <c:pt idx="12">
                  <c:v>6.4000000000000001E-2</c:v>
                </c:pt>
                <c:pt idx="13">
                  <c:v>5.7000000000000002E-2</c:v>
                </c:pt>
                <c:pt idx="14">
                  <c:v>0.05</c:v>
                </c:pt>
                <c:pt idx="15">
                  <c:v>4.3999999999999997E-2</c:v>
                </c:pt>
                <c:pt idx="16">
                  <c:v>3.7999999999999999E-2</c:v>
                </c:pt>
                <c:pt idx="17">
                  <c:v>3.3000000000000002E-2</c:v>
                </c:pt>
                <c:pt idx="18">
                  <c:v>2.8000000000000001E-2</c:v>
                </c:pt>
                <c:pt idx="19">
                  <c:v>2.4E-2</c:v>
                </c:pt>
                <c:pt idx="20">
                  <c:v>1.9E-2</c:v>
                </c:pt>
                <c:pt idx="21">
                  <c:v>1.6E-2</c:v>
                </c:pt>
                <c:pt idx="22">
                  <c:v>1.2999999999999999E-2</c:v>
                </c:pt>
                <c:pt idx="23">
                  <c:v>1.0999999999999999E-2</c:v>
                </c:pt>
                <c:pt idx="24">
                  <c:v>8.0000000000000002E-3</c:v>
                </c:pt>
                <c:pt idx="25">
                  <c:v>6.0000000000000001E-3</c:v>
                </c:pt>
                <c:pt idx="26">
                  <c:v>4.0000000000000001E-3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3-4AE8-89E2-4DF66E51EDC2}"/>
            </c:ext>
          </c:extLst>
        </c:ser>
        <c:ser>
          <c:idx val="0"/>
          <c:order val="5"/>
          <c:tx>
            <c:strRef>
              <c:f>'figures 2050'!$I$68</c:f>
              <c:strCache>
                <c:ptCount val="1"/>
                <c:pt idx="0">
                  <c:v>6 classes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2050'!$K$68:$AP$68</c:f>
              <c:numCache>
                <c:formatCode>0.0</c:formatCode>
                <c:ptCount val="32"/>
                <c:pt idx="0">
                  <c:v>5.8999999999999997E-2</c:v>
                </c:pt>
                <c:pt idx="1">
                  <c:v>1.4E-2</c:v>
                </c:pt>
                <c:pt idx="2">
                  <c:v>6.0000000000000001E-3</c:v>
                </c:pt>
                <c:pt idx="3">
                  <c:v>3.0000000000000001E-3</c:v>
                </c:pt>
                <c:pt idx="4">
                  <c:v>2E-3</c:v>
                </c:pt>
                <c:pt idx="5">
                  <c:v>2E-3</c:v>
                </c:pt>
                <c:pt idx="6">
                  <c:v>1E-3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C3-4AE8-89E2-4DF66E51E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484192"/>
        <c:axId val="2022484608"/>
      </c:areaChart>
      <c:catAx>
        <c:axId val="20224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608"/>
        <c:crosses val="autoZero"/>
        <c:auto val="1"/>
        <c:lblAlgn val="ctr"/>
        <c:lblOffset val="100"/>
        <c:noMultiLvlLbl val="0"/>
      </c:catAx>
      <c:valAx>
        <c:axId val="2022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par type de logement</a:t>
            </a:r>
          </a:p>
        </c:rich>
      </c:tx>
      <c:layout>
        <c:manualLayout>
          <c:xMode val="edge"/>
          <c:yMode val="edge"/>
          <c:x val="0.12182728959860732"/>
          <c:y val="1.18943454328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'figures 2050'!$I$83</c:f>
              <c:strCache>
                <c:ptCount val="1"/>
                <c:pt idx="0">
                  <c:v>PB social en copropriété</c:v>
                </c:pt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2050'!$K$83:$AP$83</c:f>
              <c:numCache>
                <c:formatCode>0.0</c:formatCode>
                <c:ptCount val="32"/>
                <c:pt idx="0">
                  <c:v>15.24</c:v>
                </c:pt>
                <c:pt idx="1">
                  <c:v>61.817999999999998</c:v>
                </c:pt>
                <c:pt idx="2">
                  <c:v>139.63300000000001</c:v>
                </c:pt>
                <c:pt idx="3">
                  <c:v>181.31</c:v>
                </c:pt>
                <c:pt idx="4">
                  <c:v>224.56700000000001</c:v>
                </c:pt>
                <c:pt idx="5">
                  <c:v>234.96600000000001</c:v>
                </c:pt>
                <c:pt idx="6">
                  <c:v>238.434</c:v>
                </c:pt>
                <c:pt idx="7">
                  <c:v>253.65299999999999</c:v>
                </c:pt>
                <c:pt idx="8">
                  <c:v>245.87799999999999</c:v>
                </c:pt>
                <c:pt idx="9">
                  <c:v>265.50299999999999</c:v>
                </c:pt>
                <c:pt idx="10">
                  <c:v>311.76100000000002</c:v>
                </c:pt>
                <c:pt idx="11">
                  <c:v>325.79500000000002</c:v>
                </c:pt>
                <c:pt idx="12">
                  <c:v>298.59800000000001</c:v>
                </c:pt>
                <c:pt idx="13">
                  <c:v>256.43900000000002</c:v>
                </c:pt>
                <c:pt idx="14">
                  <c:v>275.69400000000002</c:v>
                </c:pt>
                <c:pt idx="15">
                  <c:v>321.87200000000001</c:v>
                </c:pt>
                <c:pt idx="16">
                  <c:v>335.75700000000001</c:v>
                </c:pt>
                <c:pt idx="17">
                  <c:v>336.935</c:v>
                </c:pt>
                <c:pt idx="18">
                  <c:v>346.87099999999998</c:v>
                </c:pt>
                <c:pt idx="19">
                  <c:v>310.096</c:v>
                </c:pt>
                <c:pt idx="20">
                  <c:v>344.03</c:v>
                </c:pt>
                <c:pt idx="21">
                  <c:v>327.65100000000001</c:v>
                </c:pt>
                <c:pt idx="22">
                  <c:v>313.464</c:v>
                </c:pt>
                <c:pt idx="23">
                  <c:v>299.41899999999998</c:v>
                </c:pt>
                <c:pt idx="24">
                  <c:v>286.48099999999999</c:v>
                </c:pt>
                <c:pt idx="25">
                  <c:v>274.02999999999997</c:v>
                </c:pt>
                <c:pt idx="26">
                  <c:v>261.98399999999998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B2-4C06-AEE9-0245C81FBD34}"/>
            </c:ext>
          </c:extLst>
        </c:ser>
        <c:ser>
          <c:idx val="3"/>
          <c:order val="1"/>
          <c:tx>
            <c:strRef>
              <c:f>'figures 2050'!$I$84</c:f>
              <c:strCache>
                <c:ptCount val="1"/>
                <c:pt idx="0">
                  <c:v>PO en maison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2050'!$K$84:$AP$84</c:f>
              <c:numCache>
                <c:formatCode>0.0</c:formatCode>
                <c:ptCount val="32"/>
                <c:pt idx="0">
                  <c:v>373.90800000000002</c:v>
                </c:pt>
                <c:pt idx="1">
                  <c:v>194.506</c:v>
                </c:pt>
                <c:pt idx="2">
                  <c:v>207.952</c:v>
                </c:pt>
                <c:pt idx="3">
                  <c:v>230.08699999999999</c:v>
                </c:pt>
                <c:pt idx="4">
                  <c:v>222.751</c:v>
                </c:pt>
                <c:pt idx="5">
                  <c:v>216.001</c:v>
                </c:pt>
                <c:pt idx="6">
                  <c:v>266.178</c:v>
                </c:pt>
                <c:pt idx="7">
                  <c:v>254.64</c:v>
                </c:pt>
                <c:pt idx="8">
                  <c:v>255.42400000000001</c:v>
                </c:pt>
                <c:pt idx="9">
                  <c:v>242.626</c:v>
                </c:pt>
                <c:pt idx="10">
                  <c:v>230.38900000000001</c:v>
                </c:pt>
                <c:pt idx="11">
                  <c:v>218.739</c:v>
                </c:pt>
                <c:pt idx="12">
                  <c:v>225.44300000000001</c:v>
                </c:pt>
                <c:pt idx="13">
                  <c:v>215.86500000000001</c:v>
                </c:pt>
                <c:pt idx="14">
                  <c:v>206.59899999999999</c:v>
                </c:pt>
                <c:pt idx="15">
                  <c:v>198.05600000000001</c:v>
                </c:pt>
                <c:pt idx="16">
                  <c:v>409.33600000000001</c:v>
                </c:pt>
                <c:pt idx="17">
                  <c:v>345.072</c:v>
                </c:pt>
                <c:pt idx="18">
                  <c:v>330.66</c:v>
                </c:pt>
                <c:pt idx="19">
                  <c:v>317.29500000000002</c:v>
                </c:pt>
                <c:pt idx="20">
                  <c:v>308.51400000000001</c:v>
                </c:pt>
                <c:pt idx="21">
                  <c:v>300.96300000000002</c:v>
                </c:pt>
                <c:pt idx="22">
                  <c:v>292.709</c:v>
                </c:pt>
                <c:pt idx="23">
                  <c:v>285.11500000000001</c:v>
                </c:pt>
                <c:pt idx="24">
                  <c:v>277.81700000000001</c:v>
                </c:pt>
                <c:pt idx="25">
                  <c:v>270.64800000000002</c:v>
                </c:pt>
                <c:pt idx="26">
                  <c:v>265.262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2-4C06-AEE9-0245C81FBD34}"/>
            </c:ext>
          </c:extLst>
        </c:ser>
        <c:ser>
          <c:idx val="4"/>
          <c:order val="2"/>
          <c:tx>
            <c:strRef>
              <c:f>'figures 2050'!$I$85</c:f>
              <c:strCache>
                <c:ptCount val="1"/>
                <c:pt idx="0">
                  <c:v>PB en maison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2050'!$K$85:$AP$85</c:f>
              <c:numCache>
                <c:formatCode>0.0</c:formatCode>
                <c:ptCount val="32"/>
                <c:pt idx="0">
                  <c:v>54.747</c:v>
                </c:pt>
                <c:pt idx="1">
                  <c:v>37.575000000000003</c:v>
                </c:pt>
                <c:pt idx="2">
                  <c:v>88.86</c:v>
                </c:pt>
                <c:pt idx="3">
                  <c:v>71.555999999999997</c:v>
                </c:pt>
                <c:pt idx="4">
                  <c:v>57.828000000000003</c:v>
                </c:pt>
                <c:pt idx="5">
                  <c:v>47.110999999999997</c:v>
                </c:pt>
                <c:pt idx="6">
                  <c:v>38.75</c:v>
                </c:pt>
                <c:pt idx="7">
                  <c:v>66.132000000000005</c:v>
                </c:pt>
                <c:pt idx="8">
                  <c:v>52.555999999999997</c:v>
                </c:pt>
                <c:pt idx="9">
                  <c:v>41.511000000000003</c:v>
                </c:pt>
                <c:pt idx="10">
                  <c:v>33.067</c:v>
                </c:pt>
                <c:pt idx="11">
                  <c:v>26.641999999999999</c:v>
                </c:pt>
                <c:pt idx="12">
                  <c:v>22.704000000000001</c:v>
                </c:pt>
                <c:pt idx="13">
                  <c:v>184.874</c:v>
                </c:pt>
                <c:pt idx="14">
                  <c:v>170.62299999999999</c:v>
                </c:pt>
                <c:pt idx="15">
                  <c:v>157.56100000000001</c:v>
                </c:pt>
                <c:pt idx="16">
                  <c:v>145.81800000000001</c:v>
                </c:pt>
                <c:pt idx="17">
                  <c:v>131.06100000000001</c:v>
                </c:pt>
                <c:pt idx="18">
                  <c:v>119.761</c:v>
                </c:pt>
                <c:pt idx="19">
                  <c:v>109.343</c:v>
                </c:pt>
                <c:pt idx="20">
                  <c:v>103.152</c:v>
                </c:pt>
                <c:pt idx="21">
                  <c:v>97.028000000000006</c:v>
                </c:pt>
                <c:pt idx="22">
                  <c:v>91.126999999999995</c:v>
                </c:pt>
                <c:pt idx="23">
                  <c:v>85.679000000000002</c:v>
                </c:pt>
                <c:pt idx="24">
                  <c:v>80.64</c:v>
                </c:pt>
                <c:pt idx="25">
                  <c:v>76.004999999999995</c:v>
                </c:pt>
                <c:pt idx="26">
                  <c:v>71.778999999999996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B2-4C06-AEE9-0245C81FBD34}"/>
            </c:ext>
          </c:extLst>
        </c:ser>
        <c:ser>
          <c:idx val="5"/>
          <c:order val="3"/>
          <c:tx>
            <c:strRef>
              <c:f>'figures 2050'!$I$86</c:f>
              <c:strCache>
                <c:ptCount val="1"/>
                <c:pt idx="0">
                  <c:v>PB social en maison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2050'!$K$86:$AP$86</c:f>
              <c:numCache>
                <c:formatCode>0.0</c:formatCode>
                <c:ptCount val="32"/>
                <c:pt idx="0">
                  <c:v>14.484</c:v>
                </c:pt>
                <c:pt idx="1">
                  <c:v>29.827999999999999</c:v>
                </c:pt>
                <c:pt idx="2">
                  <c:v>47.03</c:v>
                </c:pt>
                <c:pt idx="3">
                  <c:v>59.106000000000002</c:v>
                </c:pt>
                <c:pt idx="4">
                  <c:v>61.26</c:v>
                </c:pt>
                <c:pt idx="5">
                  <c:v>56.506999999999998</c:v>
                </c:pt>
                <c:pt idx="6">
                  <c:v>61.023000000000003</c:v>
                </c:pt>
                <c:pt idx="7">
                  <c:v>68.090999999999994</c:v>
                </c:pt>
                <c:pt idx="8">
                  <c:v>75.900000000000006</c:v>
                </c:pt>
                <c:pt idx="9">
                  <c:v>89.632999999999996</c:v>
                </c:pt>
                <c:pt idx="10">
                  <c:v>108.262</c:v>
                </c:pt>
                <c:pt idx="11">
                  <c:v>100.738</c:v>
                </c:pt>
                <c:pt idx="12">
                  <c:v>105.217</c:v>
                </c:pt>
                <c:pt idx="13">
                  <c:v>94.891999999999996</c:v>
                </c:pt>
                <c:pt idx="14">
                  <c:v>90.465999999999994</c:v>
                </c:pt>
                <c:pt idx="15">
                  <c:v>89.046000000000006</c:v>
                </c:pt>
                <c:pt idx="16">
                  <c:v>85.248999999999995</c:v>
                </c:pt>
                <c:pt idx="17">
                  <c:v>78.483999999999995</c:v>
                </c:pt>
                <c:pt idx="18">
                  <c:v>75.302000000000007</c:v>
                </c:pt>
                <c:pt idx="19">
                  <c:v>35.494999999999997</c:v>
                </c:pt>
                <c:pt idx="20">
                  <c:v>39.951999999999998</c:v>
                </c:pt>
                <c:pt idx="21">
                  <c:v>38.637</c:v>
                </c:pt>
                <c:pt idx="22">
                  <c:v>37.526000000000003</c:v>
                </c:pt>
                <c:pt idx="23">
                  <c:v>36.261000000000003</c:v>
                </c:pt>
                <c:pt idx="24">
                  <c:v>35.168999999999997</c:v>
                </c:pt>
                <c:pt idx="25">
                  <c:v>34.057000000000002</c:v>
                </c:pt>
                <c:pt idx="26">
                  <c:v>32.911999999999999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B2-4C06-AEE9-0245C81FBD34}"/>
            </c:ext>
          </c:extLst>
        </c:ser>
        <c:ser>
          <c:idx val="0"/>
          <c:order val="4"/>
          <c:tx>
            <c:strRef>
              <c:f>'figures 2050'!$I$81</c:f>
              <c:strCache>
                <c:ptCount val="1"/>
                <c:pt idx="0">
                  <c:v>PO en copropriété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2050'!$K$81:$AP$81</c:f>
              <c:numCache>
                <c:formatCode>0.0</c:formatCode>
                <c:ptCount val="32"/>
                <c:pt idx="0">
                  <c:v>66.858999999999995</c:v>
                </c:pt>
                <c:pt idx="1">
                  <c:v>51</c:v>
                </c:pt>
                <c:pt idx="2">
                  <c:v>50.872</c:v>
                </c:pt>
                <c:pt idx="3">
                  <c:v>55.295000000000002</c:v>
                </c:pt>
                <c:pt idx="4">
                  <c:v>54.615000000000002</c:v>
                </c:pt>
                <c:pt idx="5">
                  <c:v>53.884</c:v>
                </c:pt>
                <c:pt idx="6">
                  <c:v>57.445999999999998</c:v>
                </c:pt>
                <c:pt idx="7">
                  <c:v>56.115000000000002</c:v>
                </c:pt>
                <c:pt idx="8">
                  <c:v>58.914000000000001</c:v>
                </c:pt>
                <c:pt idx="9">
                  <c:v>57.405000000000001</c:v>
                </c:pt>
                <c:pt idx="10">
                  <c:v>55.917999999999999</c:v>
                </c:pt>
                <c:pt idx="11">
                  <c:v>54.484999999999999</c:v>
                </c:pt>
                <c:pt idx="12">
                  <c:v>88.685000000000002</c:v>
                </c:pt>
                <c:pt idx="13">
                  <c:v>84.069000000000003</c:v>
                </c:pt>
                <c:pt idx="14">
                  <c:v>79.451999999999998</c:v>
                </c:pt>
                <c:pt idx="15">
                  <c:v>75.293999999999997</c:v>
                </c:pt>
                <c:pt idx="16">
                  <c:v>145.47200000000001</c:v>
                </c:pt>
                <c:pt idx="17">
                  <c:v>98.551000000000002</c:v>
                </c:pt>
                <c:pt idx="18">
                  <c:v>93.180999999999997</c:v>
                </c:pt>
                <c:pt idx="19">
                  <c:v>88.131</c:v>
                </c:pt>
                <c:pt idx="20">
                  <c:v>84.212999999999994</c:v>
                </c:pt>
                <c:pt idx="21">
                  <c:v>80.578000000000003</c:v>
                </c:pt>
                <c:pt idx="22">
                  <c:v>76.763000000000005</c:v>
                </c:pt>
                <c:pt idx="23">
                  <c:v>73.182000000000002</c:v>
                </c:pt>
                <c:pt idx="24">
                  <c:v>69.727999999999994</c:v>
                </c:pt>
                <c:pt idx="25">
                  <c:v>66.388999999999996</c:v>
                </c:pt>
                <c:pt idx="26">
                  <c:v>63.03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B2-4C06-AEE9-0245C81FBD34}"/>
            </c:ext>
          </c:extLst>
        </c:ser>
        <c:ser>
          <c:idx val="1"/>
          <c:order val="5"/>
          <c:tx>
            <c:strRef>
              <c:f>'figures 2050'!$I$82</c:f>
              <c:strCache>
                <c:ptCount val="1"/>
                <c:pt idx="0">
                  <c:v>PB en copropriété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2050'!$K$82:$AP$82</c:f>
              <c:numCache>
                <c:formatCode>0.0</c:formatCode>
                <c:ptCount val="32"/>
                <c:pt idx="0">
                  <c:v>75.745999999999995</c:v>
                </c:pt>
                <c:pt idx="1">
                  <c:v>60.488</c:v>
                </c:pt>
                <c:pt idx="2">
                  <c:v>89.875</c:v>
                </c:pt>
                <c:pt idx="3">
                  <c:v>75.798000000000002</c:v>
                </c:pt>
                <c:pt idx="4">
                  <c:v>64.471999999999994</c:v>
                </c:pt>
                <c:pt idx="5">
                  <c:v>55.584000000000003</c:v>
                </c:pt>
                <c:pt idx="6">
                  <c:v>48.606000000000002</c:v>
                </c:pt>
                <c:pt idx="7">
                  <c:v>235.9</c:v>
                </c:pt>
                <c:pt idx="8">
                  <c:v>192.02699999999999</c:v>
                </c:pt>
                <c:pt idx="9">
                  <c:v>156.03399999999999</c:v>
                </c:pt>
                <c:pt idx="10">
                  <c:v>127.49</c:v>
                </c:pt>
                <c:pt idx="11">
                  <c:v>104.876</c:v>
                </c:pt>
                <c:pt idx="12">
                  <c:v>87.415999999999997</c:v>
                </c:pt>
                <c:pt idx="13">
                  <c:v>413.80099999999999</c:v>
                </c:pt>
                <c:pt idx="14">
                  <c:v>364.35</c:v>
                </c:pt>
                <c:pt idx="15">
                  <c:v>322.45999999999998</c:v>
                </c:pt>
                <c:pt idx="16">
                  <c:v>289.77800000000002</c:v>
                </c:pt>
                <c:pt idx="17">
                  <c:v>250.38</c:v>
                </c:pt>
                <c:pt idx="18">
                  <c:v>222.02500000000001</c:v>
                </c:pt>
                <c:pt idx="19">
                  <c:v>197.137</c:v>
                </c:pt>
                <c:pt idx="20">
                  <c:v>180.06700000000001</c:v>
                </c:pt>
                <c:pt idx="21">
                  <c:v>164.357</c:v>
                </c:pt>
                <c:pt idx="22">
                  <c:v>150.423</c:v>
                </c:pt>
                <c:pt idx="23">
                  <c:v>137.97</c:v>
                </c:pt>
                <c:pt idx="24">
                  <c:v>127.006</c:v>
                </c:pt>
                <c:pt idx="25">
                  <c:v>117.372</c:v>
                </c:pt>
                <c:pt idx="26">
                  <c:v>108.896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B2-4C06-AEE9-0245C81FB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57904"/>
        <c:axId val="2026354160"/>
      </c:areaChart>
      <c:catAx>
        <c:axId val="202635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4160"/>
        <c:crosses val="autoZero"/>
        <c:auto val="1"/>
        <c:lblAlgn val="ctr"/>
        <c:lblOffset val="100"/>
        <c:noMultiLvlLbl val="0"/>
      </c:catAx>
      <c:valAx>
        <c:axId val="20263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Aides à la rénovation énergétique (milliards d'euros)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'figures 2050'!$H$141</c:f>
              <c:strCache>
                <c:ptCount val="1"/>
                <c:pt idx="0">
                  <c:v>CEE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2050'!$N$1:$AP$1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'figures 2050'!$N$141:$AP$141</c:f>
              <c:numCache>
                <c:formatCode>0.0</c:formatCode>
                <c:ptCount val="29"/>
                <c:pt idx="0">
                  <c:v>1.3</c:v>
                </c:pt>
                <c:pt idx="1">
                  <c:v>2.6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7-4D30-BBCA-9BDAD49F96E8}"/>
            </c:ext>
          </c:extLst>
        </c:ser>
        <c:ser>
          <c:idx val="1"/>
          <c:order val="1"/>
          <c:tx>
            <c:strRef>
              <c:f>'figures 2050'!$H$142</c:f>
              <c:strCache>
                <c:ptCount val="1"/>
                <c:pt idx="0">
                  <c:v>MPR Efficacité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'figures 2050'!$N$1:$AP$1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'figures 2050'!$N$142:$AP$142</c:f>
              <c:numCache>
                <c:formatCode>0.0</c:formatCode>
                <c:ptCount val="29"/>
                <c:pt idx="0">
                  <c:v>2.4500000000000002</c:v>
                </c:pt>
                <c:pt idx="1">
                  <c:v>0.19679999999999989</c:v>
                </c:pt>
                <c:pt idx="2">
                  <c:v>0.29940000000000005</c:v>
                </c:pt>
                <c:pt idx="3">
                  <c:v>0.38879999999999976</c:v>
                </c:pt>
                <c:pt idx="4">
                  <c:v>0.23820000000000013</c:v>
                </c:pt>
                <c:pt idx="5">
                  <c:v>0.34319999999999978</c:v>
                </c:pt>
                <c:pt idx="6">
                  <c:v>0.30360000000000015</c:v>
                </c:pt>
                <c:pt idx="7">
                  <c:v>0.25499999999999989</c:v>
                </c:pt>
                <c:pt idx="8">
                  <c:v>0.21300000000000024</c:v>
                </c:pt>
                <c:pt idx="9">
                  <c:v>0.1758000000000001</c:v>
                </c:pt>
                <c:pt idx="10">
                  <c:v>0.11579999999999975</c:v>
                </c:pt>
                <c:pt idx="11">
                  <c:v>8.579999999999989E-2</c:v>
                </c:pt>
                <c:pt idx="12">
                  <c:v>5.5200000000000318E-2</c:v>
                </c:pt>
                <c:pt idx="13">
                  <c:v>5.9999999999966742E-4</c:v>
                </c:pt>
                <c:pt idx="14">
                  <c:v>1.8600000000000349E-2</c:v>
                </c:pt>
                <c:pt idx="15">
                  <c:v>1.7999999999999617E-2</c:v>
                </c:pt>
                <c:pt idx="16">
                  <c:v>1.8000000000000148E-2</c:v>
                </c:pt>
                <c:pt idx="17">
                  <c:v>1.739999999999995E-2</c:v>
                </c:pt>
                <c:pt idx="18">
                  <c:v>1.739999999999995E-2</c:v>
                </c:pt>
                <c:pt idx="19">
                  <c:v>1.680000000000028E-2</c:v>
                </c:pt>
                <c:pt idx="20">
                  <c:v>1.6799999999999749E-2</c:v>
                </c:pt>
                <c:pt idx="21">
                  <c:v>1.680000000000028E-2</c:v>
                </c:pt>
                <c:pt idx="22">
                  <c:v>1.6200000000000082E-2</c:v>
                </c:pt>
                <c:pt idx="23">
                  <c:v>1.499999999999968E-2</c:v>
                </c:pt>
                <c:pt idx="24">
                  <c:v>-4.0703999999999994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7-4D30-BBCA-9BDAD49F96E8}"/>
            </c:ext>
          </c:extLst>
        </c:ser>
        <c:ser>
          <c:idx val="3"/>
          <c:order val="2"/>
          <c:tx>
            <c:strRef>
              <c:f>'figures 2050'!$H$144</c:f>
              <c:strCache>
                <c:ptCount val="1"/>
                <c:pt idx="0">
                  <c:v>MPR Performance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'figures 2050'!$N$1:$AP$1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'figures 2050'!$N$144:$AP$144</c:f>
              <c:numCache>
                <c:formatCode>0.0</c:formatCode>
                <c:ptCount val="29"/>
                <c:pt idx="0">
                  <c:v>0.5</c:v>
                </c:pt>
                <c:pt idx="1">
                  <c:v>0.6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7-4D30-BBCA-9BDAD49F96E8}"/>
            </c:ext>
          </c:extLst>
        </c:ser>
        <c:ser>
          <c:idx val="2"/>
          <c:order val="3"/>
          <c:tx>
            <c:strRef>
              <c:f>'figures 2050'!$H$143</c:f>
              <c:strCache>
                <c:ptCount val="1"/>
                <c:pt idx="0">
                  <c:v>MPR Copro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'figures 2050'!$N$1:$AP$1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'figures 2050'!$N$143:$AP$143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7-4D30-BBCA-9BDAD49F96E8}"/>
            </c:ext>
          </c:extLst>
        </c:ser>
        <c:ser>
          <c:idx val="4"/>
          <c:order val="4"/>
          <c:tx>
            <c:strRef>
              <c:f>'figures 2050'!$H$145</c:f>
              <c:strCache>
                <c:ptCount val="1"/>
                <c:pt idx="0">
                  <c:v>Montant écrêté</c:v>
                </c:pt>
              </c:strCache>
            </c:strRef>
          </c:tx>
          <c:spPr>
            <a:pattFill prst="pct2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'figures 2050'!$N$1:$AP$1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'figures 2050'!$N$145:$AP$145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97-4D30-BBCA-9BDAD49F9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577536"/>
        <c:axId val="2024573792"/>
      </c:areaChart>
      <c:catAx>
        <c:axId val="202457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4573792"/>
        <c:crosses val="autoZero"/>
        <c:auto val="1"/>
        <c:lblAlgn val="ctr"/>
        <c:lblOffset val="100"/>
        <c:noMultiLvlLbl val="0"/>
      </c:catAx>
      <c:valAx>
        <c:axId val="20245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457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Investissement total et part des aides </a:t>
            </a:r>
          </a:p>
          <a:p>
            <a:pPr>
              <a:defRPr/>
            </a:pPr>
            <a:r>
              <a:rPr lang="fr-FR"/>
              <a:t>(milliards d'euros)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7338019835689512E-2"/>
          <c:y val="0.16283717486440769"/>
          <c:w val="0.86344074535288518"/>
          <c:h val="0.67705911227879889"/>
        </c:manualLayout>
      </c:layout>
      <c:areaChart>
        <c:grouping val="standard"/>
        <c:varyColors val="0"/>
        <c:ser>
          <c:idx val="0"/>
          <c:order val="0"/>
          <c:tx>
            <c:strRef>
              <c:f>'figures 2050'!$I$100</c:f>
              <c:strCache>
                <c:ptCount val="1"/>
                <c:pt idx="0">
                  <c:v>Investissement total (milliards)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2050'!$N$1:$AP$1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'figures 2050'!$N$107:$AP$107</c:f>
              <c:numCache>
                <c:formatCode>0.0</c:formatCode>
                <c:ptCount val="29"/>
                <c:pt idx="0">
                  <c:v>17</c:v>
                </c:pt>
                <c:pt idx="1">
                  <c:v>19</c:v>
                </c:pt>
                <c:pt idx="2">
                  <c:v>17.324000000000002</c:v>
                </c:pt>
                <c:pt idx="3">
                  <c:v>17.885999999999999</c:v>
                </c:pt>
                <c:pt idx="4">
                  <c:v>20.459</c:v>
                </c:pt>
                <c:pt idx="5">
                  <c:v>19.163</c:v>
                </c:pt>
                <c:pt idx="6">
                  <c:v>18.896999999999998</c:v>
                </c:pt>
                <c:pt idx="7">
                  <c:v>18.943999999999999</c:v>
                </c:pt>
                <c:pt idx="8">
                  <c:v>18.638999999999999</c:v>
                </c:pt>
                <c:pt idx="9">
                  <c:v>17.137</c:v>
                </c:pt>
                <c:pt idx="10">
                  <c:v>19.902999999999999</c:v>
                </c:pt>
                <c:pt idx="11">
                  <c:v>19.579999999999998</c:v>
                </c:pt>
                <c:pt idx="12">
                  <c:v>18.219000000000001</c:v>
                </c:pt>
                <c:pt idx="13">
                  <c:v>23.565999999999999</c:v>
                </c:pt>
                <c:pt idx="14">
                  <c:v>19.158999999999999</c:v>
                </c:pt>
                <c:pt idx="15">
                  <c:v>18.637</c:v>
                </c:pt>
                <c:pt idx="16">
                  <c:v>16.905000000000001</c:v>
                </c:pt>
                <c:pt idx="17">
                  <c:v>19.658000000000001</c:v>
                </c:pt>
                <c:pt idx="18">
                  <c:v>17.600000000000001</c:v>
                </c:pt>
                <c:pt idx="19">
                  <c:v>17.931000000000001</c:v>
                </c:pt>
                <c:pt idx="20">
                  <c:v>17.331</c:v>
                </c:pt>
                <c:pt idx="21">
                  <c:v>17.039000000000001</c:v>
                </c:pt>
                <c:pt idx="22">
                  <c:v>16.78</c:v>
                </c:pt>
                <c:pt idx="23">
                  <c:v>16.524999999999999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D-4C3C-9F55-AA9616F40F31}"/>
            </c:ext>
          </c:extLst>
        </c:ser>
        <c:ser>
          <c:idx val="1"/>
          <c:order val="1"/>
          <c:tx>
            <c:strRef>
              <c:f>'figures 2050'!$I$103</c:f>
              <c:strCache>
                <c:ptCount val="1"/>
                <c:pt idx="0">
                  <c:v>Soutien total (milliards)</c:v>
                </c:pt>
              </c:strCache>
            </c:strRef>
          </c:tx>
          <c:spPr>
            <a:pattFill prst="wdUpDiag">
              <a:fgClr>
                <a:schemeClr val="accent4"/>
              </a:fgClr>
              <a:bgClr>
                <a:schemeClr val="accent1"/>
              </a:bgClr>
            </a:pattFill>
            <a:ln>
              <a:noFill/>
            </a:ln>
            <a:effectLst/>
          </c:spPr>
          <c:cat>
            <c:numRef>
              <c:f>'figures 2050'!$N$1:$AP$1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'figures 2050'!$N$108:$AP$108</c:f>
              <c:numCache>
                <c:formatCode>0.0</c:formatCode>
                <c:ptCount val="29"/>
                <c:pt idx="0">
                  <c:v>5.5</c:v>
                </c:pt>
                <c:pt idx="1">
                  <c:v>6</c:v>
                </c:pt>
                <c:pt idx="2">
                  <c:v>0.29940000000000005</c:v>
                </c:pt>
                <c:pt idx="3">
                  <c:v>0.38879999999999976</c:v>
                </c:pt>
                <c:pt idx="4">
                  <c:v>0.23820000000000013</c:v>
                </c:pt>
                <c:pt idx="5">
                  <c:v>0.34319999999999978</c:v>
                </c:pt>
                <c:pt idx="6">
                  <c:v>0.30360000000000015</c:v>
                </c:pt>
                <c:pt idx="7">
                  <c:v>0.25499999999999989</c:v>
                </c:pt>
                <c:pt idx="8">
                  <c:v>0.21300000000000024</c:v>
                </c:pt>
                <c:pt idx="9">
                  <c:v>0.1758000000000001</c:v>
                </c:pt>
                <c:pt idx="10">
                  <c:v>0.11579999999999975</c:v>
                </c:pt>
                <c:pt idx="11">
                  <c:v>8.579999999999989E-2</c:v>
                </c:pt>
                <c:pt idx="12">
                  <c:v>5.5200000000000318E-2</c:v>
                </c:pt>
                <c:pt idx="13">
                  <c:v>5.9999999999966742E-4</c:v>
                </c:pt>
                <c:pt idx="14">
                  <c:v>1.8600000000000349E-2</c:v>
                </c:pt>
                <c:pt idx="15">
                  <c:v>1.7999999999999617E-2</c:v>
                </c:pt>
                <c:pt idx="16">
                  <c:v>1.8000000000000148E-2</c:v>
                </c:pt>
                <c:pt idx="17">
                  <c:v>1.739999999999995E-2</c:v>
                </c:pt>
                <c:pt idx="18">
                  <c:v>1.739999999999995E-2</c:v>
                </c:pt>
                <c:pt idx="19">
                  <c:v>1.680000000000028E-2</c:v>
                </c:pt>
                <c:pt idx="20">
                  <c:v>1.6799999999999749E-2</c:v>
                </c:pt>
                <c:pt idx="21">
                  <c:v>1.680000000000028E-2</c:v>
                </c:pt>
                <c:pt idx="22">
                  <c:v>1.6200000000000082E-2</c:v>
                </c:pt>
                <c:pt idx="23">
                  <c:v>1.499999999999968E-2</c:v>
                </c:pt>
                <c:pt idx="24">
                  <c:v>-4.0703999999999994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D-4C3C-9F55-AA9616F40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6336"/>
        <c:axId val="2022996752"/>
      </c:areaChart>
      <c:catAx>
        <c:axId val="202299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752"/>
        <c:crosses val="autoZero"/>
        <c:auto val="1"/>
        <c:lblAlgn val="ctr"/>
        <c:lblOffset val="100"/>
        <c:noMultiLvlLbl val="0"/>
      </c:catAx>
      <c:valAx>
        <c:axId val="20229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gestes d'isolation</a:t>
            </a:r>
            <a:r>
              <a:rPr lang="fr-FR" baseline="0"/>
              <a:t> (milliers de ménages)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972723639670246E-2"/>
          <c:y val="0.11766114983666327"/>
          <c:w val="0.92629475044320664"/>
          <c:h val="0.73617957399061695"/>
        </c:manualLayout>
      </c:layout>
      <c:lineChart>
        <c:grouping val="standard"/>
        <c:varyColors val="0"/>
        <c:ser>
          <c:idx val="0"/>
          <c:order val="0"/>
          <c:tx>
            <c:strRef>
              <c:f>'figures 2050'!$I$154</c:f>
              <c:strCache>
                <c:ptCount val="1"/>
                <c:pt idx="0">
                  <c:v>Isolation plancher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'figures 2050'!$M$1:$AP$1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'figures 2050'!$M$154:$AP$154</c:f>
              <c:numCache>
                <c:formatCode>0.0</c:formatCode>
                <c:ptCount val="30"/>
                <c:pt idx="0">
                  <c:v>109.062</c:v>
                </c:pt>
                <c:pt idx="1">
                  <c:v>116.565</c:v>
                </c:pt>
                <c:pt idx="2">
                  <c:v>114.67100000000001</c:v>
                </c:pt>
                <c:pt idx="3">
                  <c:v>107.732</c:v>
                </c:pt>
                <c:pt idx="4">
                  <c:v>113.806</c:v>
                </c:pt>
                <c:pt idx="5">
                  <c:v>168.60400000000001</c:v>
                </c:pt>
                <c:pt idx="6">
                  <c:v>159.72900000000001</c:v>
                </c:pt>
                <c:pt idx="7">
                  <c:v>150.84299999999999</c:v>
                </c:pt>
                <c:pt idx="8">
                  <c:v>149.56200000000001</c:v>
                </c:pt>
                <c:pt idx="9">
                  <c:v>140.471</c:v>
                </c:pt>
                <c:pt idx="10">
                  <c:v>140.654</c:v>
                </c:pt>
                <c:pt idx="11">
                  <c:v>217.66399999999999</c:v>
                </c:pt>
                <c:pt idx="12">
                  <c:v>204.13499999999999</c:v>
                </c:pt>
                <c:pt idx="13">
                  <c:v>198.04300000000001</c:v>
                </c:pt>
                <c:pt idx="14">
                  <c:v>255.07300000000001</c:v>
                </c:pt>
                <c:pt idx="15">
                  <c:v>197.636</c:v>
                </c:pt>
                <c:pt idx="16">
                  <c:v>187.953</c:v>
                </c:pt>
                <c:pt idx="17">
                  <c:v>164.27799999999999</c:v>
                </c:pt>
                <c:pt idx="18">
                  <c:v>164.98699999999999</c:v>
                </c:pt>
                <c:pt idx="19">
                  <c:v>156.369</c:v>
                </c:pt>
                <c:pt idx="20">
                  <c:v>148.261</c:v>
                </c:pt>
                <c:pt idx="21">
                  <c:v>140.73400000000001</c:v>
                </c:pt>
                <c:pt idx="22">
                  <c:v>133.83799999999999</c:v>
                </c:pt>
                <c:pt idx="23">
                  <c:v>127.375</c:v>
                </c:pt>
                <c:pt idx="24">
                  <c:v>122.995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B-4C94-91C1-124A53EE2B27}"/>
            </c:ext>
          </c:extLst>
        </c:ser>
        <c:ser>
          <c:idx val="1"/>
          <c:order val="1"/>
          <c:tx>
            <c:strRef>
              <c:f>'figures 2050'!$I$155</c:f>
              <c:strCache>
                <c:ptCount val="1"/>
                <c:pt idx="0">
                  <c:v>Isolation toit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'figures 2050'!$M$1:$AP$1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'figures 2050'!$M$155:$AP$155</c:f>
              <c:numCache>
                <c:formatCode>0.0</c:formatCode>
                <c:ptCount val="30"/>
                <c:pt idx="0">
                  <c:v>484.40600000000001</c:v>
                </c:pt>
                <c:pt idx="1">
                  <c:v>523.27800000000002</c:v>
                </c:pt>
                <c:pt idx="2">
                  <c:v>540.44399999999996</c:v>
                </c:pt>
                <c:pt idx="3">
                  <c:v>529.28599999999994</c:v>
                </c:pt>
                <c:pt idx="4">
                  <c:v>544.101</c:v>
                </c:pt>
                <c:pt idx="5">
                  <c:v>724.91200000000003</c:v>
                </c:pt>
                <c:pt idx="6">
                  <c:v>681.30100000000004</c:v>
                </c:pt>
                <c:pt idx="7">
                  <c:v>662.89800000000002</c:v>
                </c:pt>
                <c:pt idx="8">
                  <c:v>677.99599999999998</c:v>
                </c:pt>
                <c:pt idx="9">
                  <c:v>654.73400000000004</c:v>
                </c:pt>
                <c:pt idx="10">
                  <c:v>651.35400000000004</c:v>
                </c:pt>
                <c:pt idx="11">
                  <c:v>992.11599999999999</c:v>
                </c:pt>
                <c:pt idx="12">
                  <c:v>943.976</c:v>
                </c:pt>
                <c:pt idx="13">
                  <c:v>928.11099999999999</c:v>
                </c:pt>
                <c:pt idx="14">
                  <c:v>1094.348</c:v>
                </c:pt>
                <c:pt idx="15">
                  <c:v>998.11300000000006</c:v>
                </c:pt>
                <c:pt idx="16">
                  <c:v>956.62800000000004</c:v>
                </c:pt>
                <c:pt idx="17">
                  <c:v>855.53499999999997</c:v>
                </c:pt>
                <c:pt idx="18">
                  <c:v>857.31500000000005</c:v>
                </c:pt>
                <c:pt idx="19">
                  <c:v>815.952</c:v>
                </c:pt>
                <c:pt idx="20">
                  <c:v>777.71</c:v>
                </c:pt>
                <c:pt idx="21">
                  <c:v>741.70500000000004</c:v>
                </c:pt>
                <c:pt idx="22">
                  <c:v>708.66099999999994</c:v>
                </c:pt>
                <c:pt idx="23">
                  <c:v>677.64700000000005</c:v>
                </c:pt>
                <c:pt idx="24">
                  <c:v>648.36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B-4C94-91C1-124A53EE2B27}"/>
            </c:ext>
          </c:extLst>
        </c:ser>
        <c:ser>
          <c:idx val="2"/>
          <c:order val="2"/>
          <c:tx>
            <c:strRef>
              <c:f>'figures 2050'!$I$156</c:f>
              <c:strCache>
                <c:ptCount val="1"/>
                <c:pt idx="0">
                  <c:v>Isolation mur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'figures 2050'!$M$1:$AP$1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'figures 2050'!$M$156:$AP$156</c:f>
              <c:numCache>
                <c:formatCode>0.0</c:formatCode>
                <c:ptCount val="30"/>
                <c:pt idx="0">
                  <c:v>207.964</c:v>
                </c:pt>
                <c:pt idx="1">
                  <c:v>216.44399999999999</c:v>
                </c:pt>
                <c:pt idx="2">
                  <c:v>193.78800000000001</c:v>
                </c:pt>
                <c:pt idx="3">
                  <c:v>168.732</c:v>
                </c:pt>
                <c:pt idx="4">
                  <c:v>213.649</c:v>
                </c:pt>
                <c:pt idx="5">
                  <c:v>293.786</c:v>
                </c:pt>
                <c:pt idx="6">
                  <c:v>277.25</c:v>
                </c:pt>
                <c:pt idx="7">
                  <c:v>249.87899999999999</c:v>
                </c:pt>
                <c:pt idx="8">
                  <c:v>230.98599999999999</c:v>
                </c:pt>
                <c:pt idx="9">
                  <c:v>205.53899999999999</c:v>
                </c:pt>
                <c:pt idx="10">
                  <c:v>205.59100000000001</c:v>
                </c:pt>
                <c:pt idx="11">
                  <c:v>276.16699999999997</c:v>
                </c:pt>
                <c:pt idx="12">
                  <c:v>254.279</c:v>
                </c:pt>
                <c:pt idx="13">
                  <c:v>241.02699999999999</c:v>
                </c:pt>
                <c:pt idx="14">
                  <c:v>365.34</c:v>
                </c:pt>
                <c:pt idx="15">
                  <c:v>217.02799999999999</c:v>
                </c:pt>
                <c:pt idx="16">
                  <c:v>204.184</c:v>
                </c:pt>
                <c:pt idx="17">
                  <c:v>172.941</c:v>
                </c:pt>
                <c:pt idx="18">
                  <c:v>172.26599999999999</c:v>
                </c:pt>
                <c:pt idx="19">
                  <c:v>162.71700000000001</c:v>
                </c:pt>
                <c:pt idx="20">
                  <c:v>153.49</c:v>
                </c:pt>
                <c:pt idx="21">
                  <c:v>145.09</c:v>
                </c:pt>
                <c:pt idx="22">
                  <c:v>137.37799999999999</c:v>
                </c:pt>
                <c:pt idx="23">
                  <c:v>130.15600000000001</c:v>
                </c:pt>
                <c:pt idx="24">
                  <c:v>123.264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B-4C94-91C1-124A53EE2B27}"/>
            </c:ext>
          </c:extLst>
        </c:ser>
        <c:ser>
          <c:idx val="3"/>
          <c:order val="3"/>
          <c:tx>
            <c:strRef>
              <c:f>'figures 2050'!$I$157</c:f>
              <c:strCache>
                <c:ptCount val="1"/>
                <c:pt idx="0">
                  <c:v>Changement de fenêtres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'figures 2050'!$M$1:$AP$1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'figures 2050'!$M$157:$AP$157</c:f>
              <c:numCache>
                <c:formatCode>0.0</c:formatCode>
                <c:ptCount val="30"/>
                <c:pt idx="0">
                  <c:v>118.464</c:v>
                </c:pt>
                <c:pt idx="1">
                  <c:v>127.539</c:v>
                </c:pt>
                <c:pt idx="2">
                  <c:v>129.52600000000001</c:v>
                </c:pt>
                <c:pt idx="3">
                  <c:v>124.749</c:v>
                </c:pt>
                <c:pt idx="4">
                  <c:v>129.072</c:v>
                </c:pt>
                <c:pt idx="5">
                  <c:v>185.035</c:v>
                </c:pt>
                <c:pt idx="6">
                  <c:v>176.47499999999999</c:v>
                </c:pt>
                <c:pt idx="7">
                  <c:v>170.226</c:v>
                </c:pt>
                <c:pt idx="8">
                  <c:v>173.34100000000001</c:v>
                </c:pt>
                <c:pt idx="9">
                  <c:v>165.654</c:v>
                </c:pt>
                <c:pt idx="10">
                  <c:v>165.43799999999999</c:v>
                </c:pt>
                <c:pt idx="11">
                  <c:v>262.7</c:v>
                </c:pt>
                <c:pt idx="12">
                  <c:v>248.06700000000001</c:v>
                </c:pt>
                <c:pt idx="13">
                  <c:v>242.035</c:v>
                </c:pt>
                <c:pt idx="14">
                  <c:v>305.61900000000003</c:v>
                </c:pt>
                <c:pt idx="15">
                  <c:v>250.892</c:v>
                </c:pt>
                <c:pt idx="16">
                  <c:v>239.34</c:v>
                </c:pt>
                <c:pt idx="17">
                  <c:v>210.803</c:v>
                </c:pt>
                <c:pt idx="18">
                  <c:v>211.70599999999999</c:v>
                </c:pt>
                <c:pt idx="19">
                  <c:v>201.267</c:v>
                </c:pt>
                <c:pt idx="20">
                  <c:v>191.44499999999999</c:v>
                </c:pt>
                <c:pt idx="21">
                  <c:v>182.26499999999999</c:v>
                </c:pt>
                <c:pt idx="22">
                  <c:v>173.82400000000001</c:v>
                </c:pt>
                <c:pt idx="23">
                  <c:v>165.90100000000001</c:v>
                </c:pt>
                <c:pt idx="24">
                  <c:v>160.32900000000001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B-4C94-91C1-124A53EE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24208"/>
        <c:axId val="161913392"/>
      </c:lineChart>
      <c:catAx>
        <c:axId val="1619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3392"/>
        <c:crosses val="autoZero"/>
        <c:auto val="1"/>
        <c:lblAlgn val="ctr"/>
        <c:lblOffset val="100"/>
        <c:noMultiLvlLbl val="0"/>
      </c:catAx>
      <c:valAx>
        <c:axId val="1619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2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Installations</a:t>
            </a:r>
            <a:r>
              <a:rPr lang="fr-FR" baseline="0"/>
              <a:t> de système de chauffage chaque année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'figures 2050'!$H$230</c:f>
              <c:strCache>
                <c:ptCount val="1"/>
                <c:pt idx="0">
                  <c:v>Installation de chaudière fioul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2050'!$K$230:$AP$230</c:f>
              <c:numCache>
                <c:formatCode>0.0</c:formatCode>
                <c:ptCount val="32"/>
                <c:pt idx="0">
                  <c:v>608.87099999999998</c:v>
                </c:pt>
                <c:pt idx="1">
                  <c:v>769.76099999999997</c:v>
                </c:pt>
                <c:pt idx="2">
                  <c:v>636.90599999999995</c:v>
                </c:pt>
                <c:pt idx="3">
                  <c:v>632.10699999999997</c:v>
                </c:pt>
                <c:pt idx="4">
                  <c:v>531.17200000000003</c:v>
                </c:pt>
                <c:pt idx="5">
                  <c:v>419.233</c:v>
                </c:pt>
                <c:pt idx="6">
                  <c:v>317.30200000000002</c:v>
                </c:pt>
                <c:pt idx="7">
                  <c:v>443.029</c:v>
                </c:pt>
                <c:pt idx="8">
                  <c:v>331.30500000000001</c:v>
                </c:pt>
                <c:pt idx="9">
                  <c:v>353.976</c:v>
                </c:pt>
                <c:pt idx="10">
                  <c:v>384.55799999999999</c:v>
                </c:pt>
                <c:pt idx="11">
                  <c:v>408.43200000000002</c:v>
                </c:pt>
                <c:pt idx="12">
                  <c:v>350.42200000000003</c:v>
                </c:pt>
                <c:pt idx="13">
                  <c:v>394.88600000000002</c:v>
                </c:pt>
                <c:pt idx="14">
                  <c:v>415.048</c:v>
                </c:pt>
                <c:pt idx="15">
                  <c:v>333.64</c:v>
                </c:pt>
                <c:pt idx="16">
                  <c:v>448.154</c:v>
                </c:pt>
                <c:pt idx="17">
                  <c:v>360.78699999999998</c:v>
                </c:pt>
                <c:pt idx="18">
                  <c:v>357.05599999999998</c:v>
                </c:pt>
                <c:pt idx="19">
                  <c:v>297.51900000000001</c:v>
                </c:pt>
                <c:pt idx="20">
                  <c:v>225.048</c:v>
                </c:pt>
                <c:pt idx="21">
                  <c:v>167.11500000000001</c:v>
                </c:pt>
                <c:pt idx="22">
                  <c:v>235.55199999999999</c:v>
                </c:pt>
                <c:pt idx="23">
                  <c:v>171.727</c:v>
                </c:pt>
                <c:pt idx="24">
                  <c:v>182.45</c:v>
                </c:pt>
                <c:pt idx="25">
                  <c:v>197.471</c:v>
                </c:pt>
                <c:pt idx="26">
                  <c:v>209.977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A-40CC-88A5-98B2C27F2920}"/>
            </c:ext>
          </c:extLst>
        </c:ser>
        <c:ser>
          <c:idx val="1"/>
          <c:order val="1"/>
          <c:tx>
            <c:strRef>
              <c:f>'figures 2050'!$H$229</c:f>
              <c:strCache>
                <c:ptCount val="1"/>
                <c:pt idx="0">
                  <c:v>Installation de chaudière gaz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2050'!$K$229:$AP$229</c:f>
              <c:numCache>
                <c:formatCode>0.0</c:formatCode>
                <c:ptCount val="32"/>
                <c:pt idx="0">
                  <c:v>608.87099999999998</c:v>
                </c:pt>
                <c:pt idx="1">
                  <c:v>769.76099999999997</c:v>
                </c:pt>
                <c:pt idx="2">
                  <c:v>636.90599999999995</c:v>
                </c:pt>
                <c:pt idx="3">
                  <c:v>632.10699999999997</c:v>
                </c:pt>
                <c:pt idx="4">
                  <c:v>531.17200000000003</c:v>
                </c:pt>
                <c:pt idx="5">
                  <c:v>419.233</c:v>
                </c:pt>
                <c:pt idx="6">
                  <c:v>317.30200000000002</c:v>
                </c:pt>
                <c:pt idx="7">
                  <c:v>443.029</c:v>
                </c:pt>
                <c:pt idx="8">
                  <c:v>331.30500000000001</c:v>
                </c:pt>
                <c:pt idx="9">
                  <c:v>353.976</c:v>
                </c:pt>
                <c:pt idx="10">
                  <c:v>384.55799999999999</c:v>
                </c:pt>
                <c:pt idx="11">
                  <c:v>408.43200000000002</c:v>
                </c:pt>
                <c:pt idx="12">
                  <c:v>350.42200000000003</c:v>
                </c:pt>
                <c:pt idx="13">
                  <c:v>394.88600000000002</c:v>
                </c:pt>
                <c:pt idx="14">
                  <c:v>415.048</c:v>
                </c:pt>
                <c:pt idx="15">
                  <c:v>333.64</c:v>
                </c:pt>
                <c:pt idx="16">
                  <c:v>448.154</c:v>
                </c:pt>
                <c:pt idx="17">
                  <c:v>360.78699999999998</c:v>
                </c:pt>
                <c:pt idx="18">
                  <c:v>357.05599999999998</c:v>
                </c:pt>
                <c:pt idx="19">
                  <c:v>297.51900000000001</c:v>
                </c:pt>
                <c:pt idx="20">
                  <c:v>225.048</c:v>
                </c:pt>
                <c:pt idx="21">
                  <c:v>167.11500000000001</c:v>
                </c:pt>
                <c:pt idx="22">
                  <c:v>235.55199999999999</c:v>
                </c:pt>
                <c:pt idx="23">
                  <c:v>171.727</c:v>
                </c:pt>
                <c:pt idx="24">
                  <c:v>182.45</c:v>
                </c:pt>
                <c:pt idx="25">
                  <c:v>197.471</c:v>
                </c:pt>
                <c:pt idx="26">
                  <c:v>209.977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A-40CC-88A5-98B2C27F2920}"/>
            </c:ext>
          </c:extLst>
        </c:ser>
        <c:ser>
          <c:idx val="0"/>
          <c:order val="2"/>
          <c:tx>
            <c:strRef>
              <c:f>'figures 2050'!$H$228</c:f>
              <c:strCache>
                <c:ptCount val="1"/>
                <c:pt idx="0">
                  <c:v>Installation de PAC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2050'!$K$228:$AP$228</c:f>
              <c:numCache>
                <c:formatCode>0.0</c:formatCode>
                <c:ptCount val="32"/>
                <c:pt idx="0">
                  <c:v>737.38400000000001</c:v>
                </c:pt>
                <c:pt idx="1">
                  <c:v>654.32299999999998</c:v>
                </c:pt>
                <c:pt idx="2">
                  <c:v>613.87800000000004</c:v>
                </c:pt>
                <c:pt idx="3">
                  <c:v>673.48400000000004</c:v>
                </c:pt>
                <c:pt idx="4">
                  <c:v>640.39300000000003</c:v>
                </c:pt>
                <c:pt idx="5">
                  <c:v>601.12</c:v>
                </c:pt>
                <c:pt idx="6">
                  <c:v>563.495</c:v>
                </c:pt>
                <c:pt idx="7">
                  <c:v>653.68600000000004</c:v>
                </c:pt>
                <c:pt idx="8">
                  <c:v>611.14400000000001</c:v>
                </c:pt>
                <c:pt idx="9">
                  <c:v>643.49900000000002</c:v>
                </c:pt>
                <c:pt idx="10">
                  <c:v>680.94799999999998</c:v>
                </c:pt>
                <c:pt idx="11">
                  <c:v>716.745</c:v>
                </c:pt>
                <c:pt idx="12">
                  <c:v>596.62400000000002</c:v>
                </c:pt>
                <c:pt idx="13">
                  <c:v>636.88400000000001</c:v>
                </c:pt>
                <c:pt idx="14">
                  <c:v>656.71500000000003</c:v>
                </c:pt>
                <c:pt idx="15">
                  <c:v>610.774</c:v>
                </c:pt>
                <c:pt idx="16">
                  <c:v>687.846</c:v>
                </c:pt>
                <c:pt idx="17">
                  <c:v>618.64300000000003</c:v>
                </c:pt>
                <c:pt idx="18">
                  <c:v>613.04999999999995</c:v>
                </c:pt>
                <c:pt idx="19">
                  <c:v>573.548</c:v>
                </c:pt>
                <c:pt idx="20">
                  <c:v>935.62</c:v>
                </c:pt>
                <c:pt idx="21">
                  <c:v>848.178</c:v>
                </c:pt>
                <c:pt idx="22">
                  <c:v>837.04600000000005</c:v>
                </c:pt>
                <c:pt idx="23">
                  <c:v>862.13099999999997</c:v>
                </c:pt>
                <c:pt idx="24">
                  <c:v>826.197</c:v>
                </c:pt>
                <c:pt idx="25">
                  <c:v>785.68100000000004</c:v>
                </c:pt>
                <c:pt idx="26">
                  <c:v>745.76199999999994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A-40CC-88A5-98B2C27F2920}"/>
            </c:ext>
          </c:extLst>
        </c:ser>
        <c:ser>
          <c:idx val="3"/>
          <c:order val="3"/>
          <c:tx>
            <c:strRef>
              <c:f>'figures 2050'!$H$231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2050'!$K$231:$AP$231</c:f>
              <c:numCache>
                <c:formatCode>0.0</c:formatCode>
                <c:ptCount val="32"/>
                <c:pt idx="0">
                  <c:v>194.01900000000001</c:v>
                </c:pt>
                <c:pt idx="1">
                  <c:v>70.945999999999998</c:v>
                </c:pt>
                <c:pt idx="2">
                  <c:v>266.69400000000002</c:v>
                </c:pt>
                <c:pt idx="3">
                  <c:v>196.60400000000001</c:v>
                </c:pt>
                <c:pt idx="4">
                  <c:v>346.495</c:v>
                </c:pt>
                <c:pt idx="5">
                  <c:v>516.37</c:v>
                </c:pt>
                <c:pt idx="6">
                  <c:v>673.29899999999998</c:v>
                </c:pt>
                <c:pt idx="7">
                  <c:v>423.09399999999999</c:v>
                </c:pt>
                <c:pt idx="8">
                  <c:v>597.82100000000003</c:v>
                </c:pt>
                <c:pt idx="9">
                  <c:v>532.50300000000004</c:v>
                </c:pt>
                <c:pt idx="10">
                  <c:v>452.11500000000001</c:v>
                </c:pt>
                <c:pt idx="11">
                  <c:v>381.79</c:v>
                </c:pt>
                <c:pt idx="12">
                  <c:v>321.40899999999999</c:v>
                </c:pt>
                <c:pt idx="13">
                  <c:v>221.06299999999999</c:v>
                </c:pt>
                <c:pt idx="14">
                  <c:v>170.749</c:v>
                </c:pt>
                <c:pt idx="15">
                  <c:v>120.506</c:v>
                </c:pt>
                <c:pt idx="16">
                  <c:v>67.393000000000001</c:v>
                </c:pt>
                <c:pt idx="17">
                  <c:v>98.825999999999993</c:v>
                </c:pt>
                <c:pt idx="18">
                  <c:v>98.748000000000005</c:v>
                </c:pt>
                <c:pt idx="19">
                  <c:v>98.75</c:v>
                </c:pt>
                <c:pt idx="20">
                  <c:v>215.20500000000001</c:v>
                </c:pt>
                <c:pt idx="21">
                  <c:v>98.850999999999999</c:v>
                </c:pt>
                <c:pt idx="22">
                  <c:v>285.11399999999998</c:v>
                </c:pt>
                <c:pt idx="23">
                  <c:v>218.958</c:v>
                </c:pt>
                <c:pt idx="24">
                  <c:v>362.53699999999998</c:v>
                </c:pt>
                <c:pt idx="25">
                  <c:v>525.41300000000001</c:v>
                </c:pt>
                <c:pt idx="26">
                  <c:v>673.58699999999999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0A-40CC-88A5-98B2C27F2920}"/>
            </c:ext>
          </c:extLst>
        </c:ser>
        <c:ser>
          <c:idx val="4"/>
          <c:order val="4"/>
          <c:tx>
            <c:strRef>
              <c:f>'figures 2050'!$H$232</c:f>
              <c:strCache>
                <c:ptCount val="1"/>
                <c:pt idx="0">
                  <c:v>Installation convecteurs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2050'!$K$232:$AP$232</c:f>
              <c:numCache>
                <c:formatCode>0.0</c:formatCode>
                <c:ptCount val="32"/>
                <c:pt idx="0">
                  <c:v>105.626</c:v>
                </c:pt>
                <c:pt idx="1">
                  <c:v>159.85499999999999</c:v>
                </c:pt>
                <c:pt idx="2">
                  <c:v>133.62200000000001</c:v>
                </c:pt>
                <c:pt idx="3">
                  <c:v>143.84100000000001</c:v>
                </c:pt>
                <c:pt idx="4">
                  <c:v>124.09</c:v>
                </c:pt>
                <c:pt idx="5">
                  <c:v>101.407</c:v>
                </c:pt>
                <c:pt idx="6">
                  <c:v>80.004999999999995</c:v>
                </c:pt>
                <c:pt idx="7">
                  <c:v>110.98399999999999</c:v>
                </c:pt>
                <c:pt idx="8">
                  <c:v>88.650999999999996</c:v>
                </c:pt>
                <c:pt idx="9">
                  <c:v>96.700999999999993</c:v>
                </c:pt>
                <c:pt idx="10">
                  <c:v>106.69</c:v>
                </c:pt>
                <c:pt idx="11">
                  <c:v>115.774</c:v>
                </c:pt>
                <c:pt idx="12">
                  <c:v>111.28400000000001</c:v>
                </c:pt>
                <c:pt idx="13">
                  <c:v>125.464</c:v>
                </c:pt>
                <c:pt idx="14">
                  <c:v>134.39400000000001</c:v>
                </c:pt>
                <c:pt idx="15">
                  <c:v>136.726</c:v>
                </c:pt>
                <c:pt idx="16">
                  <c:v>152.27799999999999</c:v>
                </c:pt>
                <c:pt idx="17">
                  <c:v>144.83099999999999</c:v>
                </c:pt>
                <c:pt idx="18">
                  <c:v>145.81200000000001</c:v>
                </c:pt>
                <c:pt idx="19">
                  <c:v>142.875</c:v>
                </c:pt>
                <c:pt idx="20">
                  <c:v>45.095999999999997</c:v>
                </c:pt>
                <c:pt idx="21">
                  <c:v>56.726999999999997</c:v>
                </c:pt>
                <c:pt idx="22">
                  <c:v>54.396999999999998</c:v>
                </c:pt>
                <c:pt idx="23">
                  <c:v>52.470999999999997</c:v>
                </c:pt>
                <c:pt idx="24">
                  <c:v>47.762999999999998</c:v>
                </c:pt>
                <c:pt idx="25">
                  <c:v>42.679000000000002</c:v>
                </c:pt>
                <c:pt idx="26">
                  <c:v>37.878999999999998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0A-40CC-88A5-98B2C27F2920}"/>
            </c:ext>
          </c:extLst>
        </c:ser>
        <c:ser>
          <c:idx val="5"/>
          <c:order val="5"/>
          <c:tx>
            <c:strRef>
              <c:f>'figures 2050'!$H$233</c:f>
              <c:strCache>
                <c:ptCount val="1"/>
                <c:pt idx="0">
                  <c:v>Installation chaudière biomasse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2050'!$K$233:$AP$233</c:f>
              <c:numCache>
                <c:formatCode>0.0</c:formatCode>
                <c:ptCount val="32"/>
                <c:pt idx="0">
                  <c:v>161.881</c:v>
                </c:pt>
                <c:pt idx="1">
                  <c:v>149.1</c:v>
                </c:pt>
                <c:pt idx="2">
                  <c:v>149.08500000000001</c:v>
                </c:pt>
                <c:pt idx="3">
                  <c:v>150.327</c:v>
                </c:pt>
                <c:pt idx="4">
                  <c:v>150.38200000000001</c:v>
                </c:pt>
                <c:pt idx="5">
                  <c:v>150.565</c:v>
                </c:pt>
                <c:pt idx="6">
                  <c:v>150.75800000000001</c:v>
                </c:pt>
                <c:pt idx="7">
                  <c:v>151.251</c:v>
                </c:pt>
                <c:pt idx="8">
                  <c:v>151.429</c:v>
                </c:pt>
                <c:pt idx="9">
                  <c:v>151.71899999999999</c:v>
                </c:pt>
                <c:pt idx="10">
                  <c:v>151.90600000000001</c:v>
                </c:pt>
                <c:pt idx="11">
                  <c:v>152.11500000000001</c:v>
                </c:pt>
                <c:pt idx="12">
                  <c:v>147.9</c:v>
                </c:pt>
                <c:pt idx="13">
                  <c:v>148.261</c:v>
                </c:pt>
                <c:pt idx="14">
                  <c:v>148.44499999999999</c:v>
                </c:pt>
                <c:pt idx="15">
                  <c:v>146.87700000000001</c:v>
                </c:pt>
                <c:pt idx="16">
                  <c:v>148.21700000000001</c:v>
                </c:pt>
                <c:pt idx="17">
                  <c:v>146.584</c:v>
                </c:pt>
                <c:pt idx="18">
                  <c:v>146.16499999999999</c:v>
                </c:pt>
                <c:pt idx="19">
                  <c:v>144.851</c:v>
                </c:pt>
                <c:pt idx="20">
                  <c:v>163.74299999999999</c:v>
                </c:pt>
                <c:pt idx="21">
                  <c:v>150.71</c:v>
                </c:pt>
                <c:pt idx="22">
                  <c:v>151.11799999999999</c:v>
                </c:pt>
                <c:pt idx="23">
                  <c:v>151.05699999999999</c:v>
                </c:pt>
                <c:pt idx="24">
                  <c:v>150.68199999999999</c:v>
                </c:pt>
                <c:pt idx="25">
                  <c:v>150.46100000000001</c:v>
                </c:pt>
                <c:pt idx="26">
                  <c:v>150.155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0A-40CC-88A5-98B2C27F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186320"/>
        <c:axId val="2143184240"/>
      </c:areaChart>
      <c:catAx>
        <c:axId val="214318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3184240"/>
        <c:crosses val="autoZero"/>
        <c:auto val="1"/>
        <c:lblAlgn val="ctr"/>
        <c:lblOffset val="100"/>
        <c:noMultiLvlLbl val="0"/>
      </c:catAx>
      <c:valAx>
        <c:axId val="21431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318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Rénovations</a:t>
            </a:r>
            <a:r>
              <a:rPr lang="fr-FR" baseline="0"/>
              <a:t> issues d'une obligation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'figures 2050'!$H$238</c:f>
              <c:strCache>
                <c:ptCount val="1"/>
                <c:pt idx="0">
                  <c:v>Renovation Obligation pb (Thousand households)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2050'!$K$238:$AP$238</c:f>
              <c:numCache>
                <c:formatCode>0.0</c:formatCode>
                <c:ptCount val="32"/>
                <c:pt idx="0">
                  <c:v>68.069999999999993</c:v>
                </c:pt>
                <c:pt idx="1">
                  <c:v>52.066000000000003</c:v>
                </c:pt>
                <c:pt idx="2">
                  <c:v>133.673</c:v>
                </c:pt>
                <c:pt idx="3">
                  <c:v>102.73099999999999</c:v>
                </c:pt>
                <c:pt idx="4">
                  <c:v>78.596000000000004</c:v>
                </c:pt>
                <c:pt idx="5">
                  <c:v>59.808999999999997</c:v>
                </c:pt>
                <c:pt idx="6">
                  <c:v>45.231999999999999</c:v>
                </c:pt>
                <c:pt idx="7">
                  <c:v>260.471</c:v>
                </c:pt>
                <c:pt idx="8">
                  <c:v>202.197</c:v>
                </c:pt>
                <c:pt idx="9">
                  <c:v>156.464</c:v>
                </c:pt>
                <c:pt idx="10">
                  <c:v>120.634</c:v>
                </c:pt>
                <c:pt idx="11">
                  <c:v>92.623000000000005</c:v>
                </c:pt>
                <c:pt idx="12">
                  <c:v>72.070999999999998</c:v>
                </c:pt>
                <c:pt idx="13">
                  <c:v>561.36500000000001</c:v>
                </c:pt>
                <c:pt idx="14">
                  <c:v>499.01600000000002</c:v>
                </c:pt>
                <c:pt idx="15">
                  <c:v>445.29</c:v>
                </c:pt>
                <c:pt idx="16">
                  <c:v>395.56200000000001</c:v>
                </c:pt>
                <c:pt idx="17">
                  <c:v>349.15800000000002</c:v>
                </c:pt>
                <c:pt idx="18">
                  <c:v>310.48</c:v>
                </c:pt>
                <c:pt idx="19">
                  <c:v>276.08300000000003</c:v>
                </c:pt>
                <c:pt idx="20">
                  <c:v>253.64599999999999</c:v>
                </c:pt>
                <c:pt idx="21">
                  <c:v>232.267</c:v>
                </c:pt>
                <c:pt idx="22">
                  <c:v>212.96299999999999</c:v>
                </c:pt>
                <c:pt idx="23">
                  <c:v>195.55199999999999</c:v>
                </c:pt>
                <c:pt idx="24">
                  <c:v>180.00299999999999</c:v>
                </c:pt>
                <c:pt idx="25">
                  <c:v>166.155</c:v>
                </c:pt>
                <c:pt idx="26">
                  <c:v>153.797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C-499D-B9D6-5F33EDA62046}"/>
            </c:ext>
          </c:extLst>
        </c:ser>
        <c:ser>
          <c:idx val="1"/>
          <c:order val="1"/>
          <c:tx>
            <c:strRef>
              <c:f>'figures 2050'!$H$239</c:f>
              <c:strCache>
                <c:ptCount val="1"/>
                <c:pt idx="0">
                  <c:v>Renovation Obligation po (Thousand households)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2050'!$K$239:$AP$239</c:f>
              <c:numCache>
                <c:formatCode>0.0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24.707000000000001</c:v>
                </c:pt>
                <c:pt idx="4">
                  <c:v>20.923999999999999</c:v>
                </c:pt>
                <c:pt idx="5">
                  <c:v>17.504999999999999</c:v>
                </c:pt>
                <c:pt idx="6">
                  <c:v>75.299000000000007</c:v>
                </c:pt>
                <c:pt idx="7">
                  <c:v>66.143000000000001</c:v>
                </c:pt>
                <c:pt idx="8">
                  <c:v>57.332999999999998</c:v>
                </c:pt>
                <c:pt idx="9">
                  <c:v>49.33</c:v>
                </c:pt>
                <c:pt idx="10">
                  <c:v>42.107999999999997</c:v>
                </c:pt>
                <c:pt idx="11">
                  <c:v>35.631</c:v>
                </c:pt>
                <c:pt idx="12">
                  <c:v>81.546000000000006</c:v>
                </c:pt>
                <c:pt idx="13">
                  <c:v>72.396000000000001</c:v>
                </c:pt>
                <c:pt idx="14">
                  <c:v>63.95</c:v>
                </c:pt>
                <c:pt idx="15">
                  <c:v>56.435000000000002</c:v>
                </c:pt>
                <c:pt idx="16">
                  <c:v>258.66300000000001</c:v>
                </c:pt>
                <c:pt idx="17">
                  <c:v>242.97399999999999</c:v>
                </c:pt>
                <c:pt idx="18">
                  <c:v>228.185</c:v>
                </c:pt>
                <c:pt idx="19">
                  <c:v>214.53</c:v>
                </c:pt>
                <c:pt idx="20">
                  <c:v>205.82599999999999</c:v>
                </c:pt>
                <c:pt idx="21">
                  <c:v>197.29900000000001</c:v>
                </c:pt>
                <c:pt idx="22">
                  <c:v>188.40100000000001</c:v>
                </c:pt>
                <c:pt idx="23">
                  <c:v>180.327</c:v>
                </c:pt>
                <c:pt idx="24">
                  <c:v>172.49</c:v>
                </c:pt>
                <c:pt idx="25">
                  <c:v>164.87</c:v>
                </c:pt>
                <c:pt idx="26">
                  <c:v>157.227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C-499D-B9D6-5F33EDA62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30032"/>
        <c:axId val="388330864"/>
      </c:areaChart>
      <c:catAx>
        <c:axId val="38833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864"/>
        <c:crosses val="autoZero"/>
        <c:auto val="1"/>
        <c:lblAlgn val="ctr"/>
        <c:lblOffset val="100"/>
        <c:noMultiLvlLbl val="0"/>
      </c:catAx>
      <c:valAx>
        <c:axId val="3883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</a:t>
            </a:r>
            <a:r>
              <a:rPr lang="fr-FR" baseline="0"/>
              <a:t> ménages aidés par type d'aide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'figures 2050'!$I$178</c:f>
              <c:strCache>
                <c:ptCount val="1"/>
                <c:pt idx="0">
                  <c:v>MPR Efficacité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'figures 2050'!$M$1:$AP$1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'figures 2050'!$M$178:$AP$178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2-481A-90D1-7DE6D3196D78}"/>
            </c:ext>
          </c:extLst>
        </c:ser>
        <c:ser>
          <c:idx val="2"/>
          <c:order val="1"/>
          <c:tx>
            <c:strRef>
              <c:f>'figures 2050'!$I$179</c:f>
              <c:strCache>
                <c:ptCount val="1"/>
                <c:pt idx="0">
                  <c:v>MPR Performance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'figures 2050'!$M$1:$AP$1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'figures 2050'!$M$179:$AP$179</c:f>
              <c:numCache>
                <c:formatCode>0.0</c:formatCode>
                <c:ptCount val="30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2-481A-90D1-7DE6D3196D78}"/>
            </c:ext>
          </c:extLst>
        </c:ser>
        <c:ser>
          <c:idx val="3"/>
          <c:order val="2"/>
          <c:tx>
            <c:strRef>
              <c:f>'figures 2050'!$I$180</c:f>
              <c:strCache>
                <c:ptCount val="1"/>
                <c:pt idx="0">
                  <c:v>MPR Copropriétés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'figures 2050'!$M$1:$AP$1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'figures 2050'!$M$180:$AP$180</c:f>
              <c:numCache>
                <c:formatCode>0.0</c:formatCode>
                <c:ptCount val="30"/>
                <c:pt idx="0">
                  <c:v>10</c:v>
                </c:pt>
                <c:pt idx="1">
                  <c:v>25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12-481A-90D1-7DE6D3196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880992"/>
        <c:axId val="365876832"/>
      </c:lineChart>
      <c:catAx>
        <c:axId val="3658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76832"/>
        <c:crosses val="autoZero"/>
        <c:auto val="1"/>
        <c:lblAlgn val="ctr"/>
        <c:lblOffset val="100"/>
        <c:noMultiLvlLbl val="0"/>
      </c:catAx>
      <c:valAx>
        <c:axId val="3658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Remplacement des chaudières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'figures 2050'!$H$242</c:f>
              <c:strCache>
                <c:ptCount val="1"/>
                <c:pt idx="0">
                  <c:v>Switch from Natural gas to District heating (Thousand households)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2050'!$K$242:$AP$242</c:f>
              <c:numCache>
                <c:formatCode>0.0</c:formatCode>
                <c:ptCount val="32"/>
                <c:pt idx="0">
                  <c:v>80.271000000000001</c:v>
                </c:pt>
                <c:pt idx="1">
                  <c:v>0</c:v>
                </c:pt>
                <c:pt idx="2">
                  <c:v>127.508</c:v>
                </c:pt>
                <c:pt idx="3">
                  <c:v>81.686000000000007</c:v>
                </c:pt>
                <c:pt idx="4">
                  <c:v>178.76400000000001</c:v>
                </c:pt>
                <c:pt idx="5">
                  <c:v>288.11799999999999</c:v>
                </c:pt>
                <c:pt idx="6">
                  <c:v>387.96</c:v>
                </c:pt>
                <c:pt idx="7">
                  <c:v>225.672</c:v>
                </c:pt>
                <c:pt idx="8">
                  <c:v>336.52</c:v>
                </c:pt>
                <c:pt idx="9">
                  <c:v>293.64999999999998</c:v>
                </c:pt>
                <c:pt idx="10">
                  <c:v>241.90600000000001</c:v>
                </c:pt>
                <c:pt idx="11">
                  <c:v>196.95500000000001</c:v>
                </c:pt>
                <c:pt idx="12">
                  <c:v>172.11799999999999</c:v>
                </c:pt>
                <c:pt idx="13">
                  <c:v>104.04900000000001</c:v>
                </c:pt>
                <c:pt idx="14">
                  <c:v>70.097999999999999</c:v>
                </c:pt>
                <c:pt idx="15">
                  <c:v>33.027999999999999</c:v>
                </c:pt>
                <c:pt idx="16">
                  <c:v>0</c:v>
                </c:pt>
                <c:pt idx="17">
                  <c:v>20.146999999999998</c:v>
                </c:pt>
                <c:pt idx="18">
                  <c:v>20.14</c:v>
                </c:pt>
                <c:pt idx="19">
                  <c:v>18.898</c:v>
                </c:pt>
                <c:pt idx="20">
                  <c:v>26.012</c:v>
                </c:pt>
                <c:pt idx="21">
                  <c:v>22.178999999999998</c:v>
                </c:pt>
                <c:pt idx="22">
                  <c:v>25.236999999999998</c:v>
                </c:pt>
                <c:pt idx="23">
                  <c:v>23.263000000000002</c:v>
                </c:pt>
                <c:pt idx="24">
                  <c:v>24.57</c:v>
                </c:pt>
                <c:pt idx="25">
                  <c:v>26.058</c:v>
                </c:pt>
                <c:pt idx="26">
                  <c:v>25.954000000000001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C-4607-BD9D-8231199503EA}"/>
            </c:ext>
          </c:extLst>
        </c:ser>
        <c:ser>
          <c:idx val="1"/>
          <c:order val="1"/>
          <c:tx>
            <c:strRef>
              <c:f>'figures 2050'!$H$243</c:f>
              <c:strCache>
                <c:ptCount val="1"/>
                <c:pt idx="0">
                  <c:v>Switch from Natural gas to Heat pump (Thousand households)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2050'!$K$243:$AP$243</c:f>
              <c:numCache>
                <c:formatCode>0.0</c:formatCode>
                <c:ptCount val="32"/>
                <c:pt idx="0">
                  <c:v>174.619</c:v>
                </c:pt>
                <c:pt idx="1">
                  <c:v>133.69</c:v>
                </c:pt>
                <c:pt idx="2">
                  <c:v>125.655</c:v>
                </c:pt>
                <c:pt idx="3">
                  <c:v>158.42599999999999</c:v>
                </c:pt>
                <c:pt idx="4">
                  <c:v>151.721</c:v>
                </c:pt>
                <c:pt idx="5">
                  <c:v>142.83199999999999</c:v>
                </c:pt>
                <c:pt idx="6">
                  <c:v>134.17699999999999</c:v>
                </c:pt>
                <c:pt idx="7">
                  <c:v>171.322</c:v>
                </c:pt>
                <c:pt idx="8">
                  <c:v>161.572</c:v>
                </c:pt>
                <c:pt idx="9">
                  <c:v>179.059</c:v>
                </c:pt>
                <c:pt idx="10">
                  <c:v>198.381</c:v>
                </c:pt>
                <c:pt idx="11">
                  <c:v>217.12899999999999</c:v>
                </c:pt>
                <c:pt idx="12">
                  <c:v>228.785</c:v>
                </c:pt>
                <c:pt idx="13">
                  <c:v>249.29</c:v>
                </c:pt>
                <c:pt idx="14">
                  <c:v>260.67599999999999</c:v>
                </c:pt>
                <c:pt idx="15">
                  <c:v>208.41800000000001</c:v>
                </c:pt>
                <c:pt idx="16">
                  <c:v>275.66300000000001</c:v>
                </c:pt>
                <c:pt idx="17">
                  <c:v>216.58500000000001</c:v>
                </c:pt>
                <c:pt idx="18">
                  <c:v>214.316</c:v>
                </c:pt>
                <c:pt idx="19">
                  <c:v>179.24600000000001</c:v>
                </c:pt>
                <c:pt idx="20">
                  <c:v>139.40600000000001</c:v>
                </c:pt>
                <c:pt idx="21">
                  <c:v>105.514</c:v>
                </c:pt>
                <c:pt idx="22">
                  <c:v>149.63200000000001</c:v>
                </c:pt>
                <c:pt idx="23">
                  <c:v>111.46</c:v>
                </c:pt>
                <c:pt idx="24">
                  <c:v>120.236</c:v>
                </c:pt>
                <c:pt idx="25">
                  <c:v>131.83799999999999</c:v>
                </c:pt>
                <c:pt idx="26">
                  <c:v>141.38200000000001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C-4607-BD9D-8231199503EA}"/>
            </c:ext>
          </c:extLst>
        </c:ser>
        <c:ser>
          <c:idx val="2"/>
          <c:order val="2"/>
          <c:tx>
            <c:strRef>
              <c:f>'figures 2050'!$H$244</c:f>
              <c:strCache>
                <c:ptCount val="1"/>
                <c:pt idx="0">
                  <c:v>Switch from Natural gas to Natural gas (Thousand households)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2050'!$K$244:$AP$244</c:f>
              <c:numCache>
                <c:formatCode>0.0</c:formatCode>
                <c:ptCount val="32"/>
                <c:pt idx="0">
                  <c:v>514.33500000000004</c:v>
                </c:pt>
                <c:pt idx="1">
                  <c:v>636.47299999999996</c:v>
                </c:pt>
                <c:pt idx="2">
                  <c:v>517.43600000000004</c:v>
                </c:pt>
                <c:pt idx="3">
                  <c:v>525.29</c:v>
                </c:pt>
                <c:pt idx="4">
                  <c:v>434.74</c:v>
                </c:pt>
                <c:pt idx="5">
                  <c:v>334.22500000000002</c:v>
                </c:pt>
                <c:pt idx="6">
                  <c:v>242.89</c:v>
                </c:pt>
                <c:pt idx="7">
                  <c:v>361.96199999999999</c:v>
                </c:pt>
                <c:pt idx="8">
                  <c:v>262.10000000000002</c:v>
                </c:pt>
                <c:pt idx="9">
                  <c:v>285.238</c:v>
                </c:pt>
                <c:pt idx="10">
                  <c:v>315.29700000000003</c:v>
                </c:pt>
                <c:pt idx="11">
                  <c:v>339.197</c:v>
                </c:pt>
                <c:pt idx="12">
                  <c:v>350.42200000000003</c:v>
                </c:pt>
                <c:pt idx="13">
                  <c:v>394.88600000000002</c:v>
                </c:pt>
                <c:pt idx="14">
                  <c:v>415.048</c:v>
                </c:pt>
                <c:pt idx="15">
                  <c:v>333.64</c:v>
                </c:pt>
                <c:pt idx="16">
                  <c:v>448.154</c:v>
                </c:pt>
                <c:pt idx="17">
                  <c:v>360.78699999999998</c:v>
                </c:pt>
                <c:pt idx="18">
                  <c:v>357.05599999999998</c:v>
                </c:pt>
                <c:pt idx="19">
                  <c:v>297.51900000000001</c:v>
                </c:pt>
                <c:pt idx="20">
                  <c:v>225.048</c:v>
                </c:pt>
                <c:pt idx="21">
                  <c:v>167.11500000000001</c:v>
                </c:pt>
                <c:pt idx="22">
                  <c:v>235.55199999999999</c:v>
                </c:pt>
                <c:pt idx="23">
                  <c:v>171.727</c:v>
                </c:pt>
                <c:pt idx="24">
                  <c:v>182.45</c:v>
                </c:pt>
                <c:pt idx="25">
                  <c:v>197.471</c:v>
                </c:pt>
                <c:pt idx="26">
                  <c:v>209.977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C-4607-BD9D-8231199503EA}"/>
            </c:ext>
          </c:extLst>
        </c:ser>
        <c:ser>
          <c:idx val="3"/>
          <c:order val="3"/>
          <c:tx>
            <c:strRef>
              <c:f>'figures 2050'!$H$245</c:f>
              <c:strCache>
                <c:ptCount val="1"/>
                <c:pt idx="0">
                  <c:v>Switch from Natural gas to Wood fuel (Thousand households)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2050'!$K$245:$AP$245</c:f>
              <c:numCache>
                <c:formatCode>0.0</c:formatCode>
                <c:ptCount val="32"/>
                <c:pt idx="0">
                  <c:v>6.7770000000000001</c:v>
                </c:pt>
                <c:pt idx="1">
                  <c:v>1.9530000000000001</c:v>
                </c:pt>
                <c:pt idx="2">
                  <c:v>2.073</c:v>
                </c:pt>
                <c:pt idx="3">
                  <c:v>3.07</c:v>
                </c:pt>
                <c:pt idx="4">
                  <c:v>3.2749999999999999</c:v>
                </c:pt>
                <c:pt idx="5">
                  <c:v>3.5830000000000002</c:v>
                </c:pt>
                <c:pt idx="6">
                  <c:v>3.8919999999999999</c:v>
                </c:pt>
                <c:pt idx="7">
                  <c:v>4.4219999999999997</c:v>
                </c:pt>
                <c:pt idx="8">
                  <c:v>4.7080000000000002</c:v>
                </c:pt>
                <c:pt idx="9">
                  <c:v>5.0999999999999996</c:v>
                </c:pt>
                <c:pt idx="10">
                  <c:v>5.4210000000000003</c:v>
                </c:pt>
                <c:pt idx="11">
                  <c:v>5.7089999999999996</c:v>
                </c:pt>
                <c:pt idx="12">
                  <c:v>6.0709999999999997</c:v>
                </c:pt>
                <c:pt idx="13">
                  <c:v>6.4820000000000002</c:v>
                </c:pt>
                <c:pt idx="14">
                  <c:v>6.7830000000000004</c:v>
                </c:pt>
                <c:pt idx="15">
                  <c:v>5.3570000000000002</c:v>
                </c:pt>
                <c:pt idx="16">
                  <c:v>6.9390000000000001</c:v>
                </c:pt>
                <c:pt idx="17">
                  <c:v>5.6630000000000003</c:v>
                </c:pt>
                <c:pt idx="18">
                  <c:v>5.6319999999999997</c:v>
                </c:pt>
                <c:pt idx="19">
                  <c:v>4.7380000000000004</c:v>
                </c:pt>
                <c:pt idx="20">
                  <c:v>3.7549999999999999</c:v>
                </c:pt>
                <c:pt idx="21">
                  <c:v>2.8679999999999999</c:v>
                </c:pt>
                <c:pt idx="22">
                  <c:v>4.0549999999999997</c:v>
                </c:pt>
                <c:pt idx="23">
                  <c:v>3.0569999999999999</c:v>
                </c:pt>
                <c:pt idx="24">
                  <c:v>3.3130000000000002</c:v>
                </c:pt>
                <c:pt idx="25">
                  <c:v>3.637</c:v>
                </c:pt>
                <c:pt idx="26">
                  <c:v>3.8940000000000001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3C-4607-BD9D-823119950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031136"/>
        <c:axId val="620043200"/>
      </c:areaChart>
      <c:catAx>
        <c:axId val="62003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0043200"/>
        <c:crosses val="autoZero"/>
        <c:auto val="1"/>
        <c:lblAlgn val="ctr"/>
        <c:lblOffset val="100"/>
        <c:noMultiLvlLbl val="0"/>
      </c:catAx>
      <c:valAx>
        <c:axId val="6200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003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Remplacement des chaudières fioul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'figures 2050'!$H$247</c:f>
              <c:strCache>
                <c:ptCount val="1"/>
                <c:pt idx="0">
                  <c:v>Switch from Oil fuel to District heating (Thousand households)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2050'!$K$247:$AP$247</c:f>
              <c:numCache>
                <c:formatCode>0.0</c:formatCode>
                <c:ptCount val="32"/>
                <c:pt idx="0">
                  <c:v>8.5440000000000005</c:v>
                </c:pt>
                <c:pt idx="1">
                  <c:v>0</c:v>
                </c:pt>
                <c:pt idx="2">
                  <c:v>13.557</c:v>
                </c:pt>
                <c:pt idx="3">
                  <c:v>8.7490000000000006</c:v>
                </c:pt>
                <c:pt idx="4">
                  <c:v>19.196999999999999</c:v>
                </c:pt>
                <c:pt idx="5">
                  <c:v>31.212</c:v>
                </c:pt>
                <c:pt idx="6">
                  <c:v>42.710999999999999</c:v>
                </c:pt>
                <c:pt idx="7">
                  <c:v>25.559000000000001</c:v>
                </c:pt>
                <c:pt idx="8">
                  <c:v>38.691000000000003</c:v>
                </c:pt>
                <c:pt idx="9">
                  <c:v>34.564</c:v>
                </c:pt>
                <c:pt idx="10">
                  <c:v>29.053999999999998</c:v>
                </c:pt>
                <c:pt idx="11">
                  <c:v>24.024000000000001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4-4EC6-8ADB-9737C633B983}"/>
            </c:ext>
          </c:extLst>
        </c:ser>
        <c:ser>
          <c:idx val="1"/>
          <c:order val="1"/>
          <c:tx>
            <c:strRef>
              <c:f>'figures 2050'!$H$248</c:f>
              <c:strCache>
                <c:ptCount val="1"/>
                <c:pt idx="0">
                  <c:v>Switch from Oil fuel to Heat pump (Thousand households)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2050'!$K$248:$AP$248</c:f>
              <c:numCache>
                <c:formatCode>0.0</c:formatCode>
                <c:ptCount val="32"/>
                <c:pt idx="0">
                  <c:v>137.66499999999999</c:v>
                </c:pt>
                <c:pt idx="1">
                  <c:v>107.455</c:v>
                </c:pt>
                <c:pt idx="2">
                  <c:v>107.03400000000001</c:v>
                </c:pt>
                <c:pt idx="3">
                  <c:v>121.91200000000001</c:v>
                </c:pt>
                <c:pt idx="4">
                  <c:v>120.974</c:v>
                </c:pt>
                <c:pt idx="5">
                  <c:v>119.73</c:v>
                </c:pt>
                <c:pt idx="6">
                  <c:v>118.252</c:v>
                </c:pt>
                <c:pt idx="7">
                  <c:v>127.758</c:v>
                </c:pt>
                <c:pt idx="8">
                  <c:v>126.67100000000001</c:v>
                </c:pt>
                <c:pt idx="9">
                  <c:v>130.482</c:v>
                </c:pt>
                <c:pt idx="10">
                  <c:v>134.49299999999999</c:v>
                </c:pt>
                <c:pt idx="11">
                  <c:v>138.35900000000001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4-4EC6-8ADB-9737C633B983}"/>
            </c:ext>
          </c:extLst>
        </c:ser>
        <c:ser>
          <c:idx val="2"/>
          <c:order val="2"/>
          <c:tx>
            <c:strRef>
              <c:f>'figures 2050'!$H$249</c:f>
              <c:strCache>
                <c:ptCount val="1"/>
                <c:pt idx="0">
                  <c:v>Switch from Oil fuel to Natural gas (Thousand households)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2050'!$K$249:$AP$249</c:f>
              <c:numCache>
                <c:formatCode>0.0</c:formatCode>
                <c:ptCount val="32"/>
                <c:pt idx="0">
                  <c:v>94.536000000000001</c:v>
                </c:pt>
                <c:pt idx="1">
                  <c:v>133.28800000000001</c:v>
                </c:pt>
                <c:pt idx="2">
                  <c:v>119.46899999999999</c:v>
                </c:pt>
                <c:pt idx="3">
                  <c:v>106.818</c:v>
                </c:pt>
                <c:pt idx="4">
                  <c:v>96.432000000000002</c:v>
                </c:pt>
                <c:pt idx="5">
                  <c:v>85.007000000000005</c:v>
                </c:pt>
                <c:pt idx="6">
                  <c:v>74.412000000000006</c:v>
                </c:pt>
                <c:pt idx="7">
                  <c:v>81.066999999999993</c:v>
                </c:pt>
                <c:pt idx="8">
                  <c:v>69.204999999999998</c:v>
                </c:pt>
                <c:pt idx="9">
                  <c:v>68.738</c:v>
                </c:pt>
                <c:pt idx="10">
                  <c:v>69.262</c:v>
                </c:pt>
                <c:pt idx="11">
                  <c:v>69.234999999999999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44-4EC6-8ADB-9737C633B983}"/>
            </c:ext>
          </c:extLst>
        </c:ser>
        <c:ser>
          <c:idx val="3"/>
          <c:order val="3"/>
          <c:tx>
            <c:strRef>
              <c:f>'figures 2050'!$H$250</c:f>
              <c:strCache>
                <c:ptCount val="1"/>
                <c:pt idx="0">
                  <c:v>Switch from Oil fuel to Oil fuel (Thousand households)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2050'!$K$250:$AP$250</c:f>
              <c:numCache>
                <c:formatCode>0.0</c:formatCode>
                <c:ptCount val="32"/>
                <c:pt idx="0">
                  <c:v>94.536000000000001</c:v>
                </c:pt>
                <c:pt idx="1">
                  <c:v>133.28800000000001</c:v>
                </c:pt>
                <c:pt idx="2">
                  <c:v>119.46899999999999</c:v>
                </c:pt>
                <c:pt idx="3">
                  <c:v>106.818</c:v>
                </c:pt>
                <c:pt idx="4">
                  <c:v>96.432000000000002</c:v>
                </c:pt>
                <c:pt idx="5">
                  <c:v>85.007000000000005</c:v>
                </c:pt>
                <c:pt idx="6">
                  <c:v>74.412000000000006</c:v>
                </c:pt>
                <c:pt idx="7">
                  <c:v>81.066999999999993</c:v>
                </c:pt>
                <c:pt idx="8">
                  <c:v>69.204999999999998</c:v>
                </c:pt>
                <c:pt idx="9">
                  <c:v>68.738</c:v>
                </c:pt>
                <c:pt idx="10">
                  <c:v>69.262</c:v>
                </c:pt>
                <c:pt idx="11">
                  <c:v>69.234999999999999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44-4EC6-8ADB-9737C633B983}"/>
            </c:ext>
          </c:extLst>
        </c:ser>
        <c:ser>
          <c:idx val="4"/>
          <c:order val="4"/>
          <c:tx>
            <c:strRef>
              <c:f>'figures 2050'!$H$251</c:f>
              <c:strCache>
                <c:ptCount val="1"/>
                <c:pt idx="0">
                  <c:v>Switch from Oil fuel to Wood fuel (Thousand households)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'figures 2050'!$K$1:$AP$1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'figures 2050'!$K$251:$AP$251</c:f>
              <c:numCache>
                <c:formatCode>0.0</c:formatCode>
                <c:ptCount val="32"/>
                <c:pt idx="0">
                  <c:v>7.0380000000000003</c:v>
                </c:pt>
                <c:pt idx="1">
                  <c:v>3.5990000000000002</c:v>
                </c:pt>
                <c:pt idx="2">
                  <c:v>3.645</c:v>
                </c:pt>
                <c:pt idx="3">
                  <c:v>4.0659999999999998</c:v>
                </c:pt>
                <c:pt idx="4">
                  <c:v>4.1020000000000003</c:v>
                </c:pt>
                <c:pt idx="5">
                  <c:v>4.1470000000000002</c:v>
                </c:pt>
                <c:pt idx="6">
                  <c:v>4.1820000000000004</c:v>
                </c:pt>
                <c:pt idx="7">
                  <c:v>4.2880000000000003</c:v>
                </c:pt>
                <c:pt idx="8">
                  <c:v>4.3639999999999999</c:v>
                </c:pt>
                <c:pt idx="9">
                  <c:v>4.4279999999999999</c:v>
                </c:pt>
                <c:pt idx="10">
                  <c:v>4.4770000000000003</c:v>
                </c:pt>
                <c:pt idx="11">
                  <c:v>4.5220000000000002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44-4EC6-8ADB-9737C633B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832000"/>
        <c:axId val="934830752"/>
      </c:areaChart>
      <c:catAx>
        <c:axId val="93483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4830752"/>
        <c:crosses val="autoZero"/>
        <c:auto val="1"/>
        <c:lblAlgn val="ctr"/>
        <c:lblOffset val="100"/>
        <c:noMultiLvlLbl val="0"/>
      </c:catAx>
      <c:valAx>
        <c:axId val="9348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483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Emissions par vecteur 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475750313819473E-2"/>
          <c:y val="9.8521587822189949E-2"/>
          <c:w val="0.87612552778728747"/>
          <c:h val="0.69942991625251927"/>
        </c:manualLayout>
      </c:layout>
      <c:areaChart>
        <c:grouping val="stacked"/>
        <c:varyColors val="0"/>
        <c:ser>
          <c:idx val="0"/>
          <c:order val="0"/>
          <c:tx>
            <c:strRef>
              <c:f>'Parc et émission'!$H$19</c:f>
              <c:strCache>
                <c:ptCount val="1"/>
                <c:pt idx="0">
                  <c:v>Emissions du gaz (MtCO2)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émission'!$J$19:$AK$19</c:f>
              <c:numCache>
                <c:formatCode>0.00</c:formatCode>
                <c:ptCount val="28"/>
                <c:pt idx="0">
                  <c:v>19.428156384000001</c:v>
                </c:pt>
                <c:pt idx="1">
                  <c:v>18.573375992396159</c:v>
                </c:pt>
                <c:pt idx="2">
                  <c:v>18.107379247283337</c:v>
                </c:pt>
                <c:pt idx="3">
                  <c:v>17.045565726024002</c:v>
                </c:pt>
                <c:pt idx="4">
                  <c:v>15.730261872415999</c:v>
                </c:pt>
                <c:pt idx="5">
                  <c:v>14.616466978746667</c:v>
                </c:pt>
                <c:pt idx="6">
                  <c:v>13.457802323784007</c:v>
                </c:pt>
                <c:pt idx="7">
                  <c:v>12.246866637450005</c:v>
                </c:pt>
                <c:pt idx="8">
                  <c:v>11.193206726681565</c:v>
                </c:pt>
                <c:pt idx="9">
                  <c:v>10.115372292218936</c:v>
                </c:pt>
                <c:pt idx="10">
                  <c:v>9.1319648069629888</c:v>
                </c:pt>
                <c:pt idx="11">
                  <c:v>8.2397720303031488</c:v>
                </c:pt>
                <c:pt idx="12">
                  <c:v>7.4228356516952116</c:v>
                </c:pt>
                <c:pt idx="13">
                  <c:v>6.4943157519178127</c:v>
                </c:pt>
                <c:pt idx="14">
                  <c:v>5.651283492238103</c:v>
                </c:pt>
                <c:pt idx="15">
                  <c:v>4.8990593565842158</c:v>
                </c:pt>
                <c:pt idx="16">
                  <c:v>4.2887667949843289</c:v>
                </c:pt>
                <c:pt idx="17">
                  <c:v>3.1841445140312516</c:v>
                </c:pt>
                <c:pt idx="18">
                  <c:v>3.1448402071110224</c:v>
                </c:pt>
                <c:pt idx="19">
                  <c:v>2.7250558494220809</c:v>
                </c:pt>
                <c:pt idx="20">
                  <c:v>2.3679013971111167</c:v>
                </c:pt>
                <c:pt idx="21">
                  <c:v>2.063171180240194</c:v>
                </c:pt>
                <c:pt idx="22">
                  <c:v>1.8030026578078131</c:v>
                </c:pt>
                <c:pt idx="23">
                  <c:v>1.3466008195452805</c:v>
                </c:pt>
                <c:pt idx="24">
                  <c:v>0.95248673355176294</c:v>
                </c:pt>
                <c:pt idx="25">
                  <c:v>0.59642979690294018</c:v>
                </c:pt>
                <c:pt idx="26">
                  <c:v>0.27856825702134008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F-4DE3-AAB1-F0C55CA969A5}"/>
            </c:ext>
          </c:extLst>
        </c:ser>
        <c:ser>
          <c:idx val="1"/>
          <c:order val="1"/>
          <c:tx>
            <c:strRef>
              <c:f>'Parc et émission'!$H$20</c:f>
              <c:strCache>
                <c:ptCount val="1"/>
                <c:pt idx="0">
                  <c:v>Emissions du fioul (MtCO2)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émission'!$J$20:$AK$20</c:f>
              <c:numCache>
                <c:formatCode>0.00</c:formatCode>
                <c:ptCount val="28"/>
                <c:pt idx="0">
                  <c:v>9.74268</c:v>
                </c:pt>
                <c:pt idx="1">
                  <c:v>8.6494719999999994</c:v>
                </c:pt>
                <c:pt idx="2">
                  <c:v>7.7210806666666665</c:v>
                </c:pt>
                <c:pt idx="3">
                  <c:v>6.7282380000000011</c:v>
                </c:pt>
                <c:pt idx="4">
                  <c:v>5.6340640000000013</c:v>
                </c:pt>
                <c:pt idx="5">
                  <c:v>4.7377393333333346</c:v>
                </c:pt>
                <c:pt idx="6">
                  <c:v>3.9051922000000006</c:v>
                </c:pt>
                <c:pt idx="7">
                  <c:v>3.1283610000000008</c:v>
                </c:pt>
                <c:pt idx="8">
                  <c:v>2.4129597137500007</c:v>
                </c:pt>
                <c:pt idx="9">
                  <c:v>1.7393776066666673</c:v>
                </c:pt>
                <c:pt idx="10">
                  <c:v>1.1149414937500002</c:v>
                </c:pt>
                <c:pt idx="11">
                  <c:v>0.53734165333333339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4F-4DE3-AAB1-F0C55CA969A5}"/>
            </c:ext>
          </c:extLst>
        </c:ser>
        <c:ser>
          <c:idx val="2"/>
          <c:order val="2"/>
          <c:tx>
            <c:strRef>
              <c:f>'Parc et émission'!$H$21</c:f>
              <c:strCache>
                <c:ptCount val="1"/>
                <c:pt idx="0">
                  <c:v>Emissions de l'électricité (MtCO2)</c:v>
                </c:pt>
              </c:strCache>
            </c:strRef>
          </c:tx>
          <c:spPr>
            <a:pattFill prst="pct20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émission'!$J$21:$AK$21</c:f>
              <c:numCache>
                <c:formatCode>0.00</c:formatCode>
                <c:ptCount val="28"/>
                <c:pt idx="0">
                  <c:v>3.9003699999999997</c:v>
                </c:pt>
                <c:pt idx="1">
                  <c:v>3.7678784000000003</c:v>
                </c:pt>
                <c:pt idx="2">
                  <c:v>3.7020043333333335</c:v>
                </c:pt>
                <c:pt idx="3">
                  <c:v>3.6367848000000005</c:v>
                </c:pt>
                <c:pt idx="4">
                  <c:v>3.5924040000000006</c:v>
                </c:pt>
                <c:pt idx="5">
                  <c:v>3.5435793333333336</c:v>
                </c:pt>
                <c:pt idx="6">
                  <c:v>3.491397000000001</c:v>
                </c:pt>
                <c:pt idx="7">
                  <c:v>3.4184310000000009</c:v>
                </c:pt>
                <c:pt idx="8">
                  <c:v>3.4001989437500009</c:v>
                </c:pt>
                <c:pt idx="9">
                  <c:v>3.3750548450000011</c:v>
                </c:pt>
                <c:pt idx="10">
                  <c:v>3.3587070212500012</c:v>
                </c:pt>
                <c:pt idx="11">
                  <c:v>3.3527700266666671</c:v>
                </c:pt>
                <c:pt idx="12">
                  <c:v>3.3553882604166674</c:v>
                </c:pt>
                <c:pt idx="13">
                  <c:v>3.3236301850000007</c:v>
                </c:pt>
                <c:pt idx="14">
                  <c:v>3.2929037258333342</c:v>
                </c:pt>
                <c:pt idx="15">
                  <c:v>3.272535200000001</c:v>
                </c:pt>
                <c:pt idx="16">
                  <c:v>3.2429508637500009</c:v>
                </c:pt>
                <c:pt idx="17">
                  <c:v>3.2211025000000006</c:v>
                </c:pt>
                <c:pt idx="18">
                  <c:v>3.1859458195833343</c:v>
                </c:pt>
                <c:pt idx="19">
                  <c:v>3.1543392800000007</c:v>
                </c:pt>
                <c:pt idx="20">
                  <c:v>3.1179345229166677</c:v>
                </c:pt>
                <c:pt idx="21">
                  <c:v>3.1049036600000006</c:v>
                </c:pt>
                <c:pt idx="22">
                  <c:v>3.0803720312500009</c:v>
                </c:pt>
                <c:pt idx="23">
                  <c:v>3.0674342400000008</c:v>
                </c:pt>
                <c:pt idx="24">
                  <c:v>3.047992182083334</c:v>
                </c:pt>
                <c:pt idx="25">
                  <c:v>3.0310653450000009</c:v>
                </c:pt>
                <c:pt idx="26">
                  <c:v>3.0190456312500009</c:v>
                </c:pt>
                <c:pt idx="27">
                  <c:v>3.0094533333333344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4F-4DE3-AAB1-F0C55CA96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70496"/>
        <c:axId val="2080872992"/>
      </c:areaChart>
      <c:catAx>
        <c:axId val="20808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2992"/>
        <c:crosses val="autoZero"/>
        <c:auto val="1"/>
        <c:lblAlgn val="ctr"/>
        <c:lblOffset val="100"/>
        <c:noMultiLvlLbl val="0"/>
      </c:catAx>
      <c:valAx>
        <c:axId val="20808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950986442445435E-3"/>
          <c:y val="0.887351251204887"/>
          <c:w val="0.98858465379420279"/>
          <c:h val="8.8480903321107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Evolution du parc en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6"/>
          <c:order val="0"/>
          <c:tx>
            <c:strRef>
              <c:f>'Parc et émission'!$I$35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émission'!$J$35:$AK$35</c:f>
              <c:numCache>
                <c:formatCode>General</c:formatCode>
                <c:ptCount val="28"/>
                <c:pt idx="0">
                  <c:v>1.3979999999999999</c:v>
                </c:pt>
                <c:pt idx="1">
                  <c:v>1.1619999999999999</c:v>
                </c:pt>
                <c:pt idx="2">
                  <c:v>1.006</c:v>
                </c:pt>
                <c:pt idx="3">
                  <c:v>0.872</c:v>
                </c:pt>
                <c:pt idx="4">
                  <c:v>0.72899999999999998</c:v>
                </c:pt>
                <c:pt idx="5">
                  <c:v>0.60499999999999998</c:v>
                </c:pt>
                <c:pt idx="6">
                  <c:v>0.497</c:v>
                </c:pt>
                <c:pt idx="7">
                  <c:v>0.40300000000000002</c:v>
                </c:pt>
                <c:pt idx="8">
                  <c:v>0.32200000000000001</c:v>
                </c:pt>
                <c:pt idx="9">
                  <c:v>0.247</c:v>
                </c:pt>
                <c:pt idx="10">
                  <c:v>0.184</c:v>
                </c:pt>
                <c:pt idx="11">
                  <c:v>0.13200000000000001</c:v>
                </c:pt>
                <c:pt idx="12">
                  <c:v>8.8999999999999996E-2</c:v>
                </c:pt>
                <c:pt idx="13">
                  <c:v>7.3999999999999996E-2</c:v>
                </c:pt>
                <c:pt idx="14">
                  <c:v>6.2E-2</c:v>
                </c:pt>
                <c:pt idx="15">
                  <c:v>5.0999999999999997E-2</c:v>
                </c:pt>
                <c:pt idx="16">
                  <c:v>4.2999999999999997E-2</c:v>
                </c:pt>
                <c:pt idx="17">
                  <c:v>3.4000000000000002E-2</c:v>
                </c:pt>
                <c:pt idx="18">
                  <c:v>2.8000000000000001E-2</c:v>
                </c:pt>
                <c:pt idx="19">
                  <c:v>2.1999999999999999E-2</c:v>
                </c:pt>
                <c:pt idx="20">
                  <c:v>1.7999999999999999E-2</c:v>
                </c:pt>
                <c:pt idx="21">
                  <c:v>1.4999999999999999E-2</c:v>
                </c:pt>
                <c:pt idx="22">
                  <c:v>1.2E-2</c:v>
                </c:pt>
                <c:pt idx="23">
                  <c:v>0.01</c:v>
                </c:pt>
                <c:pt idx="24">
                  <c:v>8.0000000000000002E-3</c:v>
                </c:pt>
                <c:pt idx="25">
                  <c:v>6.0000000000000001E-3</c:v>
                </c:pt>
                <c:pt idx="26">
                  <c:v>5.0000000000000001E-3</c:v>
                </c:pt>
                <c:pt idx="27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6-4998-AC2B-AB5F7334C584}"/>
            </c:ext>
          </c:extLst>
        </c:ser>
        <c:ser>
          <c:idx val="5"/>
          <c:order val="1"/>
          <c:tx>
            <c:strRef>
              <c:f>'Parc et émission'!$I$34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émission'!$J$34:$AK$34</c:f>
              <c:numCache>
                <c:formatCode>General</c:formatCode>
                <c:ptCount val="28"/>
                <c:pt idx="0">
                  <c:v>2.927</c:v>
                </c:pt>
                <c:pt idx="1">
                  <c:v>2.7549999999999999</c:v>
                </c:pt>
                <c:pt idx="2">
                  <c:v>2.62</c:v>
                </c:pt>
                <c:pt idx="3">
                  <c:v>2.3849999999999998</c:v>
                </c:pt>
                <c:pt idx="4">
                  <c:v>2.17</c:v>
                </c:pt>
                <c:pt idx="5">
                  <c:v>1.984</c:v>
                </c:pt>
                <c:pt idx="6">
                  <c:v>1.823</c:v>
                </c:pt>
                <c:pt idx="7">
                  <c:v>1.613</c:v>
                </c:pt>
                <c:pt idx="8">
                  <c:v>1.4239999999999999</c:v>
                </c:pt>
                <c:pt idx="9">
                  <c:v>1.248</c:v>
                </c:pt>
                <c:pt idx="10">
                  <c:v>1.089</c:v>
                </c:pt>
                <c:pt idx="11">
                  <c:v>0.94499999999999995</c:v>
                </c:pt>
                <c:pt idx="12">
                  <c:v>0.81599999999999995</c:v>
                </c:pt>
                <c:pt idx="13">
                  <c:v>0.71</c:v>
                </c:pt>
                <c:pt idx="14">
                  <c:v>0.61399999999999999</c:v>
                </c:pt>
                <c:pt idx="15">
                  <c:v>0.52900000000000003</c:v>
                </c:pt>
                <c:pt idx="16">
                  <c:v>0.45600000000000002</c:v>
                </c:pt>
                <c:pt idx="17">
                  <c:v>0.35799999999999998</c:v>
                </c:pt>
                <c:pt idx="18">
                  <c:v>0.30399999999999999</c:v>
                </c:pt>
                <c:pt idx="19">
                  <c:v>0.255</c:v>
                </c:pt>
                <c:pt idx="20">
                  <c:v>0.21099999999999999</c:v>
                </c:pt>
                <c:pt idx="21">
                  <c:v>0.183</c:v>
                </c:pt>
                <c:pt idx="22">
                  <c:v>0.155</c:v>
                </c:pt>
                <c:pt idx="23">
                  <c:v>0.13</c:v>
                </c:pt>
                <c:pt idx="24">
                  <c:v>0.107</c:v>
                </c:pt>
                <c:pt idx="25">
                  <c:v>8.5999999999999993E-2</c:v>
                </c:pt>
                <c:pt idx="26">
                  <c:v>6.7000000000000004E-2</c:v>
                </c:pt>
                <c:pt idx="27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A6-4998-AC2B-AB5F7334C584}"/>
            </c:ext>
          </c:extLst>
        </c:ser>
        <c:ser>
          <c:idx val="4"/>
          <c:order val="2"/>
          <c:tx>
            <c:strRef>
              <c:f>'Parc et émission'!$I$33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émission'!$J$33:$AK$33</c:f>
              <c:numCache>
                <c:formatCode>General</c:formatCode>
                <c:ptCount val="28"/>
                <c:pt idx="0">
                  <c:v>5.024</c:v>
                </c:pt>
                <c:pt idx="1">
                  <c:v>4.8410000000000002</c:v>
                </c:pt>
                <c:pt idx="2">
                  <c:v>4.6470000000000002</c:v>
                </c:pt>
                <c:pt idx="3">
                  <c:v>4.4459999999999997</c:v>
                </c:pt>
                <c:pt idx="4">
                  <c:v>4.2290000000000001</c:v>
                </c:pt>
                <c:pt idx="5">
                  <c:v>4.0010000000000003</c:v>
                </c:pt>
                <c:pt idx="6">
                  <c:v>3.77</c:v>
                </c:pt>
                <c:pt idx="7">
                  <c:v>3.54</c:v>
                </c:pt>
                <c:pt idx="8">
                  <c:v>3.0720000000000001</c:v>
                </c:pt>
                <c:pt idx="9">
                  <c:v>2.66</c:v>
                </c:pt>
                <c:pt idx="10">
                  <c:v>2.294</c:v>
                </c:pt>
                <c:pt idx="11">
                  <c:v>1.988</c:v>
                </c:pt>
                <c:pt idx="12">
                  <c:v>1.7230000000000001</c:v>
                </c:pt>
                <c:pt idx="13">
                  <c:v>1.5149999999999999</c:v>
                </c:pt>
                <c:pt idx="14">
                  <c:v>1.329</c:v>
                </c:pt>
                <c:pt idx="15">
                  <c:v>1.163</c:v>
                </c:pt>
                <c:pt idx="16">
                  <c:v>1.0189999999999999</c:v>
                </c:pt>
                <c:pt idx="17">
                  <c:v>0.84199999999999997</c:v>
                </c:pt>
                <c:pt idx="18">
                  <c:v>0.72299999999999998</c:v>
                </c:pt>
                <c:pt idx="19">
                  <c:v>0.61599999999999999</c:v>
                </c:pt>
                <c:pt idx="20">
                  <c:v>0.52100000000000002</c:v>
                </c:pt>
                <c:pt idx="21">
                  <c:v>0.44700000000000001</c:v>
                </c:pt>
                <c:pt idx="22">
                  <c:v>0.379</c:v>
                </c:pt>
                <c:pt idx="23">
                  <c:v>0.316</c:v>
                </c:pt>
                <c:pt idx="24">
                  <c:v>0.25900000000000001</c:v>
                </c:pt>
                <c:pt idx="25">
                  <c:v>0.20699999999999999</c:v>
                </c:pt>
                <c:pt idx="26">
                  <c:v>0.159</c:v>
                </c:pt>
                <c:pt idx="27">
                  <c:v>0.111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A6-4998-AC2B-AB5F7334C584}"/>
            </c:ext>
          </c:extLst>
        </c:ser>
        <c:ser>
          <c:idx val="3"/>
          <c:order val="3"/>
          <c:tx>
            <c:strRef>
              <c:f>'Parc et émission'!$I$32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émission'!$J$32:$AK$32</c:f>
              <c:numCache>
                <c:formatCode>General</c:formatCode>
                <c:ptCount val="28"/>
                <c:pt idx="0">
                  <c:v>12.773999999999999</c:v>
                </c:pt>
                <c:pt idx="1">
                  <c:v>12.688000000000001</c:v>
                </c:pt>
                <c:pt idx="2">
                  <c:v>12.638999999999999</c:v>
                </c:pt>
                <c:pt idx="3">
                  <c:v>12.526999999999999</c:v>
                </c:pt>
                <c:pt idx="4">
                  <c:v>12.387</c:v>
                </c:pt>
                <c:pt idx="5">
                  <c:v>12.167999999999999</c:v>
                </c:pt>
                <c:pt idx="6">
                  <c:v>11.875999999999999</c:v>
                </c:pt>
                <c:pt idx="7">
                  <c:v>11.561999999999999</c:v>
                </c:pt>
                <c:pt idx="8">
                  <c:v>11.433</c:v>
                </c:pt>
                <c:pt idx="9">
                  <c:v>11.183999999999999</c:v>
                </c:pt>
                <c:pt idx="10">
                  <c:v>10.872999999999999</c:v>
                </c:pt>
                <c:pt idx="11">
                  <c:v>10.478999999999999</c:v>
                </c:pt>
                <c:pt idx="12">
                  <c:v>10.039</c:v>
                </c:pt>
                <c:pt idx="13">
                  <c:v>9.6530000000000005</c:v>
                </c:pt>
                <c:pt idx="14">
                  <c:v>9.0909999999999993</c:v>
                </c:pt>
                <c:pt idx="15">
                  <c:v>8.5649999999999995</c:v>
                </c:pt>
                <c:pt idx="16">
                  <c:v>8.1029999999999998</c:v>
                </c:pt>
                <c:pt idx="17">
                  <c:v>7.548</c:v>
                </c:pt>
                <c:pt idx="18">
                  <c:v>7.077</c:v>
                </c:pt>
                <c:pt idx="19">
                  <c:v>6.6280000000000001</c:v>
                </c:pt>
                <c:pt idx="20">
                  <c:v>6.2430000000000003</c:v>
                </c:pt>
                <c:pt idx="21">
                  <c:v>6.0129999999999999</c:v>
                </c:pt>
                <c:pt idx="22">
                  <c:v>5.7850000000000001</c:v>
                </c:pt>
                <c:pt idx="23">
                  <c:v>5.55</c:v>
                </c:pt>
                <c:pt idx="24">
                  <c:v>5.3369999999999997</c:v>
                </c:pt>
                <c:pt idx="25">
                  <c:v>5.1319999999999997</c:v>
                </c:pt>
                <c:pt idx="26">
                  <c:v>4.9349999999999996</c:v>
                </c:pt>
                <c:pt idx="27">
                  <c:v>4.7460000000000004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A6-4998-AC2B-AB5F7334C584}"/>
            </c:ext>
          </c:extLst>
        </c:ser>
        <c:ser>
          <c:idx val="2"/>
          <c:order val="4"/>
          <c:tx>
            <c:strRef>
              <c:f>'Parc et émission'!$I$31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émission'!$J$31:$AK$31</c:f>
              <c:numCache>
                <c:formatCode>General</c:formatCode>
                <c:ptCount val="28"/>
                <c:pt idx="0">
                  <c:v>5.55</c:v>
                </c:pt>
                <c:pt idx="1">
                  <c:v>6.0179999999999998</c:v>
                </c:pt>
                <c:pt idx="2">
                  <c:v>6.359</c:v>
                </c:pt>
                <c:pt idx="3">
                  <c:v>6.835</c:v>
                </c:pt>
                <c:pt idx="4">
                  <c:v>7.3259999999999996</c:v>
                </c:pt>
                <c:pt idx="5">
                  <c:v>7.843</c:v>
                </c:pt>
                <c:pt idx="6">
                  <c:v>8.3770000000000007</c:v>
                </c:pt>
                <c:pt idx="7">
                  <c:v>8.9450000000000003</c:v>
                </c:pt>
                <c:pt idx="8">
                  <c:v>9.5090000000000003</c:v>
                </c:pt>
                <c:pt idx="9">
                  <c:v>10.092000000000001</c:v>
                </c:pt>
                <c:pt idx="10">
                  <c:v>10.634</c:v>
                </c:pt>
                <c:pt idx="11">
                  <c:v>11.148</c:v>
                </c:pt>
                <c:pt idx="12">
                  <c:v>11.615</c:v>
                </c:pt>
                <c:pt idx="13">
                  <c:v>11.957000000000001</c:v>
                </c:pt>
                <c:pt idx="14">
                  <c:v>12.417</c:v>
                </c:pt>
                <c:pt idx="15">
                  <c:v>12.785</c:v>
                </c:pt>
                <c:pt idx="16">
                  <c:v>13.061</c:v>
                </c:pt>
                <c:pt idx="17">
                  <c:v>13.427</c:v>
                </c:pt>
                <c:pt idx="18">
                  <c:v>13.611000000000001</c:v>
                </c:pt>
                <c:pt idx="19">
                  <c:v>13.746</c:v>
                </c:pt>
                <c:pt idx="20">
                  <c:v>13.816000000000001</c:v>
                </c:pt>
                <c:pt idx="21">
                  <c:v>13.888</c:v>
                </c:pt>
                <c:pt idx="22">
                  <c:v>13.92</c:v>
                </c:pt>
                <c:pt idx="23">
                  <c:v>13.938000000000001</c:v>
                </c:pt>
                <c:pt idx="24">
                  <c:v>13.946</c:v>
                </c:pt>
                <c:pt idx="25">
                  <c:v>13.944000000000001</c:v>
                </c:pt>
                <c:pt idx="26">
                  <c:v>13.930999999999999</c:v>
                </c:pt>
                <c:pt idx="27">
                  <c:v>13.907999999999999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A6-4998-AC2B-AB5F7334C584}"/>
            </c:ext>
          </c:extLst>
        </c:ser>
        <c:ser>
          <c:idx val="1"/>
          <c:order val="5"/>
          <c:tx>
            <c:strRef>
              <c:f>'Parc et émission'!$I$30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émission'!$J$30:$AK$30</c:f>
              <c:numCache>
                <c:formatCode>General</c:formatCode>
                <c:ptCount val="28"/>
                <c:pt idx="0">
                  <c:v>2.1560000000000001</c:v>
                </c:pt>
                <c:pt idx="1">
                  <c:v>2.4350000000000001</c:v>
                </c:pt>
                <c:pt idx="2">
                  <c:v>2.6859999999999999</c:v>
                </c:pt>
                <c:pt idx="3">
                  <c:v>2.9470000000000001</c:v>
                </c:pt>
                <c:pt idx="4">
                  <c:v>3.2240000000000002</c:v>
                </c:pt>
                <c:pt idx="5">
                  <c:v>3.5190000000000001</c:v>
                </c:pt>
                <c:pt idx="6">
                  <c:v>3.8340000000000001</c:v>
                </c:pt>
                <c:pt idx="7">
                  <c:v>4.141</c:v>
                </c:pt>
                <c:pt idx="8">
                  <c:v>4.4649999999999999</c:v>
                </c:pt>
                <c:pt idx="9">
                  <c:v>4.8179999999999996</c:v>
                </c:pt>
                <c:pt idx="10">
                  <c:v>5.194</c:v>
                </c:pt>
                <c:pt idx="11">
                  <c:v>5.5949999999999998</c:v>
                </c:pt>
                <c:pt idx="12">
                  <c:v>6.0179999999999998</c:v>
                </c:pt>
                <c:pt idx="13">
                  <c:v>6.4039999999999999</c:v>
                </c:pt>
                <c:pt idx="14">
                  <c:v>6.8079999999999998</c:v>
                </c:pt>
                <c:pt idx="15">
                  <c:v>7.2309999999999999</c:v>
                </c:pt>
                <c:pt idx="16">
                  <c:v>7.6459999999999999</c:v>
                </c:pt>
                <c:pt idx="17">
                  <c:v>8.0660000000000007</c:v>
                </c:pt>
                <c:pt idx="18">
                  <c:v>8.4809999999999999</c:v>
                </c:pt>
                <c:pt idx="19">
                  <c:v>8.9030000000000005</c:v>
                </c:pt>
                <c:pt idx="20">
                  <c:v>9.3059999999999992</c:v>
                </c:pt>
                <c:pt idx="21">
                  <c:v>9.5500000000000007</c:v>
                </c:pt>
                <c:pt idx="22">
                  <c:v>9.8070000000000004</c:v>
                </c:pt>
                <c:pt idx="23">
                  <c:v>10.074999999999999</c:v>
                </c:pt>
                <c:pt idx="24">
                  <c:v>10.324</c:v>
                </c:pt>
                <c:pt idx="25">
                  <c:v>10.569000000000001</c:v>
                </c:pt>
                <c:pt idx="26">
                  <c:v>10.808999999999999</c:v>
                </c:pt>
                <c:pt idx="27">
                  <c:v>11.044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A6-4998-AC2B-AB5F7334C584}"/>
            </c:ext>
          </c:extLst>
        </c:ser>
        <c:ser>
          <c:idx val="0"/>
          <c:order val="6"/>
          <c:tx>
            <c:strRef>
              <c:f>'Parc et émission'!$I$29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émission'!$J$29:$AK$29</c:f>
              <c:numCache>
                <c:formatCode>General</c:formatCode>
                <c:ptCount val="28"/>
                <c:pt idx="0">
                  <c:v>0.39700000000000002</c:v>
                </c:pt>
                <c:pt idx="1">
                  <c:v>0.54500000000000004</c:v>
                </c:pt>
                <c:pt idx="2">
                  <c:v>0.75700000000000001</c:v>
                </c:pt>
                <c:pt idx="3">
                  <c:v>0.96899999999999997</c:v>
                </c:pt>
                <c:pt idx="4">
                  <c:v>1.1819999999999999</c:v>
                </c:pt>
                <c:pt idx="5">
                  <c:v>1.395</c:v>
                </c:pt>
                <c:pt idx="6">
                  <c:v>1.6060000000000001</c:v>
                </c:pt>
                <c:pt idx="7">
                  <c:v>1.7569999999999999</c:v>
                </c:pt>
                <c:pt idx="8">
                  <c:v>1.913</c:v>
                </c:pt>
                <c:pt idx="9">
                  <c:v>2.0670000000000002</c:v>
                </c:pt>
                <c:pt idx="10">
                  <c:v>2.2250000000000001</c:v>
                </c:pt>
                <c:pt idx="11">
                  <c:v>2.3849999999999998</c:v>
                </c:pt>
                <c:pt idx="12">
                  <c:v>2.5489999999999999</c:v>
                </c:pt>
                <c:pt idx="13">
                  <c:v>2.7130000000000001</c:v>
                </c:pt>
                <c:pt idx="14">
                  <c:v>2.8820000000000001</c:v>
                </c:pt>
                <c:pt idx="15">
                  <c:v>3.0539999999999998</c:v>
                </c:pt>
                <c:pt idx="16">
                  <c:v>3.2290000000000001</c:v>
                </c:pt>
                <c:pt idx="17">
                  <c:v>3.33</c:v>
                </c:pt>
                <c:pt idx="18">
                  <c:v>3.4319999999999999</c:v>
                </c:pt>
                <c:pt idx="19">
                  <c:v>3.536</c:v>
                </c:pt>
                <c:pt idx="20">
                  <c:v>3.64</c:v>
                </c:pt>
                <c:pt idx="21">
                  <c:v>3.7080000000000002</c:v>
                </c:pt>
                <c:pt idx="22">
                  <c:v>3.794</c:v>
                </c:pt>
                <c:pt idx="23">
                  <c:v>3.883</c:v>
                </c:pt>
                <c:pt idx="24">
                  <c:v>3.97</c:v>
                </c:pt>
                <c:pt idx="25">
                  <c:v>4.0570000000000004</c:v>
                </c:pt>
                <c:pt idx="26">
                  <c:v>4.1440000000000001</c:v>
                </c:pt>
                <c:pt idx="27">
                  <c:v>4.2320000000000002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A6-4998-AC2B-AB5F7334C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4256"/>
        <c:axId val="2022994672"/>
      </c:areaChart>
      <c:catAx>
        <c:axId val="202299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672"/>
        <c:crosses val="autoZero"/>
        <c:auto val="1"/>
        <c:lblAlgn val="ctr"/>
        <c:lblOffset val="100"/>
        <c:noMultiLvlLbl val="0"/>
      </c:catAx>
      <c:valAx>
        <c:axId val="20229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Parc</a:t>
            </a:r>
            <a:r>
              <a:rPr lang="fr-FR" sz="900" baseline="0"/>
              <a:t> de logements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475750313819473E-2"/>
          <c:y val="9.8521587822189949E-2"/>
          <c:w val="0.87612552778728747"/>
          <c:h val="0.69942991625251927"/>
        </c:manualLayout>
      </c:layout>
      <c:areaChart>
        <c:grouping val="stacked"/>
        <c:varyColors val="0"/>
        <c:ser>
          <c:idx val="0"/>
          <c:order val="0"/>
          <c:tx>
            <c:strRef>
              <c:f>'Parc et émission'!$H$43</c:f>
              <c:strCache>
                <c:ptCount val="1"/>
                <c:pt idx="0">
                  <c:v>Stock existing (Million)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émission'!$J$43:$AK$43</c:f>
              <c:numCache>
                <c:formatCode>General</c:formatCode>
                <c:ptCount val="28"/>
                <c:pt idx="0">
                  <c:v>30.225000000000001</c:v>
                </c:pt>
                <c:pt idx="1">
                  <c:v>30.195</c:v>
                </c:pt>
                <c:pt idx="2">
                  <c:v>30.164999999999999</c:v>
                </c:pt>
                <c:pt idx="3">
                  <c:v>30.134</c:v>
                </c:pt>
                <c:pt idx="4">
                  <c:v>30.103000000000002</c:v>
                </c:pt>
                <c:pt idx="5">
                  <c:v>30.071999999999999</c:v>
                </c:pt>
                <c:pt idx="6">
                  <c:v>30.04</c:v>
                </c:pt>
                <c:pt idx="7">
                  <c:v>30.007999999999999</c:v>
                </c:pt>
                <c:pt idx="8">
                  <c:v>29.975999999999999</c:v>
                </c:pt>
                <c:pt idx="9">
                  <c:v>29.943999999999999</c:v>
                </c:pt>
                <c:pt idx="10">
                  <c:v>29.911999999999999</c:v>
                </c:pt>
                <c:pt idx="11">
                  <c:v>29.879000000000001</c:v>
                </c:pt>
                <c:pt idx="12">
                  <c:v>29.847000000000001</c:v>
                </c:pt>
                <c:pt idx="13">
                  <c:v>29.814</c:v>
                </c:pt>
                <c:pt idx="14">
                  <c:v>29.780999999999999</c:v>
                </c:pt>
                <c:pt idx="15">
                  <c:v>29.748000000000001</c:v>
                </c:pt>
                <c:pt idx="16">
                  <c:v>29.713999999999999</c:v>
                </c:pt>
                <c:pt idx="17">
                  <c:v>29.664000000000001</c:v>
                </c:pt>
                <c:pt idx="18">
                  <c:v>29.614000000000001</c:v>
                </c:pt>
                <c:pt idx="19">
                  <c:v>29.562999999999999</c:v>
                </c:pt>
                <c:pt idx="20">
                  <c:v>29.513000000000002</c:v>
                </c:pt>
                <c:pt idx="21">
                  <c:v>29.462</c:v>
                </c:pt>
                <c:pt idx="22">
                  <c:v>29.411000000000001</c:v>
                </c:pt>
                <c:pt idx="23">
                  <c:v>29.36</c:v>
                </c:pt>
                <c:pt idx="24">
                  <c:v>29.31</c:v>
                </c:pt>
                <c:pt idx="25">
                  <c:v>29.259</c:v>
                </c:pt>
                <c:pt idx="26">
                  <c:v>29.207999999999998</c:v>
                </c:pt>
                <c:pt idx="27">
                  <c:v>29.15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6-4BE8-B19E-D5C6CDAF6818}"/>
            </c:ext>
          </c:extLst>
        </c:ser>
        <c:ser>
          <c:idx val="1"/>
          <c:order val="1"/>
          <c:tx>
            <c:strRef>
              <c:f>'Parc et émission'!$H$42</c:f>
              <c:strCache>
                <c:ptCount val="1"/>
                <c:pt idx="0">
                  <c:v>Stock new (Million)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'Parc et émission'!$J$1:$AK$1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'Parc et émission'!$J$42:$AK$42</c:f>
              <c:numCache>
                <c:formatCode>General</c:formatCode>
                <c:ptCount val="28"/>
                <c:pt idx="0">
                  <c:v>0</c:v>
                </c:pt>
                <c:pt idx="1">
                  <c:v>0.25</c:v>
                </c:pt>
                <c:pt idx="2">
                  <c:v>0.54800000000000004</c:v>
                </c:pt>
                <c:pt idx="3">
                  <c:v>0.84699999999999998</c:v>
                </c:pt>
                <c:pt idx="4">
                  <c:v>1.145</c:v>
                </c:pt>
                <c:pt idx="5">
                  <c:v>1.444</c:v>
                </c:pt>
                <c:pt idx="6">
                  <c:v>1.742</c:v>
                </c:pt>
                <c:pt idx="7">
                  <c:v>1.952</c:v>
                </c:pt>
                <c:pt idx="8">
                  <c:v>2.1619999999999999</c:v>
                </c:pt>
                <c:pt idx="9">
                  <c:v>2.3719999999999999</c:v>
                </c:pt>
                <c:pt idx="10">
                  <c:v>2.5819999999999999</c:v>
                </c:pt>
                <c:pt idx="11">
                  <c:v>2.7919999999999998</c:v>
                </c:pt>
                <c:pt idx="12">
                  <c:v>3.0019999999999998</c:v>
                </c:pt>
                <c:pt idx="13">
                  <c:v>3.2120000000000002</c:v>
                </c:pt>
                <c:pt idx="14">
                  <c:v>3.4220000000000002</c:v>
                </c:pt>
                <c:pt idx="15">
                  <c:v>3.6320000000000001</c:v>
                </c:pt>
                <c:pt idx="16">
                  <c:v>3.8420000000000001</c:v>
                </c:pt>
                <c:pt idx="17">
                  <c:v>3.9420000000000002</c:v>
                </c:pt>
                <c:pt idx="18">
                  <c:v>4.0419999999999998</c:v>
                </c:pt>
                <c:pt idx="19">
                  <c:v>4.1420000000000003</c:v>
                </c:pt>
                <c:pt idx="20">
                  <c:v>4.242</c:v>
                </c:pt>
                <c:pt idx="21">
                  <c:v>4.3419999999999996</c:v>
                </c:pt>
                <c:pt idx="22">
                  <c:v>4.4420000000000002</c:v>
                </c:pt>
                <c:pt idx="23">
                  <c:v>4.5419999999999998</c:v>
                </c:pt>
                <c:pt idx="24">
                  <c:v>4.6420000000000003</c:v>
                </c:pt>
                <c:pt idx="25">
                  <c:v>4.742</c:v>
                </c:pt>
                <c:pt idx="26">
                  <c:v>4.8419999999999996</c:v>
                </c:pt>
                <c:pt idx="27">
                  <c:v>4.9420000000000002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6-4BE8-B19E-D5C6CDAF6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70496"/>
        <c:axId val="2080872992"/>
      </c:areaChart>
      <c:catAx>
        <c:axId val="20808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2992"/>
        <c:crosses val="autoZero"/>
        <c:auto val="1"/>
        <c:lblAlgn val="ctr"/>
        <c:lblOffset val="100"/>
        <c:noMultiLvlLbl val="0"/>
      </c:catAx>
      <c:valAx>
        <c:axId val="208087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87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950986442445435E-3"/>
          <c:y val="0.887351251204887"/>
          <c:w val="0.98858465379420279"/>
          <c:h val="8.8480903321107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 d'énergie par vecteur (TWh)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Consommation!$J$22</c:f>
              <c:strCache>
                <c:ptCount val="1"/>
                <c:pt idx="0">
                  <c:v>Electricité (joule)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Consommation!$L$22:$AM$22</c:f>
              <c:numCache>
                <c:formatCode>0.0</c:formatCode>
                <c:ptCount val="28"/>
                <c:pt idx="0">
                  <c:v>42.595609999999994</c:v>
                </c:pt>
                <c:pt idx="1">
                  <c:v>39.058489600000001</c:v>
                </c:pt>
                <c:pt idx="2">
                  <c:v>36.626534333333332</c:v>
                </c:pt>
                <c:pt idx="3">
                  <c:v>34.282373400000004</c:v>
                </c:pt>
                <c:pt idx="4">
                  <c:v>32.08204880000001</c:v>
                </c:pt>
                <c:pt idx="5">
                  <c:v>29.968892666666676</c:v>
                </c:pt>
                <c:pt idx="6">
                  <c:v>27.919582600000005</c:v>
                </c:pt>
                <c:pt idx="7">
                  <c:v>25.807440000000007</c:v>
                </c:pt>
                <c:pt idx="8">
                  <c:v>24.078834836666672</c:v>
                </c:pt>
                <c:pt idx="9">
                  <c:v>22.360936566666673</c:v>
                </c:pt>
                <c:pt idx="10">
                  <c:v>20.737911783750008</c:v>
                </c:pt>
                <c:pt idx="11">
                  <c:v>19.20521269333334</c:v>
                </c:pt>
                <c:pt idx="12">
                  <c:v>17.758355812500007</c:v>
                </c:pt>
                <c:pt idx="13">
                  <c:v>16.315847020000007</c:v>
                </c:pt>
                <c:pt idx="14">
                  <c:v>14.882014922500005</c:v>
                </c:pt>
                <c:pt idx="15">
                  <c:v>13.548550400000005</c:v>
                </c:pt>
                <c:pt idx="16">
                  <c:v>12.274530986250003</c:v>
                </c:pt>
                <c:pt idx="17">
                  <c:v>11.055079583333336</c:v>
                </c:pt>
                <c:pt idx="18">
                  <c:v>9.8745052262500028</c:v>
                </c:pt>
                <c:pt idx="19">
                  <c:v>8.7590880800000033</c:v>
                </c:pt>
                <c:pt idx="20">
                  <c:v>7.7022531650000019</c:v>
                </c:pt>
                <c:pt idx="21">
                  <c:v>7.3381868450000027</c:v>
                </c:pt>
                <c:pt idx="22">
                  <c:v>6.8676742187500022</c:v>
                </c:pt>
                <c:pt idx="23">
                  <c:v>6.485526026666669</c:v>
                </c:pt>
                <c:pt idx="24">
                  <c:v>6.087828110000002</c:v>
                </c:pt>
                <c:pt idx="25">
                  <c:v>5.7462763050000021</c:v>
                </c:pt>
                <c:pt idx="26">
                  <c:v>5.4633813712500023</c:v>
                </c:pt>
                <c:pt idx="27">
                  <c:v>5.2206773333333354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A-48AC-99E0-574C8739A9CD}"/>
            </c:ext>
          </c:extLst>
        </c:ser>
        <c:ser>
          <c:idx val="4"/>
          <c:order val="1"/>
          <c:tx>
            <c:strRef>
              <c:f>Consommation!$J$20</c:f>
              <c:strCache>
                <c:ptCount val="1"/>
                <c:pt idx="0">
                  <c:v>dont PAC air/air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Consommation!$L$20:$AM$20</c:f>
              <c:numCache>
                <c:formatCode>0.0</c:formatCode>
                <c:ptCount val="28"/>
                <c:pt idx="0">
                  <c:v>1.3550899999999999</c:v>
                </c:pt>
                <c:pt idx="1">
                  <c:v>2.2733567999999997</c:v>
                </c:pt>
                <c:pt idx="2">
                  <c:v>3.5170456666666663</c:v>
                </c:pt>
                <c:pt idx="3">
                  <c:v>4.6753344000000006</c:v>
                </c:pt>
                <c:pt idx="4">
                  <c:v>5.9065912000000012</c:v>
                </c:pt>
                <c:pt idx="5">
                  <c:v>7.0446393333333344</c:v>
                </c:pt>
                <c:pt idx="6">
                  <c:v>8.0886260000000032</c:v>
                </c:pt>
                <c:pt idx="7">
                  <c:v>9.0326040000000027</c:v>
                </c:pt>
                <c:pt idx="8">
                  <c:v>10.147208894166669</c:v>
                </c:pt>
                <c:pt idx="9">
                  <c:v>11.190054031666669</c:v>
                </c:pt>
                <c:pt idx="10">
                  <c:v>12.247003256250004</c:v>
                </c:pt>
                <c:pt idx="11">
                  <c:v>13.32037130666667</c:v>
                </c:pt>
                <c:pt idx="12">
                  <c:v>14.406408093750004</c:v>
                </c:pt>
                <c:pt idx="13">
                  <c:v>15.197408210000004</c:v>
                </c:pt>
                <c:pt idx="14">
                  <c:v>15.99300755708334</c:v>
                </c:pt>
                <c:pt idx="15">
                  <c:v>16.798165120000004</c:v>
                </c:pt>
                <c:pt idx="16">
                  <c:v>17.491819410000005</c:v>
                </c:pt>
                <c:pt idx="17">
                  <c:v>18.231877708333339</c:v>
                </c:pt>
                <c:pt idx="18">
                  <c:v>18.835867948333341</c:v>
                </c:pt>
                <c:pt idx="19">
                  <c:v>19.412281000000004</c:v>
                </c:pt>
                <c:pt idx="20">
                  <c:v>19.910772816250006</c:v>
                </c:pt>
                <c:pt idx="21">
                  <c:v>20.333151045000008</c:v>
                </c:pt>
                <c:pt idx="22">
                  <c:v>20.478754375000005</c:v>
                </c:pt>
                <c:pt idx="23">
                  <c:v>20.66667433333334</c:v>
                </c:pt>
                <c:pt idx="24">
                  <c:v>20.804157502916674</c:v>
                </c:pt>
                <c:pt idx="25">
                  <c:v>20.937329490000007</c:v>
                </c:pt>
                <c:pt idx="26">
                  <c:v>21.069462764166673</c:v>
                </c:pt>
                <c:pt idx="27">
                  <c:v>21.192506000000005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A-48AC-99E0-574C8739A9CD}"/>
            </c:ext>
          </c:extLst>
        </c:ser>
        <c:ser>
          <c:idx val="6"/>
          <c:order val="2"/>
          <c:tx>
            <c:strRef>
              <c:f>Consommation!$J$21</c:f>
              <c:strCache>
                <c:ptCount val="1"/>
                <c:pt idx="0">
                  <c:v>dont PAC air/eau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Consommation!$L$21:$AM$21</c:f>
              <c:numCache>
                <c:formatCode>0.0</c:formatCode>
                <c:ptCount val="28"/>
                <c:pt idx="0">
                  <c:v>5.4193899999999999</c:v>
                </c:pt>
                <c:pt idx="1">
                  <c:v>6.3636767999999995</c:v>
                </c:pt>
                <c:pt idx="2">
                  <c:v>6.7226813333333331</c:v>
                </c:pt>
                <c:pt idx="3">
                  <c:v>7.0827966000000009</c:v>
                </c:pt>
                <c:pt idx="4">
                  <c:v>7.4802752000000012</c:v>
                </c:pt>
                <c:pt idx="5">
                  <c:v>7.8470786666666674</c:v>
                </c:pt>
                <c:pt idx="6">
                  <c:v>8.1831568000000026</c:v>
                </c:pt>
                <c:pt idx="7">
                  <c:v>8.4366420000000026</c:v>
                </c:pt>
                <c:pt idx="8">
                  <c:v>8.8133856791666698</c:v>
                </c:pt>
                <c:pt idx="9">
                  <c:v>9.1683325650000036</c:v>
                </c:pt>
                <c:pt idx="10">
                  <c:v>9.5347020037500041</c:v>
                </c:pt>
                <c:pt idx="11">
                  <c:v>9.9149037866666685</c:v>
                </c:pt>
                <c:pt idx="12">
                  <c:v>10.306142562500003</c:v>
                </c:pt>
                <c:pt idx="13">
                  <c:v>10.559227050000004</c:v>
                </c:pt>
                <c:pt idx="14">
                  <c:v>10.81150161666667</c:v>
                </c:pt>
                <c:pt idx="15">
                  <c:v>11.072289653333335</c:v>
                </c:pt>
                <c:pt idx="16">
                  <c:v>11.282291133750002</c:v>
                </c:pt>
                <c:pt idx="17">
                  <c:v>11.482540416666669</c:v>
                </c:pt>
                <c:pt idx="18">
                  <c:v>11.622879910833337</c:v>
                </c:pt>
                <c:pt idx="19">
                  <c:v>11.752457640000003</c:v>
                </c:pt>
                <c:pt idx="20">
                  <c:v>11.849811871250004</c:v>
                </c:pt>
                <c:pt idx="21">
                  <c:v>11.62685569166667</c:v>
                </c:pt>
                <c:pt idx="22">
                  <c:v>11.645830781250003</c:v>
                </c:pt>
                <c:pt idx="23">
                  <c:v>11.681484346666668</c:v>
                </c:pt>
                <c:pt idx="24">
                  <c:v>11.686280970000002</c:v>
                </c:pt>
                <c:pt idx="25">
                  <c:v>11.687424210000003</c:v>
                </c:pt>
                <c:pt idx="26">
                  <c:v>11.685767788750004</c:v>
                </c:pt>
                <c:pt idx="27">
                  <c:v>11.677322666666671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F-49D6-B5E5-D234FA02E384}"/>
            </c:ext>
          </c:extLst>
        </c:ser>
        <c:ser>
          <c:idx val="0"/>
          <c:order val="3"/>
          <c:tx>
            <c:strRef>
              <c:f>Consommation!$J$15</c:f>
              <c:strCache>
                <c:ptCount val="1"/>
                <c:pt idx="0">
                  <c:v>Chauffage urbain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Consommation!$L$15:$AM$15</c:f>
              <c:numCache>
                <c:formatCode>0.0</c:formatCode>
                <c:ptCount val="28"/>
                <c:pt idx="0">
                  <c:v>11.11426</c:v>
                </c:pt>
                <c:pt idx="1">
                  <c:v>11.8958944</c:v>
                </c:pt>
                <c:pt idx="2">
                  <c:v>11.811875666666666</c:v>
                </c:pt>
                <c:pt idx="3">
                  <c:v>13.060971000000002</c:v>
                </c:pt>
                <c:pt idx="4">
                  <c:v>13.775011200000003</c:v>
                </c:pt>
                <c:pt idx="5">
                  <c:v>15.41371066666667</c:v>
                </c:pt>
                <c:pt idx="6">
                  <c:v>18.043789400000005</c:v>
                </c:pt>
                <c:pt idx="7">
                  <c:v>21.498582000000003</c:v>
                </c:pt>
                <c:pt idx="8">
                  <c:v>23.424176198333338</c:v>
                </c:pt>
                <c:pt idx="9">
                  <c:v>26.304164858333341</c:v>
                </c:pt>
                <c:pt idx="10">
                  <c:v>28.696945497500007</c:v>
                </c:pt>
                <c:pt idx="11">
                  <c:v>30.547268266666673</c:v>
                </c:pt>
                <c:pt idx="12">
                  <c:v>31.935107750000011</c:v>
                </c:pt>
                <c:pt idx="13">
                  <c:v>32.897173390000013</c:v>
                </c:pt>
                <c:pt idx="14">
                  <c:v>33.217230282500012</c:v>
                </c:pt>
                <c:pt idx="15">
                  <c:v>33.259314293333347</c:v>
                </c:pt>
                <c:pt idx="16">
                  <c:v>33.033811443750011</c:v>
                </c:pt>
                <c:pt idx="17">
                  <c:v>32.425596875000004</c:v>
                </c:pt>
                <c:pt idx="18">
                  <c:v>31.961663136666676</c:v>
                </c:pt>
                <c:pt idx="19">
                  <c:v>31.500022720000008</c:v>
                </c:pt>
                <c:pt idx="20">
                  <c:v>31.073061442500006</c:v>
                </c:pt>
                <c:pt idx="21">
                  <c:v>30.642323980000008</c:v>
                </c:pt>
                <c:pt idx="22">
                  <c:v>30.222704375000006</c:v>
                </c:pt>
                <c:pt idx="23">
                  <c:v>29.814084400000009</c:v>
                </c:pt>
                <c:pt idx="24">
                  <c:v>29.413083775833339</c:v>
                </c:pt>
                <c:pt idx="25">
                  <c:v>29.021253030000008</c:v>
                </c:pt>
                <c:pt idx="26">
                  <c:v>28.638497112500009</c:v>
                </c:pt>
                <c:pt idx="27">
                  <c:v>28.234948666666671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DA-48AC-99E0-574C8739A9CD}"/>
            </c:ext>
          </c:extLst>
        </c:ser>
        <c:ser>
          <c:idx val="3"/>
          <c:order val="4"/>
          <c:tx>
            <c:strRef>
              <c:f>Consommation!$J$18</c:f>
              <c:strCache>
                <c:ptCount val="1"/>
                <c:pt idx="0">
                  <c:v>Bois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Consommation!$L$18:$AM$18</c:f>
              <c:numCache>
                <c:formatCode>0.0</c:formatCode>
                <c:ptCount val="28"/>
                <c:pt idx="0">
                  <c:v>73.819909999999993</c:v>
                </c:pt>
                <c:pt idx="1">
                  <c:v>71.342835199999996</c:v>
                </c:pt>
                <c:pt idx="2">
                  <c:v>69.398190333333332</c:v>
                </c:pt>
                <c:pt idx="3">
                  <c:v>66.861748800000001</c:v>
                </c:pt>
                <c:pt idx="4">
                  <c:v>63.906252000000009</c:v>
                </c:pt>
                <c:pt idx="5">
                  <c:v>61.364444666666678</c:v>
                </c:pt>
                <c:pt idx="6">
                  <c:v>58.796374000000021</c:v>
                </c:pt>
                <c:pt idx="7">
                  <c:v>56.060862000000014</c:v>
                </c:pt>
                <c:pt idx="8">
                  <c:v>54.003211177916683</c:v>
                </c:pt>
                <c:pt idx="9">
                  <c:v>51.899855771666687</c:v>
                </c:pt>
                <c:pt idx="10">
                  <c:v>49.93896701500001</c:v>
                </c:pt>
                <c:pt idx="11">
                  <c:v>48.11453920000001</c:v>
                </c:pt>
                <c:pt idx="12">
                  <c:v>46.406026000000011</c:v>
                </c:pt>
                <c:pt idx="13">
                  <c:v>45.097234100000009</c:v>
                </c:pt>
                <c:pt idx="14">
                  <c:v>43.82495044125001</c:v>
                </c:pt>
                <c:pt idx="15">
                  <c:v>42.638884053333349</c:v>
                </c:pt>
                <c:pt idx="16">
                  <c:v>41.624208258750009</c:v>
                </c:pt>
                <c:pt idx="17">
                  <c:v>39.451773958333341</c:v>
                </c:pt>
                <c:pt idx="18">
                  <c:v>39.343875748333346</c:v>
                </c:pt>
                <c:pt idx="19">
                  <c:v>38.390027160000017</c:v>
                </c:pt>
                <c:pt idx="20">
                  <c:v>37.516516009166679</c:v>
                </c:pt>
                <c:pt idx="21">
                  <c:v>36.774426043333342</c:v>
                </c:pt>
                <c:pt idx="22">
                  <c:v>36.086356718750011</c:v>
                </c:pt>
                <c:pt idx="23">
                  <c:v>35.37544754666667</c:v>
                </c:pt>
                <c:pt idx="24">
                  <c:v>34.727698990833346</c:v>
                </c:pt>
                <c:pt idx="25">
                  <c:v>34.088726595000011</c:v>
                </c:pt>
                <c:pt idx="26">
                  <c:v>33.456037129166681</c:v>
                </c:pt>
                <c:pt idx="27">
                  <c:v>32.81269733333334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DA-48AC-99E0-574C8739A9CD}"/>
            </c:ext>
          </c:extLst>
        </c:ser>
        <c:ser>
          <c:idx val="1"/>
          <c:order val="5"/>
          <c:tx>
            <c:strRef>
              <c:f>Consommation!$J$16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Consommation!$L$16:$AM$16</c:f>
              <c:numCache>
                <c:formatCode>0.0</c:formatCode>
                <c:ptCount val="28"/>
                <c:pt idx="0">
                  <c:v>88.27</c:v>
                </c:pt>
                <c:pt idx="1">
                  <c:v>85.248009599999989</c:v>
                </c:pt>
                <c:pt idx="2">
                  <c:v>83.966516333333331</c:v>
                </c:pt>
                <c:pt idx="3">
                  <c:v>80.742578399999999</c:v>
                </c:pt>
                <c:pt idx="4">
                  <c:v>76.14978880000001</c:v>
                </c:pt>
                <c:pt idx="5">
                  <c:v>72.348002666666673</c:v>
                </c:pt>
                <c:pt idx="6">
                  <c:v>68.144221600000023</c:v>
                </c:pt>
                <c:pt idx="7">
                  <c:v>63.47171100000002</c:v>
                </c:pt>
                <c:pt idx="8">
                  <c:v>59.696465780000011</c:v>
                </c:pt>
                <c:pt idx="9">
                  <c:v>55.56248306666668</c:v>
                </c:pt>
                <c:pt idx="10">
                  <c:v>51.708123206250015</c:v>
                </c:pt>
                <c:pt idx="11">
                  <c:v>48.141319893333339</c:v>
                </c:pt>
                <c:pt idx="12">
                  <c:v>44.794132229166685</c:v>
                </c:pt>
                <c:pt idx="13">
                  <c:v>41.223804745000017</c:v>
                </c:pt>
                <c:pt idx="14">
                  <c:v>37.835139805833343</c:v>
                </c:pt>
                <c:pt idx="15">
                  <c:v>34.697362186666673</c:v>
                </c:pt>
                <c:pt idx="16">
                  <c:v>32.241033776250006</c:v>
                </c:pt>
                <c:pt idx="17">
                  <c:v>25.503760625000005</c:v>
                </c:pt>
                <c:pt idx="18">
                  <c:v>26.745022427083342</c:v>
                </c:pt>
                <c:pt idx="19">
                  <c:v>24.700928640000008</c:v>
                </c:pt>
                <c:pt idx="20">
                  <c:v>22.976395787916672</c:v>
                </c:pt>
                <c:pt idx="21">
                  <c:v>21.537582523333338</c:v>
                </c:pt>
                <c:pt idx="22">
                  <c:v>20.366007656250005</c:v>
                </c:pt>
                <c:pt idx="23">
                  <c:v>19.013340386666673</c:v>
                </c:pt>
                <c:pt idx="24">
                  <c:v>17.93152478541667</c:v>
                </c:pt>
                <c:pt idx="25">
                  <c:v>16.842589995000004</c:v>
                </c:pt>
                <c:pt idx="26">
                  <c:v>15.732986390000004</c:v>
                </c:pt>
                <c:pt idx="27">
                  <c:v>14.611942000000003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DA-48AC-99E0-574C8739A9CD}"/>
            </c:ext>
          </c:extLst>
        </c:ser>
        <c:ser>
          <c:idx val="2"/>
          <c:order val="6"/>
          <c:tx>
            <c:strRef>
              <c:f>Consommation!$J$17</c:f>
              <c:strCache>
                <c:ptCount val="1"/>
                <c:pt idx="0">
                  <c:v>Fioul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Consommation!$L$17:$AM$17</c:f>
              <c:numCache>
                <c:formatCode>0.0</c:formatCode>
                <c:ptCount val="28"/>
                <c:pt idx="0">
                  <c:v>30.07</c:v>
                </c:pt>
                <c:pt idx="1">
                  <c:v>26.697590399999999</c:v>
                </c:pt>
                <c:pt idx="2">
                  <c:v>23.829470666666666</c:v>
                </c:pt>
                <c:pt idx="3">
                  <c:v>20.766339000000002</c:v>
                </c:pt>
                <c:pt idx="4">
                  <c:v>17.389437600000004</c:v>
                </c:pt>
                <c:pt idx="5">
                  <c:v>14.622127333333337</c:v>
                </c:pt>
                <c:pt idx="6">
                  <c:v>12.051785200000003</c:v>
                </c:pt>
                <c:pt idx="7">
                  <c:v>9.6549360000000028</c:v>
                </c:pt>
                <c:pt idx="8">
                  <c:v>7.4471796170833358</c:v>
                </c:pt>
                <c:pt idx="9">
                  <c:v>5.3680190666666681</c:v>
                </c:pt>
                <c:pt idx="10">
                  <c:v>3.4420022612500012</c:v>
                </c:pt>
                <c:pt idx="11">
                  <c:v>1.6569474133333335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DA-48AC-99E0-574C8739A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077200"/>
        <c:axId val="1794627920"/>
      </c:areaChart>
      <c:catAx>
        <c:axId val="172207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94627920"/>
        <c:crosses val="autoZero"/>
        <c:auto val="1"/>
        <c:lblAlgn val="ctr"/>
        <c:lblOffset val="100"/>
        <c:noMultiLvlLbl val="0"/>
      </c:catAx>
      <c:valAx>
        <c:axId val="179462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2077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du parc par énergie de chauffage</a:t>
            </a:r>
          </a:p>
          <a:p>
            <a:pPr>
              <a:defRPr/>
            </a:pPr>
            <a:r>
              <a:rPr lang="fr-FR"/>
              <a:t> (millions de logements)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4520024657165206E-2"/>
          <c:y val="0.16360212796350085"/>
          <c:w val="0.87615414576790551"/>
          <c:h val="0.64708780159803803"/>
        </c:manualLayout>
      </c:layout>
      <c:areaChart>
        <c:grouping val="stacked"/>
        <c:varyColors val="0"/>
        <c:ser>
          <c:idx val="0"/>
          <c:order val="0"/>
          <c:tx>
            <c:strRef>
              <c:f>Consommation!$J$29</c:f>
              <c:strCache>
                <c:ptCount val="1"/>
                <c:pt idx="0">
                  <c:v>Stock Direct electric (Million)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Consommation!$L$29:$AM$29</c:f>
              <c:numCache>
                <c:formatCode>0.0</c:formatCode>
                <c:ptCount val="28"/>
                <c:pt idx="0">
                  <c:v>8.3170000000000002</c:v>
                </c:pt>
                <c:pt idx="1">
                  <c:v>8.0120000000000005</c:v>
                </c:pt>
                <c:pt idx="2">
                  <c:v>7.7679999999999998</c:v>
                </c:pt>
                <c:pt idx="3">
                  <c:v>7.4989999999999997</c:v>
                </c:pt>
                <c:pt idx="4">
                  <c:v>7.2409999999999997</c:v>
                </c:pt>
                <c:pt idx="5">
                  <c:v>6.9640000000000004</c:v>
                </c:pt>
                <c:pt idx="6">
                  <c:v>6.6660000000000004</c:v>
                </c:pt>
                <c:pt idx="7">
                  <c:v>6.3319999999999999</c:v>
                </c:pt>
                <c:pt idx="8">
                  <c:v>6.03</c:v>
                </c:pt>
                <c:pt idx="9">
                  <c:v>5.7069999999999999</c:v>
                </c:pt>
                <c:pt idx="10">
                  <c:v>5.3929999999999998</c:v>
                </c:pt>
                <c:pt idx="11">
                  <c:v>5.09</c:v>
                </c:pt>
                <c:pt idx="12">
                  <c:v>4.7949999999999999</c:v>
                </c:pt>
                <c:pt idx="13">
                  <c:v>4.4969999999999999</c:v>
                </c:pt>
                <c:pt idx="14">
                  <c:v>4.2130000000000001</c:v>
                </c:pt>
                <c:pt idx="15">
                  <c:v>3.9380000000000002</c:v>
                </c:pt>
                <c:pt idx="16">
                  <c:v>3.6669999999999998</c:v>
                </c:pt>
                <c:pt idx="17">
                  <c:v>3.4039999999999999</c:v>
                </c:pt>
                <c:pt idx="18">
                  <c:v>3.1360000000000001</c:v>
                </c:pt>
                <c:pt idx="19">
                  <c:v>2.8719999999999999</c:v>
                </c:pt>
                <c:pt idx="20">
                  <c:v>2.609</c:v>
                </c:pt>
                <c:pt idx="21">
                  <c:v>2.5430000000000001</c:v>
                </c:pt>
                <c:pt idx="22">
                  <c:v>2.44</c:v>
                </c:pt>
                <c:pt idx="23">
                  <c:v>2.36</c:v>
                </c:pt>
                <c:pt idx="24">
                  <c:v>2.27</c:v>
                </c:pt>
                <c:pt idx="25">
                  <c:v>2.1949999999999998</c:v>
                </c:pt>
                <c:pt idx="26">
                  <c:v>2.1360000000000001</c:v>
                </c:pt>
                <c:pt idx="27">
                  <c:v>2.09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C-495D-9CA1-5595F5FC98D0}"/>
            </c:ext>
          </c:extLst>
        </c:ser>
        <c:ser>
          <c:idx val="1"/>
          <c:order val="1"/>
          <c:tx>
            <c:strRef>
              <c:f>Consommation!$J$31</c:f>
              <c:strCache>
                <c:ptCount val="1"/>
                <c:pt idx="0">
                  <c:v>Stock Electricity-Heat pump air (Million)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Consommation!$L$31:$AM$31</c:f>
              <c:numCache>
                <c:formatCode>0.0</c:formatCode>
                <c:ptCount val="28"/>
                <c:pt idx="0">
                  <c:v>0.57899999999999996</c:v>
                </c:pt>
                <c:pt idx="1">
                  <c:v>0.91300000000000003</c:v>
                </c:pt>
                <c:pt idx="2">
                  <c:v>1.39</c:v>
                </c:pt>
                <c:pt idx="3">
                  <c:v>1.8360000000000001</c:v>
                </c:pt>
                <c:pt idx="4">
                  <c:v>2.3220000000000001</c:v>
                </c:pt>
                <c:pt idx="5">
                  <c:v>2.782</c:v>
                </c:pt>
                <c:pt idx="6">
                  <c:v>3.2120000000000002</c:v>
                </c:pt>
                <c:pt idx="7">
                  <c:v>3.601</c:v>
                </c:pt>
                <c:pt idx="8">
                  <c:v>4.0529999999999999</c:v>
                </c:pt>
                <c:pt idx="9">
                  <c:v>4.4729999999999999</c:v>
                </c:pt>
                <c:pt idx="10">
                  <c:v>4.9130000000000003</c:v>
                </c:pt>
                <c:pt idx="11">
                  <c:v>5.3780000000000001</c:v>
                </c:pt>
                <c:pt idx="12">
                  <c:v>5.8659999999999997</c:v>
                </c:pt>
                <c:pt idx="13">
                  <c:v>6.2729999999999997</c:v>
                </c:pt>
                <c:pt idx="14">
                  <c:v>6.7069999999999999</c:v>
                </c:pt>
                <c:pt idx="15">
                  <c:v>7.1559999999999997</c:v>
                </c:pt>
                <c:pt idx="16">
                  <c:v>7.5739999999999998</c:v>
                </c:pt>
                <c:pt idx="17">
                  <c:v>8.0190000000000001</c:v>
                </c:pt>
                <c:pt idx="18">
                  <c:v>8.4169999999999998</c:v>
                </c:pt>
                <c:pt idx="19">
                  <c:v>8.8109999999999999</c:v>
                </c:pt>
                <c:pt idx="20">
                  <c:v>9.1769999999999996</c:v>
                </c:pt>
                <c:pt idx="21">
                  <c:v>9.48</c:v>
                </c:pt>
                <c:pt idx="22">
                  <c:v>9.6649999999999991</c:v>
                </c:pt>
                <c:pt idx="23">
                  <c:v>9.8699999999999992</c:v>
                </c:pt>
                <c:pt idx="24">
                  <c:v>10.055</c:v>
                </c:pt>
                <c:pt idx="25">
                  <c:v>10.238</c:v>
                </c:pt>
                <c:pt idx="26">
                  <c:v>10.420999999999999</c:v>
                </c:pt>
                <c:pt idx="27">
                  <c:v>10.601000000000001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C-495D-9CA1-5595F5FC98D0}"/>
            </c:ext>
          </c:extLst>
        </c:ser>
        <c:ser>
          <c:idx val="6"/>
          <c:order val="2"/>
          <c:tx>
            <c:strRef>
              <c:f>Consommation!$J$32</c:f>
              <c:strCache>
                <c:ptCount val="1"/>
                <c:pt idx="0">
                  <c:v>Stock Electricity-Heat pump water (Million)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Consommation!$L$32:$AM$32</c:f>
              <c:numCache>
                <c:formatCode>0.0</c:formatCode>
                <c:ptCount val="28"/>
                <c:pt idx="0">
                  <c:v>2.3170000000000002</c:v>
                </c:pt>
                <c:pt idx="1">
                  <c:v>2.7290000000000001</c:v>
                </c:pt>
                <c:pt idx="2">
                  <c:v>2.9780000000000002</c:v>
                </c:pt>
                <c:pt idx="3">
                  <c:v>3.218</c:v>
                </c:pt>
                <c:pt idx="4">
                  <c:v>3.4769999999999999</c:v>
                </c:pt>
                <c:pt idx="5">
                  <c:v>3.7290000000000001</c:v>
                </c:pt>
                <c:pt idx="6">
                  <c:v>3.972</c:v>
                </c:pt>
                <c:pt idx="7">
                  <c:v>4.1550000000000002</c:v>
                </c:pt>
                <c:pt idx="8">
                  <c:v>4.3650000000000002</c:v>
                </c:pt>
                <c:pt idx="9">
                  <c:v>4.5659999999999998</c:v>
                </c:pt>
                <c:pt idx="10">
                  <c:v>4.7779999999999996</c:v>
                </c:pt>
                <c:pt idx="11">
                  <c:v>5.0030000000000001</c:v>
                </c:pt>
                <c:pt idx="12">
                  <c:v>5.2409999999999997</c:v>
                </c:pt>
                <c:pt idx="13">
                  <c:v>5.44</c:v>
                </c:pt>
                <c:pt idx="14">
                  <c:v>5.6509999999999998</c:v>
                </c:pt>
                <c:pt idx="15">
                  <c:v>5.8680000000000003</c:v>
                </c:pt>
                <c:pt idx="16">
                  <c:v>6.069</c:v>
                </c:pt>
                <c:pt idx="17">
                  <c:v>6.2489999999999997</c:v>
                </c:pt>
                <c:pt idx="18">
                  <c:v>6.4059999999999997</c:v>
                </c:pt>
                <c:pt idx="19">
                  <c:v>6.5620000000000003</c:v>
                </c:pt>
                <c:pt idx="20">
                  <c:v>6.7050000000000001</c:v>
                </c:pt>
                <c:pt idx="21">
                  <c:v>6.6840000000000002</c:v>
                </c:pt>
                <c:pt idx="22">
                  <c:v>6.7759999999999998</c:v>
                </c:pt>
                <c:pt idx="23">
                  <c:v>6.8760000000000003</c:v>
                </c:pt>
                <c:pt idx="24">
                  <c:v>6.9630000000000001</c:v>
                </c:pt>
                <c:pt idx="25">
                  <c:v>7.0490000000000004</c:v>
                </c:pt>
                <c:pt idx="26">
                  <c:v>7.133</c:v>
                </c:pt>
                <c:pt idx="27">
                  <c:v>7.2160000000000002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A-45B2-B3E5-158FB6CD5697}"/>
            </c:ext>
          </c:extLst>
        </c:ser>
        <c:ser>
          <c:idx val="5"/>
          <c:order val="3"/>
          <c:tx>
            <c:strRef>
              <c:f>Consommation!$J$36</c:f>
              <c:strCache>
                <c:ptCount val="1"/>
                <c:pt idx="0">
                  <c:v>Stock District heating (Million)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Consommation!$L$36:$AM$36</c:f>
              <c:numCache>
                <c:formatCode>0.0</c:formatCode>
                <c:ptCount val="28"/>
                <c:pt idx="0">
                  <c:v>1.421</c:v>
                </c:pt>
                <c:pt idx="1">
                  <c:v>1.5649999999999999</c:v>
                </c:pt>
                <c:pt idx="2">
                  <c:v>1.619</c:v>
                </c:pt>
                <c:pt idx="3">
                  <c:v>1.8680000000000001</c:v>
                </c:pt>
                <c:pt idx="4">
                  <c:v>2.0470000000000002</c:v>
                </c:pt>
                <c:pt idx="5">
                  <c:v>2.375</c:v>
                </c:pt>
                <c:pt idx="6">
                  <c:v>2.8740000000000001</c:v>
                </c:pt>
                <c:pt idx="7">
                  <c:v>3.5219999999999998</c:v>
                </c:pt>
                <c:pt idx="8">
                  <c:v>3.919</c:v>
                </c:pt>
                <c:pt idx="9">
                  <c:v>4.4909999999999997</c:v>
                </c:pt>
                <c:pt idx="10">
                  <c:v>4.9969999999999999</c:v>
                </c:pt>
                <c:pt idx="11">
                  <c:v>5.4219999999999997</c:v>
                </c:pt>
                <c:pt idx="12">
                  <c:v>5.7770000000000001</c:v>
                </c:pt>
                <c:pt idx="13">
                  <c:v>6.07</c:v>
                </c:pt>
                <c:pt idx="14">
                  <c:v>6.2629999999999999</c:v>
                </c:pt>
                <c:pt idx="15">
                  <c:v>6.4059999999999997</c:v>
                </c:pt>
                <c:pt idx="16">
                  <c:v>6.4980000000000002</c:v>
                </c:pt>
                <c:pt idx="17">
                  <c:v>6.4989999999999997</c:v>
                </c:pt>
                <c:pt idx="18">
                  <c:v>6.53</c:v>
                </c:pt>
                <c:pt idx="19">
                  <c:v>6.56</c:v>
                </c:pt>
                <c:pt idx="20">
                  <c:v>6.59</c:v>
                </c:pt>
                <c:pt idx="21">
                  <c:v>6.6189999999999998</c:v>
                </c:pt>
                <c:pt idx="22">
                  <c:v>6.6479999999999997</c:v>
                </c:pt>
                <c:pt idx="23">
                  <c:v>6.6760000000000002</c:v>
                </c:pt>
                <c:pt idx="24">
                  <c:v>6.7039999999999997</c:v>
                </c:pt>
                <c:pt idx="25">
                  <c:v>6.7320000000000002</c:v>
                </c:pt>
                <c:pt idx="26">
                  <c:v>6.7590000000000003</c:v>
                </c:pt>
                <c:pt idx="27">
                  <c:v>6.7839999999999998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2C-495D-9CA1-5595F5FC98D0}"/>
            </c:ext>
          </c:extLst>
        </c:ser>
        <c:ser>
          <c:idx val="3"/>
          <c:order val="4"/>
          <c:tx>
            <c:strRef>
              <c:f>Consommation!$J$34</c:f>
              <c:strCache>
                <c:ptCount val="1"/>
                <c:pt idx="0">
                  <c:v>Stock Wood fuel (Million)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Consommation!$L$34:$AM$34</c:f>
              <c:numCache>
                <c:formatCode>0.0</c:formatCode>
                <c:ptCount val="28"/>
                <c:pt idx="0">
                  <c:v>2.7330000000000001</c:v>
                </c:pt>
                <c:pt idx="1">
                  <c:v>2.7629999999999999</c:v>
                </c:pt>
                <c:pt idx="2">
                  <c:v>2.782</c:v>
                </c:pt>
                <c:pt idx="3">
                  <c:v>2.8</c:v>
                </c:pt>
                <c:pt idx="4">
                  <c:v>2.82</c:v>
                </c:pt>
                <c:pt idx="5">
                  <c:v>2.84</c:v>
                </c:pt>
                <c:pt idx="6">
                  <c:v>2.86</c:v>
                </c:pt>
                <c:pt idx="7">
                  <c:v>2.8759999999999999</c:v>
                </c:pt>
                <c:pt idx="8">
                  <c:v>2.8929999999999998</c:v>
                </c:pt>
                <c:pt idx="9">
                  <c:v>2.91</c:v>
                </c:pt>
                <c:pt idx="10">
                  <c:v>2.927</c:v>
                </c:pt>
                <c:pt idx="11">
                  <c:v>2.944</c:v>
                </c:pt>
                <c:pt idx="12">
                  <c:v>2.9620000000000002</c:v>
                </c:pt>
                <c:pt idx="13">
                  <c:v>2.9750000000000001</c:v>
                </c:pt>
                <c:pt idx="14">
                  <c:v>2.988</c:v>
                </c:pt>
                <c:pt idx="15">
                  <c:v>3.0019999999999998</c:v>
                </c:pt>
                <c:pt idx="16">
                  <c:v>3.0139999999999998</c:v>
                </c:pt>
                <c:pt idx="17">
                  <c:v>3.024</c:v>
                </c:pt>
                <c:pt idx="18">
                  <c:v>3.0310000000000001</c:v>
                </c:pt>
                <c:pt idx="19">
                  <c:v>3.0390000000000001</c:v>
                </c:pt>
                <c:pt idx="20">
                  <c:v>3.0449999999999999</c:v>
                </c:pt>
                <c:pt idx="21">
                  <c:v>3.0449999999999999</c:v>
                </c:pt>
                <c:pt idx="22">
                  <c:v>3.0449999999999999</c:v>
                </c:pt>
                <c:pt idx="23">
                  <c:v>3.0449999999999999</c:v>
                </c:pt>
                <c:pt idx="24">
                  <c:v>3.044</c:v>
                </c:pt>
                <c:pt idx="25">
                  <c:v>3.0430000000000001</c:v>
                </c:pt>
                <c:pt idx="26">
                  <c:v>3.0419999999999998</c:v>
                </c:pt>
                <c:pt idx="27">
                  <c:v>3.0390000000000001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2C-495D-9CA1-5595F5FC98D0}"/>
            </c:ext>
          </c:extLst>
        </c:ser>
        <c:ser>
          <c:idx val="4"/>
          <c:order val="5"/>
          <c:tx>
            <c:strRef>
              <c:f>Consommation!$J$35</c:f>
              <c:strCache>
                <c:ptCount val="1"/>
                <c:pt idx="0">
                  <c:v>Stock Natural gas (Million)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Consommation!$L$35:$AM$35</c:f>
              <c:numCache>
                <c:formatCode>0.0</c:formatCode>
                <c:ptCount val="28"/>
                <c:pt idx="0">
                  <c:v>11.808999999999999</c:v>
                </c:pt>
                <c:pt idx="1">
                  <c:v>11.673999999999999</c:v>
                </c:pt>
                <c:pt idx="2">
                  <c:v>11.648</c:v>
                </c:pt>
                <c:pt idx="3">
                  <c:v>11.49</c:v>
                </c:pt>
                <c:pt idx="4">
                  <c:v>11.327999999999999</c:v>
                </c:pt>
                <c:pt idx="5">
                  <c:v>11.067</c:v>
                </c:pt>
                <c:pt idx="6">
                  <c:v>10.695</c:v>
                </c:pt>
                <c:pt idx="7">
                  <c:v>10.223000000000001</c:v>
                </c:pt>
                <c:pt idx="8">
                  <c:v>9.8780000000000001</c:v>
                </c:pt>
                <c:pt idx="9">
                  <c:v>9.4220000000000006</c:v>
                </c:pt>
                <c:pt idx="10">
                  <c:v>8.9879999999999995</c:v>
                </c:pt>
                <c:pt idx="11">
                  <c:v>8.5860000000000003</c:v>
                </c:pt>
                <c:pt idx="12">
                  <c:v>8.2080000000000002</c:v>
                </c:pt>
                <c:pt idx="13">
                  <c:v>7.7720000000000002</c:v>
                </c:pt>
                <c:pt idx="14">
                  <c:v>7.3810000000000002</c:v>
                </c:pt>
                <c:pt idx="15">
                  <c:v>7.01</c:v>
                </c:pt>
                <c:pt idx="16">
                  <c:v>6.7350000000000003</c:v>
                </c:pt>
                <c:pt idx="17">
                  <c:v>6.4119999999999999</c:v>
                </c:pt>
                <c:pt idx="18">
                  <c:v>6.1360000000000001</c:v>
                </c:pt>
                <c:pt idx="19">
                  <c:v>5.8620000000000001</c:v>
                </c:pt>
                <c:pt idx="20">
                  <c:v>5.6280000000000001</c:v>
                </c:pt>
                <c:pt idx="21">
                  <c:v>5.4329999999999998</c:v>
                </c:pt>
                <c:pt idx="22">
                  <c:v>5.28</c:v>
                </c:pt>
                <c:pt idx="23">
                  <c:v>5.0750000000000002</c:v>
                </c:pt>
                <c:pt idx="24">
                  <c:v>4.915</c:v>
                </c:pt>
                <c:pt idx="25">
                  <c:v>4.7439999999999998</c:v>
                </c:pt>
                <c:pt idx="26">
                  <c:v>4.5590000000000002</c:v>
                </c:pt>
                <c:pt idx="27">
                  <c:v>4.3620000000000001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2C-495D-9CA1-5595F5FC98D0}"/>
            </c:ext>
          </c:extLst>
        </c:ser>
        <c:ser>
          <c:idx val="2"/>
          <c:order val="6"/>
          <c:tx>
            <c:strRef>
              <c:f>Consommation!$J$33</c:f>
              <c:strCache>
                <c:ptCount val="1"/>
                <c:pt idx="0">
                  <c:v>Stock Oil fuel (Million)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Consommation!$L$33:$AM$33</c:f>
              <c:numCache>
                <c:formatCode>0.0</c:formatCode>
                <c:ptCount val="28"/>
                <c:pt idx="0">
                  <c:v>3.0489999999999999</c:v>
                </c:pt>
                <c:pt idx="1">
                  <c:v>2.7879999999999998</c:v>
                </c:pt>
                <c:pt idx="2">
                  <c:v>2.528</c:v>
                </c:pt>
                <c:pt idx="3">
                  <c:v>2.27</c:v>
                </c:pt>
                <c:pt idx="4">
                  <c:v>2.0129999999999999</c:v>
                </c:pt>
                <c:pt idx="5">
                  <c:v>1.758</c:v>
                </c:pt>
                <c:pt idx="6">
                  <c:v>1.504</c:v>
                </c:pt>
                <c:pt idx="7">
                  <c:v>1.2509999999999999</c:v>
                </c:pt>
                <c:pt idx="8">
                  <c:v>0.999</c:v>
                </c:pt>
                <c:pt idx="9">
                  <c:v>0.748</c:v>
                </c:pt>
                <c:pt idx="10">
                  <c:v>0.497</c:v>
                </c:pt>
                <c:pt idx="11">
                  <c:v>0.248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2C-495D-9CA1-5595F5FC9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60816"/>
        <c:axId val="2026353744"/>
      </c:areaChart>
      <c:catAx>
        <c:axId val="202636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3744"/>
        <c:crosses val="autoZero"/>
        <c:auto val="1"/>
        <c:lblAlgn val="ctr"/>
        <c:lblOffset val="100"/>
        <c:noMultiLvlLbl val="0"/>
      </c:catAx>
      <c:valAx>
        <c:axId val="20263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6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848748951492472"/>
          <c:w val="1"/>
          <c:h val="0.13151248126824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Consommation</a:t>
            </a:r>
            <a:r>
              <a:rPr lang="fr-FR" baseline="0"/>
              <a:t> en KWh/m²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Consommation!$J$46</c:f>
              <c:strCache>
                <c:ptCount val="1"/>
                <c:pt idx="0">
                  <c:v>Consumption (kWh/m2)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Consommation!$L$46:$AM$46</c:f>
              <c:numCache>
                <c:formatCode>0.0</c:formatCode>
                <c:ptCount val="28"/>
                <c:pt idx="0">
                  <c:v>100.41500000000001</c:v>
                </c:pt>
                <c:pt idx="1">
                  <c:v>97.085999999999999</c:v>
                </c:pt>
                <c:pt idx="2">
                  <c:v>94.679000000000002</c:v>
                </c:pt>
                <c:pt idx="3">
                  <c:v>91.71</c:v>
                </c:pt>
                <c:pt idx="4">
                  <c:v>87.766999999999996</c:v>
                </c:pt>
                <c:pt idx="5">
                  <c:v>84.903999999999996</c:v>
                </c:pt>
                <c:pt idx="6">
                  <c:v>82.316999999999993</c:v>
                </c:pt>
                <c:pt idx="7">
                  <c:v>80.018000000000001</c:v>
                </c:pt>
                <c:pt idx="8">
                  <c:v>77.271000000000001</c:v>
                </c:pt>
                <c:pt idx="9">
                  <c:v>74.781000000000006</c:v>
                </c:pt>
                <c:pt idx="10">
                  <c:v>72.39</c:v>
                </c:pt>
                <c:pt idx="11">
                  <c:v>70.066999999999993</c:v>
                </c:pt>
                <c:pt idx="12">
                  <c:v>67.8</c:v>
                </c:pt>
                <c:pt idx="13">
                  <c:v>65.941999999999993</c:v>
                </c:pt>
                <c:pt idx="14">
                  <c:v>63.924999999999997</c:v>
                </c:pt>
                <c:pt idx="15">
                  <c:v>61.988999999999997</c:v>
                </c:pt>
                <c:pt idx="16">
                  <c:v>60.256999999999998</c:v>
                </c:pt>
                <c:pt idx="17">
                  <c:v>56.433</c:v>
                </c:pt>
                <c:pt idx="18">
                  <c:v>56.695999999999998</c:v>
                </c:pt>
                <c:pt idx="19">
                  <c:v>55.276000000000003</c:v>
                </c:pt>
                <c:pt idx="20">
                  <c:v>54.005000000000003</c:v>
                </c:pt>
                <c:pt idx="21">
                  <c:v>53.021000000000001</c:v>
                </c:pt>
                <c:pt idx="22">
                  <c:v>52.11</c:v>
                </c:pt>
                <c:pt idx="23">
                  <c:v>51.174999999999997</c:v>
                </c:pt>
                <c:pt idx="24">
                  <c:v>50.337000000000003</c:v>
                </c:pt>
                <c:pt idx="25">
                  <c:v>49.52</c:v>
                </c:pt>
                <c:pt idx="26">
                  <c:v>48.716999999999999</c:v>
                </c:pt>
                <c:pt idx="27">
                  <c:v>47.92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4-48F1-89E3-C1862EC6A624}"/>
            </c:ext>
          </c:extLst>
        </c:ser>
        <c:ser>
          <c:idx val="1"/>
          <c:order val="1"/>
          <c:tx>
            <c:strRef>
              <c:f>Consommation!$J$47</c:f>
              <c:strCache>
                <c:ptCount val="1"/>
                <c:pt idx="0">
                  <c:v>Consumption existing (KWh/m2)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Consommation!$L$47:$AM$47</c:f>
              <c:numCache>
                <c:formatCode>0.0</c:formatCode>
                <c:ptCount val="28"/>
                <c:pt idx="0">
                  <c:v>100.41500000000001</c:v>
                </c:pt>
                <c:pt idx="1">
                  <c:v>97.798000000000002</c:v>
                </c:pt>
                <c:pt idx="2">
                  <c:v>96.213999999999999</c:v>
                </c:pt>
                <c:pt idx="3">
                  <c:v>94</c:v>
                </c:pt>
                <c:pt idx="4">
                  <c:v>90.710999999999999</c:v>
                </c:pt>
                <c:pt idx="5">
                  <c:v>88.474999999999994</c:v>
                </c:pt>
                <c:pt idx="6">
                  <c:v>86.47</c:v>
                </c:pt>
                <c:pt idx="7">
                  <c:v>84.507000000000005</c:v>
                </c:pt>
                <c:pt idx="8">
                  <c:v>82.028000000000006</c:v>
                </c:pt>
                <c:pt idx="9">
                  <c:v>79.787000000000006</c:v>
                </c:pt>
                <c:pt idx="10">
                  <c:v>77.617000000000004</c:v>
                </c:pt>
                <c:pt idx="11">
                  <c:v>75.489000000000004</c:v>
                </c:pt>
                <c:pt idx="12">
                  <c:v>73.387</c:v>
                </c:pt>
                <c:pt idx="13">
                  <c:v>71.709000000000003</c:v>
                </c:pt>
                <c:pt idx="14">
                  <c:v>69.826999999999998</c:v>
                </c:pt>
                <c:pt idx="15">
                  <c:v>68.004000000000005</c:v>
                </c:pt>
                <c:pt idx="16">
                  <c:v>66.385999999999996</c:v>
                </c:pt>
                <c:pt idx="17">
                  <c:v>62.192</c:v>
                </c:pt>
                <c:pt idx="18">
                  <c:v>62.649000000000001</c:v>
                </c:pt>
                <c:pt idx="19">
                  <c:v>61.176000000000002</c:v>
                </c:pt>
                <c:pt idx="20">
                  <c:v>59.866</c:v>
                </c:pt>
                <c:pt idx="21">
                  <c:v>58.88</c:v>
                </c:pt>
                <c:pt idx="22">
                  <c:v>57.972000000000001</c:v>
                </c:pt>
                <c:pt idx="23">
                  <c:v>57.029000000000003</c:v>
                </c:pt>
                <c:pt idx="24">
                  <c:v>56.194000000000003</c:v>
                </c:pt>
                <c:pt idx="25">
                  <c:v>55.377000000000002</c:v>
                </c:pt>
                <c:pt idx="26">
                  <c:v>54.573</c:v>
                </c:pt>
                <c:pt idx="27">
                  <c:v>53.764000000000003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4-48F1-89E3-C1862EC6A624}"/>
            </c:ext>
          </c:extLst>
        </c:ser>
        <c:ser>
          <c:idx val="2"/>
          <c:order val="2"/>
          <c:tx>
            <c:strRef>
              <c:f>Consommation!$J$48</c:f>
              <c:strCache>
                <c:ptCount val="1"/>
                <c:pt idx="0">
                  <c:v>Consumption new (KWh/m2)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Consommation!$L$48:$AM$48</c:f>
              <c:numCache>
                <c:formatCode>0.0</c:formatCode>
                <c:ptCount val="28"/>
                <c:pt idx="0">
                  <c:v>0</c:v>
                </c:pt>
                <c:pt idx="1">
                  <c:v>18.538</c:v>
                </c:pt>
                <c:pt idx="2">
                  <c:v>17.538</c:v>
                </c:pt>
                <c:pt idx="3">
                  <c:v>17.222000000000001</c:v>
                </c:pt>
                <c:pt idx="4">
                  <c:v>17.044</c:v>
                </c:pt>
                <c:pt idx="5">
                  <c:v>16.942</c:v>
                </c:pt>
                <c:pt idx="6">
                  <c:v>16.867999999999999</c:v>
                </c:pt>
                <c:pt idx="7">
                  <c:v>16.797999999999998</c:v>
                </c:pt>
                <c:pt idx="8">
                  <c:v>16.736000000000001</c:v>
                </c:pt>
                <c:pt idx="9">
                  <c:v>16.681000000000001</c:v>
                </c:pt>
                <c:pt idx="10">
                  <c:v>16.631</c:v>
                </c:pt>
                <c:pt idx="11">
                  <c:v>16.585999999999999</c:v>
                </c:pt>
                <c:pt idx="12">
                  <c:v>16.545000000000002</c:v>
                </c:pt>
                <c:pt idx="13">
                  <c:v>16.506</c:v>
                </c:pt>
                <c:pt idx="14">
                  <c:v>16.462</c:v>
                </c:pt>
                <c:pt idx="15">
                  <c:v>16.427</c:v>
                </c:pt>
                <c:pt idx="16">
                  <c:v>16.393000000000001</c:v>
                </c:pt>
                <c:pt idx="17">
                  <c:v>16.274999999999999</c:v>
                </c:pt>
                <c:pt idx="18">
                  <c:v>16.227</c:v>
                </c:pt>
                <c:pt idx="19">
                  <c:v>16.149000000000001</c:v>
                </c:pt>
                <c:pt idx="20">
                  <c:v>16.073</c:v>
                </c:pt>
                <c:pt idx="21">
                  <c:v>15.999000000000001</c:v>
                </c:pt>
                <c:pt idx="22">
                  <c:v>15.928000000000001</c:v>
                </c:pt>
                <c:pt idx="23">
                  <c:v>15.859</c:v>
                </c:pt>
                <c:pt idx="24">
                  <c:v>15.792</c:v>
                </c:pt>
                <c:pt idx="25">
                  <c:v>15.727</c:v>
                </c:pt>
                <c:pt idx="26">
                  <c:v>15.663</c:v>
                </c:pt>
                <c:pt idx="27">
                  <c:v>15.606999999999999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04-48F1-89E3-C1862EC6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001615"/>
        <c:axId val="1450980815"/>
      </c:lineChart>
      <c:catAx>
        <c:axId val="14510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0980815"/>
        <c:crosses val="autoZero"/>
        <c:auto val="1"/>
        <c:lblAlgn val="ctr"/>
        <c:lblOffset val="100"/>
        <c:noMultiLvlLbl val="0"/>
      </c:catAx>
      <c:valAx>
        <c:axId val="145098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100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4"/>
          <c:order val="0"/>
          <c:tx>
            <c:strRef>
              <c:f>Consommation!$J$79</c:f>
              <c:strCache>
                <c:ptCount val="1"/>
                <c:pt idx="0">
                  <c:v>Joule - LC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Consommation!$L$79:$AM$79</c:f>
              <c:numCache>
                <c:formatCode>0.0</c:formatCode>
                <c:ptCount val="28"/>
                <c:pt idx="0">
                  <c:v>3.9329999999999998</c:v>
                </c:pt>
                <c:pt idx="1">
                  <c:v>3.806</c:v>
                </c:pt>
                <c:pt idx="2">
                  <c:v>3.714</c:v>
                </c:pt>
                <c:pt idx="3">
                  <c:v>3.597</c:v>
                </c:pt>
                <c:pt idx="4">
                  <c:v>3.4889999999999999</c:v>
                </c:pt>
                <c:pt idx="5">
                  <c:v>3.3620000000000001</c:v>
                </c:pt>
                <c:pt idx="6">
                  <c:v>3.214</c:v>
                </c:pt>
                <c:pt idx="7">
                  <c:v>3.0329999999999999</c:v>
                </c:pt>
                <c:pt idx="8">
                  <c:v>2.8839999999999999</c:v>
                </c:pt>
                <c:pt idx="9">
                  <c:v>2.714</c:v>
                </c:pt>
                <c:pt idx="10">
                  <c:v>2.5529999999999999</c:v>
                </c:pt>
                <c:pt idx="11">
                  <c:v>2.403</c:v>
                </c:pt>
                <c:pt idx="12">
                  <c:v>2.2629999999999999</c:v>
                </c:pt>
                <c:pt idx="13">
                  <c:v>2.1259999999999999</c:v>
                </c:pt>
                <c:pt idx="14">
                  <c:v>2.0049999999999999</c:v>
                </c:pt>
                <c:pt idx="15">
                  <c:v>1.891</c:v>
                </c:pt>
                <c:pt idx="16">
                  <c:v>1.782</c:v>
                </c:pt>
                <c:pt idx="17">
                  <c:v>1.681</c:v>
                </c:pt>
                <c:pt idx="18">
                  <c:v>1.573</c:v>
                </c:pt>
                <c:pt idx="19">
                  <c:v>1.466</c:v>
                </c:pt>
                <c:pt idx="20">
                  <c:v>1.3580000000000001</c:v>
                </c:pt>
                <c:pt idx="21">
                  <c:v>1.335</c:v>
                </c:pt>
                <c:pt idx="22">
                  <c:v>1.294</c:v>
                </c:pt>
                <c:pt idx="23">
                  <c:v>1.2649999999999999</c:v>
                </c:pt>
                <c:pt idx="24">
                  <c:v>1.23</c:v>
                </c:pt>
                <c:pt idx="25">
                  <c:v>1.202</c:v>
                </c:pt>
                <c:pt idx="26">
                  <c:v>1.1819999999999999</c:v>
                </c:pt>
                <c:pt idx="27">
                  <c:v>1.169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F7-45D8-8887-AA4A2C0E4121}"/>
            </c:ext>
          </c:extLst>
        </c:ser>
        <c:ser>
          <c:idx val="5"/>
          <c:order val="1"/>
          <c:tx>
            <c:strRef>
              <c:f>Consommation!$J$80</c:f>
              <c:strCache>
                <c:ptCount val="1"/>
                <c:pt idx="0">
                  <c:v>Joule - MI</c:v>
                </c:pt>
              </c:strCache>
            </c:strRef>
          </c:tx>
          <c:spPr>
            <a:pattFill prst="wdDnDiag">
              <a:fgClr>
                <a:schemeClr val="accent5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Consommation!$L$80:$AM$80</c:f>
              <c:numCache>
                <c:formatCode>0.0</c:formatCode>
                <c:ptCount val="28"/>
                <c:pt idx="0">
                  <c:v>4.3840000000000003</c:v>
                </c:pt>
                <c:pt idx="1">
                  <c:v>4.2060000000000004</c:v>
                </c:pt>
                <c:pt idx="2">
                  <c:v>4.0540000000000003</c:v>
                </c:pt>
                <c:pt idx="3">
                  <c:v>3.9020000000000001</c:v>
                </c:pt>
                <c:pt idx="4">
                  <c:v>3.7519999999999998</c:v>
                </c:pt>
                <c:pt idx="5">
                  <c:v>3.6019999999999999</c:v>
                </c:pt>
                <c:pt idx="6">
                  <c:v>3.4510000000000001</c:v>
                </c:pt>
                <c:pt idx="7">
                  <c:v>3.2989999999999999</c:v>
                </c:pt>
                <c:pt idx="8">
                  <c:v>3.1459999999999999</c:v>
                </c:pt>
                <c:pt idx="9">
                  <c:v>2.9929999999999999</c:v>
                </c:pt>
                <c:pt idx="10">
                  <c:v>2.84</c:v>
                </c:pt>
                <c:pt idx="11">
                  <c:v>2.6869999999999998</c:v>
                </c:pt>
                <c:pt idx="12">
                  <c:v>2.5329999999999999</c:v>
                </c:pt>
                <c:pt idx="13">
                  <c:v>2.37</c:v>
                </c:pt>
                <c:pt idx="14">
                  <c:v>2.2080000000000002</c:v>
                </c:pt>
                <c:pt idx="15">
                  <c:v>2.0470000000000002</c:v>
                </c:pt>
                <c:pt idx="16">
                  <c:v>1.885</c:v>
                </c:pt>
                <c:pt idx="17">
                  <c:v>1.7230000000000001</c:v>
                </c:pt>
                <c:pt idx="18">
                  <c:v>1.5620000000000001</c:v>
                </c:pt>
                <c:pt idx="19">
                  <c:v>1.405</c:v>
                </c:pt>
                <c:pt idx="20">
                  <c:v>1.2509999999999999</c:v>
                </c:pt>
                <c:pt idx="21">
                  <c:v>1.208</c:v>
                </c:pt>
                <c:pt idx="22">
                  <c:v>1.145</c:v>
                </c:pt>
                <c:pt idx="23">
                  <c:v>1.095</c:v>
                </c:pt>
                <c:pt idx="24">
                  <c:v>1.04</c:v>
                </c:pt>
                <c:pt idx="25">
                  <c:v>0.99299999999999999</c:v>
                </c:pt>
                <c:pt idx="26">
                  <c:v>0.95399999999999996</c:v>
                </c:pt>
                <c:pt idx="27">
                  <c:v>0.92200000000000004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F7-45D8-8887-AA4A2C0E4121}"/>
            </c:ext>
          </c:extLst>
        </c:ser>
        <c:ser>
          <c:idx val="0"/>
          <c:order val="2"/>
          <c:tx>
            <c:strRef>
              <c:f>Consommation!$J$75</c:f>
              <c:strCache>
                <c:ptCount val="1"/>
                <c:pt idx="0">
                  <c:v>PAC air/air - LC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Consommation!$L$75:$AM$75</c:f>
              <c:numCache>
                <c:formatCode>0.0</c:formatCode>
                <c:ptCount val="28"/>
                <c:pt idx="0">
                  <c:v>0.19600000000000001</c:v>
                </c:pt>
                <c:pt idx="1">
                  <c:v>0.30199999999999999</c:v>
                </c:pt>
                <c:pt idx="2">
                  <c:v>0.46800000000000003</c:v>
                </c:pt>
                <c:pt idx="3">
                  <c:v>0.6</c:v>
                </c:pt>
                <c:pt idx="4">
                  <c:v>0.75</c:v>
                </c:pt>
                <c:pt idx="5">
                  <c:v>0.87</c:v>
                </c:pt>
                <c:pt idx="6">
                  <c:v>0.95499999999999996</c:v>
                </c:pt>
                <c:pt idx="7">
                  <c:v>1.0029999999999999</c:v>
                </c:pt>
                <c:pt idx="8">
                  <c:v>1.1040000000000001</c:v>
                </c:pt>
                <c:pt idx="9">
                  <c:v>1.1639999999999999</c:v>
                </c:pt>
                <c:pt idx="10">
                  <c:v>1.2370000000000001</c:v>
                </c:pt>
                <c:pt idx="11">
                  <c:v>1.327</c:v>
                </c:pt>
                <c:pt idx="12">
                  <c:v>1.4319999999999999</c:v>
                </c:pt>
                <c:pt idx="13">
                  <c:v>1.54</c:v>
                </c:pt>
                <c:pt idx="14">
                  <c:v>1.6719999999999999</c:v>
                </c:pt>
                <c:pt idx="15">
                  <c:v>1.8160000000000001</c:v>
                </c:pt>
                <c:pt idx="16">
                  <c:v>1.958</c:v>
                </c:pt>
                <c:pt idx="17">
                  <c:v>2.1219999999999999</c:v>
                </c:pt>
                <c:pt idx="18">
                  <c:v>2.2669999999999999</c:v>
                </c:pt>
                <c:pt idx="19">
                  <c:v>2.411</c:v>
                </c:pt>
                <c:pt idx="20">
                  <c:v>2.5470000000000002</c:v>
                </c:pt>
                <c:pt idx="21">
                  <c:v>2.6459999999999999</c:v>
                </c:pt>
                <c:pt idx="22">
                  <c:v>2.714</c:v>
                </c:pt>
                <c:pt idx="23">
                  <c:v>2.7879999999999998</c:v>
                </c:pt>
                <c:pt idx="24">
                  <c:v>2.8559999999999999</c:v>
                </c:pt>
                <c:pt idx="25">
                  <c:v>2.9220000000000002</c:v>
                </c:pt>
                <c:pt idx="26">
                  <c:v>2.9870000000000001</c:v>
                </c:pt>
                <c:pt idx="27">
                  <c:v>3.0529999999999999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7-45D8-8887-AA4A2C0E4121}"/>
            </c:ext>
          </c:extLst>
        </c:ser>
        <c:ser>
          <c:idx val="1"/>
          <c:order val="3"/>
          <c:tx>
            <c:strRef>
              <c:f>Consommation!$J$76</c:f>
              <c:strCache>
                <c:ptCount val="1"/>
                <c:pt idx="0">
                  <c:v>PAC air/air - MI</c:v>
                </c:pt>
              </c:strCache>
            </c:strRef>
          </c:tx>
          <c:spPr>
            <a:pattFill prst="wdDnDiag">
              <a:fgClr>
                <a:srgbClr val="FFFF00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Consommation!$L$76:$AM$76</c:f>
              <c:numCache>
                <c:formatCode>0.0</c:formatCode>
                <c:ptCount val="28"/>
                <c:pt idx="0">
                  <c:v>0.38300000000000001</c:v>
                </c:pt>
                <c:pt idx="1">
                  <c:v>0.61099999999999999</c:v>
                </c:pt>
                <c:pt idx="2">
                  <c:v>0.92200000000000004</c:v>
                </c:pt>
                <c:pt idx="3">
                  <c:v>1.236</c:v>
                </c:pt>
                <c:pt idx="4">
                  <c:v>1.5720000000000001</c:v>
                </c:pt>
                <c:pt idx="5">
                  <c:v>1.9119999999999999</c:v>
                </c:pt>
                <c:pt idx="6">
                  <c:v>2.2570000000000001</c:v>
                </c:pt>
                <c:pt idx="7">
                  <c:v>2.5979999999999999</c:v>
                </c:pt>
                <c:pt idx="8">
                  <c:v>2.95</c:v>
                </c:pt>
                <c:pt idx="9">
                  <c:v>3.3090000000000002</c:v>
                </c:pt>
                <c:pt idx="10">
                  <c:v>3.677</c:v>
                </c:pt>
                <c:pt idx="11">
                  <c:v>4.0519999999999996</c:v>
                </c:pt>
                <c:pt idx="12">
                  <c:v>4.4340000000000002</c:v>
                </c:pt>
                <c:pt idx="13">
                  <c:v>4.7329999999999997</c:v>
                </c:pt>
                <c:pt idx="14">
                  <c:v>5.0359999999999996</c:v>
                </c:pt>
                <c:pt idx="15">
                  <c:v>5.34</c:v>
                </c:pt>
                <c:pt idx="16">
                  <c:v>5.6150000000000002</c:v>
                </c:pt>
                <c:pt idx="17">
                  <c:v>5.8970000000000002</c:v>
                </c:pt>
                <c:pt idx="18">
                  <c:v>6.15</c:v>
                </c:pt>
                <c:pt idx="19">
                  <c:v>6.4</c:v>
                </c:pt>
                <c:pt idx="20">
                  <c:v>6.63</c:v>
                </c:pt>
                <c:pt idx="21">
                  <c:v>6.8339999999999996</c:v>
                </c:pt>
                <c:pt idx="22">
                  <c:v>6.95</c:v>
                </c:pt>
                <c:pt idx="23">
                  <c:v>7.0819999999999999</c:v>
                </c:pt>
                <c:pt idx="24">
                  <c:v>7.1989999999999998</c:v>
                </c:pt>
                <c:pt idx="25">
                  <c:v>7.3159999999999998</c:v>
                </c:pt>
                <c:pt idx="26">
                  <c:v>7.4340000000000002</c:v>
                </c:pt>
                <c:pt idx="27">
                  <c:v>7.548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7-45D8-8887-AA4A2C0E4121}"/>
            </c:ext>
          </c:extLst>
        </c:ser>
        <c:ser>
          <c:idx val="2"/>
          <c:order val="4"/>
          <c:tx>
            <c:strRef>
              <c:f>Consommation!$J$77</c:f>
              <c:strCache>
                <c:ptCount val="1"/>
                <c:pt idx="0">
                  <c:v>PAC air/eau - LC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Consommation!$L$77:$AM$77</c:f>
              <c:numCache>
                <c:formatCode>0.0</c:formatCode>
                <c:ptCount val="28"/>
                <c:pt idx="0">
                  <c:v>0.78300000000000003</c:v>
                </c:pt>
                <c:pt idx="1">
                  <c:v>0.90300000000000002</c:v>
                </c:pt>
                <c:pt idx="2">
                  <c:v>1.006</c:v>
                </c:pt>
                <c:pt idx="3">
                  <c:v>1.097</c:v>
                </c:pt>
                <c:pt idx="4">
                  <c:v>1.196</c:v>
                </c:pt>
                <c:pt idx="5">
                  <c:v>1.2849999999999999</c:v>
                </c:pt>
                <c:pt idx="6">
                  <c:v>1.361</c:v>
                </c:pt>
                <c:pt idx="7">
                  <c:v>1.4059999999999999</c:v>
                </c:pt>
                <c:pt idx="8">
                  <c:v>1.4730000000000001</c:v>
                </c:pt>
                <c:pt idx="9">
                  <c:v>1.5249999999999999</c:v>
                </c:pt>
                <c:pt idx="10">
                  <c:v>1.583</c:v>
                </c:pt>
                <c:pt idx="11">
                  <c:v>1.649</c:v>
                </c:pt>
                <c:pt idx="12">
                  <c:v>1.722</c:v>
                </c:pt>
                <c:pt idx="13">
                  <c:v>1.796</c:v>
                </c:pt>
                <c:pt idx="14">
                  <c:v>1.881</c:v>
                </c:pt>
                <c:pt idx="15">
                  <c:v>1.9710000000000001</c:v>
                </c:pt>
                <c:pt idx="16">
                  <c:v>2.06</c:v>
                </c:pt>
                <c:pt idx="17">
                  <c:v>2.1440000000000001</c:v>
                </c:pt>
                <c:pt idx="18">
                  <c:v>2.2200000000000002</c:v>
                </c:pt>
                <c:pt idx="19">
                  <c:v>2.2949999999999999</c:v>
                </c:pt>
                <c:pt idx="20">
                  <c:v>2.3679999999999999</c:v>
                </c:pt>
                <c:pt idx="21">
                  <c:v>2.3839999999999999</c:v>
                </c:pt>
                <c:pt idx="22">
                  <c:v>2.4329999999999998</c:v>
                </c:pt>
                <c:pt idx="23">
                  <c:v>2.4849999999999999</c:v>
                </c:pt>
                <c:pt idx="24">
                  <c:v>2.5329999999999999</c:v>
                </c:pt>
                <c:pt idx="25">
                  <c:v>2.58</c:v>
                </c:pt>
                <c:pt idx="26">
                  <c:v>2.6269999999999998</c:v>
                </c:pt>
                <c:pt idx="27">
                  <c:v>2.6789999999999998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F7-45D8-8887-AA4A2C0E4121}"/>
            </c:ext>
          </c:extLst>
        </c:ser>
        <c:ser>
          <c:idx val="3"/>
          <c:order val="5"/>
          <c:tx>
            <c:strRef>
              <c:f>Consommation!$J$78</c:f>
              <c:strCache>
                <c:ptCount val="1"/>
                <c:pt idx="0">
                  <c:v>PAC air/eau - MI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Consommation!$L$78:$AM$78</c:f>
              <c:numCache>
                <c:formatCode>0.0</c:formatCode>
                <c:ptCount val="28"/>
                <c:pt idx="0">
                  <c:v>1.5329999999999999</c:v>
                </c:pt>
                <c:pt idx="1">
                  <c:v>1.8260000000000001</c:v>
                </c:pt>
                <c:pt idx="2">
                  <c:v>1.972</c:v>
                </c:pt>
                <c:pt idx="3">
                  <c:v>2.121</c:v>
                </c:pt>
                <c:pt idx="4">
                  <c:v>2.2810000000000001</c:v>
                </c:pt>
                <c:pt idx="5">
                  <c:v>2.444</c:v>
                </c:pt>
                <c:pt idx="6">
                  <c:v>2.6110000000000002</c:v>
                </c:pt>
                <c:pt idx="7">
                  <c:v>2.7490000000000001</c:v>
                </c:pt>
                <c:pt idx="8">
                  <c:v>2.8929999999999998</c:v>
                </c:pt>
                <c:pt idx="9">
                  <c:v>3.0409999999999999</c:v>
                </c:pt>
                <c:pt idx="10">
                  <c:v>3.1949999999999998</c:v>
                </c:pt>
                <c:pt idx="11">
                  <c:v>3.355</c:v>
                </c:pt>
                <c:pt idx="12">
                  <c:v>3.5190000000000001</c:v>
                </c:pt>
                <c:pt idx="13">
                  <c:v>3.6440000000000001</c:v>
                </c:pt>
                <c:pt idx="14">
                  <c:v>3.77</c:v>
                </c:pt>
                <c:pt idx="15">
                  <c:v>3.8969999999999998</c:v>
                </c:pt>
                <c:pt idx="16">
                  <c:v>4.01</c:v>
                </c:pt>
                <c:pt idx="17">
                  <c:v>4.1050000000000004</c:v>
                </c:pt>
                <c:pt idx="18">
                  <c:v>4.1859999999999999</c:v>
                </c:pt>
                <c:pt idx="19">
                  <c:v>4.2670000000000003</c:v>
                </c:pt>
                <c:pt idx="20">
                  <c:v>4.3380000000000001</c:v>
                </c:pt>
                <c:pt idx="21">
                  <c:v>4.3010000000000002</c:v>
                </c:pt>
                <c:pt idx="22">
                  <c:v>4.343</c:v>
                </c:pt>
                <c:pt idx="23">
                  <c:v>4.3920000000000003</c:v>
                </c:pt>
                <c:pt idx="24">
                  <c:v>4.431</c:v>
                </c:pt>
                <c:pt idx="25">
                  <c:v>4.4690000000000003</c:v>
                </c:pt>
                <c:pt idx="26">
                  <c:v>4.5060000000000002</c:v>
                </c:pt>
                <c:pt idx="27">
                  <c:v>4.5380000000000003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F7-45D8-8887-AA4A2C0E4121}"/>
            </c:ext>
          </c:extLst>
        </c:ser>
        <c:ser>
          <c:idx val="6"/>
          <c:order val="6"/>
          <c:tx>
            <c:strRef>
              <c:f>Consommation!$J$81</c:f>
              <c:strCache>
                <c:ptCount val="1"/>
                <c:pt idx="0">
                  <c:v>RCU - LC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Consommation!$L$81:$AM$81</c:f>
              <c:numCache>
                <c:formatCode>0.0</c:formatCode>
                <c:ptCount val="28"/>
                <c:pt idx="0">
                  <c:v>1.1559999999999999</c:v>
                </c:pt>
                <c:pt idx="1">
                  <c:v>1.3</c:v>
                </c:pt>
                <c:pt idx="2">
                  <c:v>1.353</c:v>
                </c:pt>
                <c:pt idx="3">
                  <c:v>1.6020000000000001</c:v>
                </c:pt>
                <c:pt idx="4">
                  <c:v>1.7809999999999999</c:v>
                </c:pt>
                <c:pt idx="5">
                  <c:v>2.11</c:v>
                </c:pt>
                <c:pt idx="6">
                  <c:v>2.6080000000000001</c:v>
                </c:pt>
                <c:pt idx="7">
                  <c:v>3.2559999999999998</c:v>
                </c:pt>
                <c:pt idx="8">
                  <c:v>3.653</c:v>
                </c:pt>
                <c:pt idx="9">
                  <c:v>4.2249999999999996</c:v>
                </c:pt>
                <c:pt idx="10">
                  <c:v>4.7309999999999999</c:v>
                </c:pt>
                <c:pt idx="11">
                  <c:v>5.157</c:v>
                </c:pt>
                <c:pt idx="12">
                  <c:v>5.5110000000000001</c:v>
                </c:pt>
                <c:pt idx="13">
                  <c:v>5.8049999999999997</c:v>
                </c:pt>
                <c:pt idx="14">
                  <c:v>5.9980000000000002</c:v>
                </c:pt>
                <c:pt idx="15">
                  <c:v>6.14</c:v>
                </c:pt>
                <c:pt idx="16">
                  <c:v>6.2329999999999997</c:v>
                </c:pt>
                <c:pt idx="17">
                  <c:v>6.2329999999999997</c:v>
                </c:pt>
                <c:pt idx="18">
                  <c:v>6.2649999999999997</c:v>
                </c:pt>
                <c:pt idx="19">
                  <c:v>6.2949999999999999</c:v>
                </c:pt>
                <c:pt idx="20">
                  <c:v>6.3250000000000002</c:v>
                </c:pt>
                <c:pt idx="21">
                  <c:v>6.3540000000000001</c:v>
                </c:pt>
                <c:pt idx="22">
                  <c:v>6.383</c:v>
                </c:pt>
                <c:pt idx="23">
                  <c:v>6.4109999999999996</c:v>
                </c:pt>
                <c:pt idx="24">
                  <c:v>6.4390000000000001</c:v>
                </c:pt>
                <c:pt idx="25">
                  <c:v>6.4669999999999996</c:v>
                </c:pt>
                <c:pt idx="26">
                  <c:v>6.4939999999999998</c:v>
                </c:pt>
                <c:pt idx="27">
                  <c:v>6.5190000000000001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F7-45D8-8887-AA4A2C0E4121}"/>
            </c:ext>
          </c:extLst>
        </c:ser>
        <c:ser>
          <c:idx val="11"/>
          <c:order val="7"/>
          <c:tx>
            <c:strRef>
              <c:f>Consommation!$J$86</c:f>
              <c:strCache>
                <c:ptCount val="1"/>
                <c:pt idx="0">
                  <c:v>Bois - LC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Consommation!$L$86:$AM$86</c:f>
              <c:numCache>
                <c:formatCode>0.0</c:formatCode>
                <c:ptCount val="28"/>
                <c:pt idx="0">
                  <c:v>0.59</c:v>
                </c:pt>
                <c:pt idx="1">
                  <c:v>0.54</c:v>
                </c:pt>
                <c:pt idx="2">
                  <c:v>0.49</c:v>
                </c:pt>
                <c:pt idx="3">
                  <c:v>0.44</c:v>
                </c:pt>
                <c:pt idx="4">
                  <c:v>0.39100000000000001</c:v>
                </c:pt>
                <c:pt idx="5">
                  <c:v>0.34100000000000003</c:v>
                </c:pt>
                <c:pt idx="6">
                  <c:v>0.29199999999999998</c:v>
                </c:pt>
                <c:pt idx="7">
                  <c:v>0.24399999999999999</c:v>
                </c:pt>
                <c:pt idx="8">
                  <c:v>0.19500000000000001</c:v>
                </c:pt>
                <c:pt idx="9">
                  <c:v>0.14599999999999999</c:v>
                </c:pt>
                <c:pt idx="10">
                  <c:v>9.7000000000000003E-2</c:v>
                </c:pt>
                <c:pt idx="11">
                  <c:v>4.9000000000000002E-2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DF7-45D8-8887-AA4A2C0E4121}"/>
            </c:ext>
          </c:extLst>
        </c:ser>
        <c:ser>
          <c:idx val="12"/>
          <c:order val="8"/>
          <c:tx>
            <c:strRef>
              <c:f>Consommation!$J$87</c:f>
              <c:strCache>
                <c:ptCount val="1"/>
                <c:pt idx="0">
                  <c:v>Bois - Mi</c:v>
                </c:pt>
              </c:strCache>
            </c:strRef>
          </c:tx>
          <c:spPr>
            <a:pattFill prst="wdDnDiag">
              <a:fgClr>
                <a:schemeClr val="accent6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Consommation!$L$87:$AM$87</c:f>
              <c:numCache>
                <c:formatCode>0.0</c:formatCode>
                <c:ptCount val="28"/>
                <c:pt idx="0">
                  <c:v>2.7330000000000001</c:v>
                </c:pt>
                <c:pt idx="1">
                  <c:v>2.7629999999999999</c:v>
                </c:pt>
                <c:pt idx="2">
                  <c:v>2.782</c:v>
                </c:pt>
                <c:pt idx="3">
                  <c:v>2.8</c:v>
                </c:pt>
                <c:pt idx="4">
                  <c:v>2.82</c:v>
                </c:pt>
                <c:pt idx="5">
                  <c:v>2.84</c:v>
                </c:pt>
                <c:pt idx="6">
                  <c:v>2.86</c:v>
                </c:pt>
                <c:pt idx="7">
                  <c:v>2.8759999999999999</c:v>
                </c:pt>
                <c:pt idx="8">
                  <c:v>2.8929999999999998</c:v>
                </c:pt>
                <c:pt idx="9">
                  <c:v>2.91</c:v>
                </c:pt>
                <c:pt idx="10">
                  <c:v>2.927</c:v>
                </c:pt>
                <c:pt idx="11">
                  <c:v>2.944</c:v>
                </c:pt>
                <c:pt idx="12">
                  <c:v>2.9620000000000002</c:v>
                </c:pt>
                <c:pt idx="13">
                  <c:v>2.9750000000000001</c:v>
                </c:pt>
                <c:pt idx="14">
                  <c:v>2.988</c:v>
                </c:pt>
                <c:pt idx="15">
                  <c:v>3.0019999999999998</c:v>
                </c:pt>
                <c:pt idx="16">
                  <c:v>3.0139999999999998</c:v>
                </c:pt>
                <c:pt idx="17">
                  <c:v>3.024</c:v>
                </c:pt>
                <c:pt idx="18">
                  <c:v>3.0310000000000001</c:v>
                </c:pt>
                <c:pt idx="19">
                  <c:v>3.0390000000000001</c:v>
                </c:pt>
                <c:pt idx="20">
                  <c:v>3.0449999999999999</c:v>
                </c:pt>
                <c:pt idx="21">
                  <c:v>3.0449999999999999</c:v>
                </c:pt>
                <c:pt idx="22">
                  <c:v>3.0449999999999999</c:v>
                </c:pt>
                <c:pt idx="23">
                  <c:v>3.0449999999999999</c:v>
                </c:pt>
                <c:pt idx="24">
                  <c:v>3.044</c:v>
                </c:pt>
                <c:pt idx="25">
                  <c:v>3.0430000000000001</c:v>
                </c:pt>
                <c:pt idx="26">
                  <c:v>3.0419999999999998</c:v>
                </c:pt>
                <c:pt idx="27">
                  <c:v>3.0390000000000001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F7-45D8-8887-AA4A2C0E4121}"/>
            </c:ext>
          </c:extLst>
        </c:ser>
        <c:ser>
          <c:idx val="7"/>
          <c:order val="9"/>
          <c:tx>
            <c:strRef>
              <c:f>Consommation!$J$82</c:f>
              <c:strCache>
                <c:ptCount val="1"/>
                <c:pt idx="0">
                  <c:v>Gaz - LC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Consommation!$L$82:$AM$82</c:f>
              <c:numCache>
                <c:formatCode>0.0</c:formatCode>
                <c:ptCount val="28"/>
                <c:pt idx="0">
                  <c:v>6.9269999999999996</c:v>
                </c:pt>
                <c:pt idx="1">
                  <c:v>6.8579999999999997</c:v>
                </c:pt>
                <c:pt idx="2">
                  <c:v>6.8289999999999997</c:v>
                </c:pt>
                <c:pt idx="3">
                  <c:v>6.6760000000000002</c:v>
                </c:pt>
                <c:pt idx="4">
                  <c:v>6.556</c:v>
                </c:pt>
                <c:pt idx="5">
                  <c:v>6.3449999999999998</c:v>
                </c:pt>
                <c:pt idx="6">
                  <c:v>6.032</c:v>
                </c:pt>
                <c:pt idx="7">
                  <c:v>5.6310000000000002</c:v>
                </c:pt>
                <c:pt idx="8">
                  <c:v>5.3719999999999999</c:v>
                </c:pt>
                <c:pt idx="9">
                  <c:v>5.016</c:v>
                </c:pt>
                <c:pt idx="10">
                  <c:v>4.6980000000000004</c:v>
                </c:pt>
                <c:pt idx="11">
                  <c:v>4.4240000000000004</c:v>
                </c:pt>
                <c:pt idx="12">
                  <c:v>4.1879999999999997</c:v>
                </c:pt>
                <c:pt idx="13">
                  <c:v>3.956</c:v>
                </c:pt>
                <c:pt idx="14">
                  <c:v>3.7749999999999999</c:v>
                </c:pt>
                <c:pt idx="15">
                  <c:v>3.6190000000000002</c:v>
                </c:pt>
                <c:pt idx="16">
                  <c:v>3.5110000000000001</c:v>
                </c:pt>
                <c:pt idx="17">
                  <c:v>3.4049999999999998</c:v>
                </c:pt>
                <c:pt idx="18">
                  <c:v>3.302</c:v>
                </c:pt>
                <c:pt idx="19">
                  <c:v>3.2</c:v>
                </c:pt>
                <c:pt idx="20">
                  <c:v>3.1110000000000002</c:v>
                </c:pt>
                <c:pt idx="21">
                  <c:v>3.03</c:v>
                </c:pt>
                <c:pt idx="22">
                  <c:v>2.9649999999999999</c:v>
                </c:pt>
                <c:pt idx="23">
                  <c:v>2.8809999999999998</c:v>
                </c:pt>
                <c:pt idx="24">
                  <c:v>2.8119999999999998</c:v>
                </c:pt>
                <c:pt idx="25">
                  <c:v>2.74</c:v>
                </c:pt>
                <c:pt idx="26">
                  <c:v>2.6619999999999999</c:v>
                </c:pt>
                <c:pt idx="27">
                  <c:v>2.5790000000000002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F7-45D8-8887-AA4A2C0E4121}"/>
            </c:ext>
          </c:extLst>
        </c:ser>
        <c:ser>
          <c:idx val="8"/>
          <c:order val="10"/>
          <c:tx>
            <c:strRef>
              <c:f>Consommation!$J$83</c:f>
              <c:strCache>
                <c:ptCount val="1"/>
                <c:pt idx="0">
                  <c:v>Gaz - MI</c:v>
                </c:pt>
              </c:strCache>
            </c:strRef>
          </c:tx>
          <c:spPr>
            <a:pattFill prst="wdDn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Consommation!$L$83:$AM$83</c:f>
              <c:numCache>
                <c:formatCode>0.0</c:formatCode>
                <c:ptCount val="28"/>
                <c:pt idx="0">
                  <c:v>4.883</c:v>
                </c:pt>
                <c:pt idx="1">
                  <c:v>4.8150000000000004</c:v>
                </c:pt>
                <c:pt idx="2">
                  <c:v>4.8179999999999996</c:v>
                </c:pt>
                <c:pt idx="3">
                  <c:v>4.8140000000000001</c:v>
                </c:pt>
                <c:pt idx="4">
                  <c:v>4.7720000000000002</c:v>
                </c:pt>
                <c:pt idx="5">
                  <c:v>4.7229999999999999</c:v>
                </c:pt>
                <c:pt idx="6">
                  <c:v>4.6630000000000003</c:v>
                </c:pt>
                <c:pt idx="7">
                  <c:v>4.593</c:v>
                </c:pt>
                <c:pt idx="8">
                  <c:v>4.5060000000000002</c:v>
                </c:pt>
                <c:pt idx="9">
                  <c:v>4.4050000000000002</c:v>
                </c:pt>
                <c:pt idx="10">
                  <c:v>4.29</c:v>
                </c:pt>
                <c:pt idx="11">
                  <c:v>4.1619999999999999</c:v>
                </c:pt>
                <c:pt idx="12">
                  <c:v>4.0199999999999996</c:v>
                </c:pt>
                <c:pt idx="13">
                  <c:v>3.8159999999999998</c:v>
                </c:pt>
                <c:pt idx="14">
                  <c:v>3.6059999999999999</c:v>
                </c:pt>
                <c:pt idx="15">
                  <c:v>3.3919999999999999</c:v>
                </c:pt>
                <c:pt idx="16">
                  <c:v>3.2240000000000002</c:v>
                </c:pt>
                <c:pt idx="17">
                  <c:v>3.0070000000000001</c:v>
                </c:pt>
                <c:pt idx="18">
                  <c:v>2.8330000000000002</c:v>
                </c:pt>
                <c:pt idx="19">
                  <c:v>2.6619999999999999</c:v>
                </c:pt>
                <c:pt idx="20">
                  <c:v>2.5179999999999998</c:v>
                </c:pt>
                <c:pt idx="21">
                  <c:v>2.403</c:v>
                </c:pt>
                <c:pt idx="22">
                  <c:v>2.3159999999999998</c:v>
                </c:pt>
                <c:pt idx="23">
                  <c:v>2.194</c:v>
                </c:pt>
                <c:pt idx="24">
                  <c:v>2.1019999999999999</c:v>
                </c:pt>
                <c:pt idx="25">
                  <c:v>2.004</c:v>
                </c:pt>
                <c:pt idx="26">
                  <c:v>1.897</c:v>
                </c:pt>
                <c:pt idx="27">
                  <c:v>1.7829999999999999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F7-45D8-8887-AA4A2C0E4121}"/>
            </c:ext>
          </c:extLst>
        </c:ser>
        <c:ser>
          <c:idx val="9"/>
          <c:order val="11"/>
          <c:tx>
            <c:strRef>
              <c:f>Consommation!$J$84</c:f>
              <c:strCache>
                <c:ptCount val="1"/>
                <c:pt idx="0">
                  <c:v>Fioul - LC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Consommation!$L$84:$AM$84</c:f>
              <c:numCache>
                <c:formatCode>0.0</c:formatCode>
                <c:ptCount val="28"/>
                <c:pt idx="0">
                  <c:v>0.59</c:v>
                </c:pt>
                <c:pt idx="1">
                  <c:v>0.54</c:v>
                </c:pt>
                <c:pt idx="2">
                  <c:v>0.49</c:v>
                </c:pt>
                <c:pt idx="3">
                  <c:v>0.44</c:v>
                </c:pt>
                <c:pt idx="4">
                  <c:v>0.39100000000000001</c:v>
                </c:pt>
                <c:pt idx="5">
                  <c:v>0.34100000000000003</c:v>
                </c:pt>
                <c:pt idx="6">
                  <c:v>0.29199999999999998</c:v>
                </c:pt>
                <c:pt idx="7">
                  <c:v>0.24399999999999999</c:v>
                </c:pt>
                <c:pt idx="8">
                  <c:v>0.19500000000000001</c:v>
                </c:pt>
                <c:pt idx="9">
                  <c:v>0.14599999999999999</c:v>
                </c:pt>
                <c:pt idx="10">
                  <c:v>9.7000000000000003E-2</c:v>
                </c:pt>
                <c:pt idx="11">
                  <c:v>4.9000000000000002E-2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F7-45D8-8887-AA4A2C0E4121}"/>
            </c:ext>
          </c:extLst>
        </c:ser>
        <c:ser>
          <c:idx val="10"/>
          <c:order val="12"/>
          <c:tx>
            <c:strRef>
              <c:f>Consommation!$J$85</c:f>
              <c:strCache>
                <c:ptCount val="1"/>
                <c:pt idx="0">
                  <c:v>Fioul - MI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Consommation!$L$85:$AM$85</c:f>
              <c:numCache>
                <c:formatCode>0.0</c:formatCode>
                <c:ptCount val="28"/>
                <c:pt idx="0">
                  <c:v>2.4590000000000001</c:v>
                </c:pt>
                <c:pt idx="1">
                  <c:v>2.2480000000000002</c:v>
                </c:pt>
                <c:pt idx="2">
                  <c:v>2.0379999999999998</c:v>
                </c:pt>
                <c:pt idx="3">
                  <c:v>1.83</c:v>
                </c:pt>
                <c:pt idx="4">
                  <c:v>1.6220000000000001</c:v>
                </c:pt>
                <c:pt idx="5">
                  <c:v>1.4159999999999999</c:v>
                </c:pt>
                <c:pt idx="6">
                  <c:v>1.2110000000000001</c:v>
                </c:pt>
                <c:pt idx="7">
                  <c:v>1.008</c:v>
                </c:pt>
                <c:pt idx="8">
                  <c:v>0.80500000000000005</c:v>
                </c:pt>
                <c:pt idx="9">
                  <c:v>0.60199999999999998</c:v>
                </c:pt>
                <c:pt idx="10">
                  <c:v>0.4</c:v>
                </c:pt>
                <c:pt idx="11">
                  <c:v>0.19900000000000001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F7-45D8-8887-AA4A2C0E4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267904"/>
        <c:axId val="2056274976"/>
      </c:areaChart>
      <c:catAx>
        <c:axId val="205626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274976"/>
        <c:crosses val="autoZero"/>
        <c:auto val="1"/>
        <c:lblAlgn val="ctr"/>
        <c:lblOffset val="100"/>
        <c:noMultiLvlLbl val="0"/>
      </c:catAx>
      <c:valAx>
        <c:axId val="205627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26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Intensité</a:t>
            </a:r>
            <a:r>
              <a:rPr lang="fr-FR" baseline="0"/>
              <a:t> de conso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Consommation!$J$93</c:f>
              <c:strCache>
                <c:ptCount val="1"/>
                <c:pt idx="0">
                  <c:v>Electricité (joule)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Consommation!$K$93:$AM$93</c:f>
              <c:numCache>
                <c:formatCode>_(* #,##0.00_);_(* \(#,##0.00\);_(* "-"??_);_(@_)</c:formatCode>
                <c:ptCount val="29"/>
                <c:pt idx="1">
                  <c:v>5.1215113622700486</c:v>
                </c:pt>
                <c:pt idx="2">
                  <c:v>4.8749987019470788</c:v>
                </c:pt>
                <c:pt idx="3">
                  <c:v>4.7150533384826643</c:v>
                </c:pt>
                <c:pt idx="4">
                  <c:v>4.5715926656887591</c:v>
                </c:pt>
                <c:pt idx="5">
                  <c:v>4.4306102472034263</c:v>
                </c:pt>
                <c:pt idx="6">
                  <c:v>4.3034021635075641</c:v>
                </c:pt>
                <c:pt idx="7">
                  <c:v>4.188356225622563</c:v>
                </c:pt>
                <c:pt idx="8">
                  <c:v>4.0757169930511701</c:v>
                </c:pt>
                <c:pt idx="9">
                  <c:v>3.9931732730790501</c:v>
                </c:pt>
                <c:pt idx="10">
                  <c:v>3.9181595525962281</c:v>
                </c:pt>
                <c:pt idx="11">
                  <c:v>3.8453387323845742</c:v>
                </c:pt>
                <c:pt idx="12">
                  <c:v>3.7731262658808133</c:v>
                </c:pt>
                <c:pt idx="13">
                  <c:v>3.703515289363922</c:v>
                </c:pt>
                <c:pt idx="14">
                  <c:v>3.6281625572603975</c:v>
                </c:pt>
                <c:pt idx="15">
                  <c:v>3.532403257180158</c:v>
                </c:pt>
                <c:pt idx="16">
                  <c:v>3.4404648044692747</c:v>
                </c:pt>
                <c:pt idx="17">
                  <c:v>3.347295060335425</c:v>
                </c:pt>
                <c:pt idx="18">
                  <c:v>3.2476732030943998</c:v>
                </c:pt>
                <c:pt idx="19">
                  <c:v>3.1487580440848224</c:v>
                </c:pt>
                <c:pt idx="20">
                  <c:v>3.0498217548746531</c:v>
                </c:pt>
                <c:pt idx="21">
                  <c:v>2.9521859582215417</c:v>
                </c:pt>
                <c:pt idx="22">
                  <c:v>2.8856417007471498</c:v>
                </c:pt>
                <c:pt idx="23">
                  <c:v>2.814620581454919</c:v>
                </c:pt>
                <c:pt idx="24">
                  <c:v>2.748104248587572</c:v>
                </c:pt>
                <c:pt idx="25">
                  <c:v>2.6818626035242299</c:v>
                </c:pt>
                <c:pt idx="26">
                  <c:v>2.6178935330296138</c:v>
                </c:pt>
                <c:pt idx="27">
                  <c:v>2.5577628142556188</c:v>
                </c:pt>
                <c:pt idx="28">
                  <c:v>2.4979317384370026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672-BB46-7B4A364171D7}"/>
            </c:ext>
          </c:extLst>
        </c:ser>
        <c:ser>
          <c:idx val="1"/>
          <c:order val="1"/>
          <c:tx>
            <c:strRef>
              <c:f>Consommation!$J$94</c:f>
              <c:strCache>
                <c:ptCount val="1"/>
                <c:pt idx="0">
                  <c:v>Electricité (pompe à chaleur)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Consommation!$K$94:$AM$94</c:f>
              <c:numCache>
                <c:formatCode>_(* #,##0.00_);_(* \(#,##0.00\);_(* "-"??_);_(@_)</c:formatCode>
                <c:ptCount val="29"/>
                <c:pt idx="1">
                  <c:v>2.3392541436464089</c:v>
                </c:pt>
                <c:pt idx="2">
                  <c:v>2.3715084019769357</c:v>
                </c:pt>
                <c:pt idx="3">
                  <c:v>2.3442598443223441</c:v>
                </c:pt>
                <c:pt idx="4">
                  <c:v>2.3264999999999998</c:v>
                </c:pt>
                <c:pt idx="5">
                  <c:v>2.3084784273150545</c:v>
                </c:pt>
                <c:pt idx="6">
                  <c:v>2.2871629549992321</c:v>
                </c:pt>
                <c:pt idx="7">
                  <c:v>2.2651273106904237</c:v>
                </c:pt>
                <c:pt idx="8">
                  <c:v>2.2522391696750907</c:v>
                </c:pt>
                <c:pt idx="9">
                  <c:v>2.2521195597260171</c:v>
                </c:pt>
                <c:pt idx="10">
                  <c:v>2.2522830619168794</c:v>
                </c:pt>
                <c:pt idx="11">
                  <c:v>2.247390142385473</c:v>
                </c:pt>
                <c:pt idx="12">
                  <c:v>2.2380345880690946</c:v>
                </c:pt>
                <c:pt idx="13">
                  <c:v>2.2250302324360023</c:v>
                </c:pt>
                <c:pt idx="14">
                  <c:v>2.1989785076410837</c:v>
                </c:pt>
                <c:pt idx="15">
                  <c:v>2.169000580494417</c:v>
                </c:pt>
                <c:pt idx="16">
                  <c:v>2.1399304954954963</c:v>
                </c:pt>
                <c:pt idx="17">
                  <c:v>2.1090750233636304</c:v>
                </c:pt>
                <c:pt idx="18">
                  <c:v>2.0825916824362216</c:v>
                </c:pt>
                <c:pt idx="19">
                  <c:v>2.054830186815535</c:v>
                </c:pt>
                <c:pt idx="20">
                  <c:v>2.0272385767254284</c:v>
                </c:pt>
                <c:pt idx="21">
                  <c:v>1.9996067711022274</c:v>
                </c:pt>
                <c:pt idx="22">
                  <c:v>1.9772337748494599</c:v>
                </c:pt>
                <c:pt idx="23">
                  <c:v>1.953931339714738</c:v>
                </c:pt>
                <c:pt idx="24">
                  <c:v>1.9315793085328719</c:v>
                </c:pt>
                <c:pt idx="25">
                  <c:v>1.9091807775835397</c:v>
                </c:pt>
                <c:pt idx="26">
                  <c:v>1.8872420720772844</c:v>
                </c:pt>
                <c:pt idx="27">
                  <c:v>1.865969611081046</c:v>
                </c:pt>
                <c:pt idx="28">
                  <c:v>1.844857645320013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672-BB46-7B4A364171D7}"/>
            </c:ext>
          </c:extLst>
        </c:ser>
        <c:ser>
          <c:idx val="2"/>
          <c:order val="2"/>
          <c:tx>
            <c:strRef>
              <c:f>Consommation!$J$95</c:f>
              <c:strCache>
                <c:ptCount val="1"/>
                <c:pt idx="0">
                  <c:v>Fioul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Consommation!$K$95:$AM$95</c:f>
              <c:numCache>
                <c:formatCode>_(* #,##0.00_);_(* \(#,##0.00\);_(* "-"??_);_(@_)</c:formatCode>
                <c:ptCount val="29"/>
                <c:pt idx="1">
                  <c:v>9.8622499180059044</c:v>
                </c:pt>
                <c:pt idx="2">
                  <c:v>9.575893256814922</c:v>
                </c:pt>
                <c:pt idx="3">
                  <c:v>9.426214662447256</c:v>
                </c:pt>
                <c:pt idx="4">
                  <c:v>9.1481669603524232</c:v>
                </c:pt>
                <c:pt idx="5">
                  <c:v>8.638568107302536</c:v>
                </c:pt>
                <c:pt idx="6">
                  <c:v>8.3174785741372794</c:v>
                </c:pt>
                <c:pt idx="7">
                  <c:v>8.0131550531914915</c:v>
                </c:pt>
                <c:pt idx="8">
                  <c:v>7.7177745803357345</c:v>
                </c:pt>
                <c:pt idx="9">
                  <c:v>7.4546342513346708</c:v>
                </c:pt>
                <c:pt idx="10">
                  <c:v>7.1764960784313745</c:v>
                </c:pt>
                <c:pt idx="11">
                  <c:v>6.925557869718312</c:v>
                </c:pt>
                <c:pt idx="12">
                  <c:v>6.6812395698924743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672-BB46-7B4A364171D7}"/>
            </c:ext>
          </c:extLst>
        </c:ser>
        <c:ser>
          <c:idx val="4"/>
          <c:order val="3"/>
          <c:tx>
            <c:strRef>
              <c:f>Consommation!$J$97</c:f>
              <c:strCache>
                <c:ptCount val="1"/>
                <c:pt idx="0">
                  <c:v>Gaz naturel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Consommation!$K$97:$AM$97</c:f>
              <c:numCache>
                <c:formatCode>_(* #,##0.00_);_(* \(#,##0.00\);_(* "-"??_);_(@_)</c:formatCode>
                <c:ptCount val="29"/>
                <c:pt idx="1">
                  <c:v>7.4748073503260226</c:v>
                </c:pt>
                <c:pt idx="2">
                  <c:v>7.3023821826280617</c:v>
                </c:pt>
                <c:pt idx="3">
                  <c:v>7.2086638335622713</c:v>
                </c:pt>
                <c:pt idx="4">
                  <c:v>7.0272043864229765</c:v>
                </c:pt>
                <c:pt idx="5">
                  <c:v>6.7222624293785325</c:v>
                </c:pt>
                <c:pt idx="6">
                  <c:v>6.5372732146622097</c:v>
                </c:pt>
                <c:pt idx="7">
                  <c:v>6.3715962225338965</c:v>
                </c:pt>
                <c:pt idx="8">
                  <c:v>6.2087167172063014</c:v>
                </c:pt>
                <c:pt idx="9">
                  <c:v>6.0433757623000615</c:v>
                </c:pt>
                <c:pt idx="10">
                  <c:v>5.8971007287907744</c:v>
                </c:pt>
                <c:pt idx="11">
                  <c:v>5.7530177132009364</c:v>
                </c:pt>
                <c:pt idx="12">
                  <c:v>5.6069554965447637</c:v>
                </c:pt>
                <c:pt idx="13">
                  <c:v>5.4573747842552001</c:v>
                </c:pt>
                <c:pt idx="14">
                  <c:v>5.3041436882398374</c:v>
                </c:pt>
                <c:pt idx="15">
                  <c:v>5.1260181284153017</c:v>
                </c:pt>
                <c:pt idx="16">
                  <c:v>4.9496950337612944</c:v>
                </c:pt>
                <c:pt idx="17">
                  <c:v>4.7870874203786196</c:v>
                </c:pt>
                <c:pt idx="18">
                  <c:v>3.9775047762008744</c:v>
                </c:pt>
                <c:pt idx="19">
                  <c:v>4.3587063929405705</c:v>
                </c:pt>
                <c:pt idx="20">
                  <c:v>4.2137374002047094</c:v>
                </c:pt>
                <c:pt idx="21">
                  <c:v>4.0825152430555569</c:v>
                </c:pt>
                <c:pt idx="22">
                  <c:v>3.9642154469599373</c:v>
                </c:pt>
                <c:pt idx="23">
                  <c:v>3.8571984197443188</c:v>
                </c:pt>
                <c:pt idx="24">
                  <c:v>3.7464710121510687</c:v>
                </c:pt>
                <c:pt idx="25">
                  <c:v>3.6483265077144802</c:v>
                </c:pt>
                <c:pt idx="26">
                  <c:v>3.550293000632379</c:v>
                </c:pt>
                <c:pt idx="27">
                  <c:v>3.450973105944287</c:v>
                </c:pt>
                <c:pt idx="28">
                  <c:v>3.3498262265016052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672-BB46-7B4A364171D7}"/>
            </c:ext>
          </c:extLst>
        </c:ser>
        <c:ser>
          <c:idx val="5"/>
          <c:order val="4"/>
          <c:tx>
            <c:strRef>
              <c:f>Consommation!$J$98</c:f>
              <c:strCache>
                <c:ptCount val="1"/>
                <c:pt idx="0">
                  <c:v>Chauffage urbain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Consommation!$L$1:$AM$1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Consommation!$K$98:$AM$98</c:f>
              <c:numCache>
                <c:formatCode>_(* #,##0.00_);_(* \(#,##0.00\);_(* "-"??_);_(@_)</c:formatCode>
                <c:ptCount val="29"/>
                <c:pt idx="1">
                  <c:v>7.8214356087262491</c:v>
                </c:pt>
                <c:pt idx="2">
                  <c:v>7.6012104792332265</c:v>
                </c:pt>
                <c:pt idx="3">
                  <c:v>7.2957848466131354</c:v>
                </c:pt>
                <c:pt idx="4">
                  <c:v>6.9919544967880096</c:v>
                </c:pt>
                <c:pt idx="5">
                  <c:v>6.7293655105031762</c:v>
                </c:pt>
                <c:pt idx="6">
                  <c:v>6.489983438596493</c:v>
                </c:pt>
                <c:pt idx="7">
                  <c:v>6.2782844119693824</c:v>
                </c:pt>
                <c:pt idx="8">
                  <c:v>6.1040834752981272</c:v>
                </c:pt>
                <c:pt idx="9">
                  <c:v>5.9770799179212393</c:v>
                </c:pt>
                <c:pt idx="10">
                  <c:v>5.8570841367921052</c:v>
                </c:pt>
                <c:pt idx="11">
                  <c:v>5.7428348003802299</c:v>
                </c:pt>
                <c:pt idx="12">
                  <c:v>5.6339484077216291</c:v>
                </c:pt>
                <c:pt idx="13">
                  <c:v>5.5279743378916413</c:v>
                </c:pt>
                <c:pt idx="14">
                  <c:v>5.4196331779242195</c:v>
                </c:pt>
                <c:pt idx="15">
                  <c:v>5.3037250969982459</c:v>
                </c:pt>
                <c:pt idx="16">
                  <c:v>5.1919004516599045</c:v>
                </c:pt>
                <c:pt idx="17">
                  <c:v>5.0836890495152369</c:v>
                </c:pt>
                <c:pt idx="18">
                  <c:v>4.9893209532235741</c:v>
                </c:pt>
                <c:pt idx="19">
                  <c:v>4.8945885354772853</c:v>
                </c:pt>
                <c:pt idx="20">
                  <c:v>4.8018327317073188</c:v>
                </c:pt>
                <c:pt idx="21">
                  <c:v>4.7151838304248868</c:v>
                </c:pt>
                <c:pt idx="22">
                  <c:v>4.6294491584831556</c:v>
                </c:pt>
                <c:pt idx="23">
                  <c:v>4.5461348337845982</c:v>
                </c:pt>
                <c:pt idx="24">
                  <c:v>4.4658604553624937</c:v>
                </c:pt>
                <c:pt idx="25">
                  <c:v>4.3873931646529449</c:v>
                </c:pt>
                <c:pt idx="26">
                  <c:v>4.3109407352941185</c:v>
                </c:pt>
                <c:pt idx="27">
                  <c:v>4.2370908584849838</c:v>
                </c:pt>
                <c:pt idx="28">
                  <c:v>4.1619912539308181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672-BB46-7B4A36417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789696"/>
        <c:axId val="765790528"/>
      </c:lineChart>
      <c:catAx>
        <c:axId val="76578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5790528"/>
        <c:crosses val="autoZero"/>
        <c:auto val="1"/>
        <c:lblAlgn val="ctr"/>
        <c:lblOffset val="100"/>
        <c:noMultiLvlLbl val="0"/>
      </c:catAx>
      <c:valAx>
        <c:axId val="7657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57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Intensité</a:t>
            </a:r>
            <a:r>
              <a:rPr lang="fr-FR" baseline="0"/>
              <a:t> de conso (MWh/log/an)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'Consommation - post traitement'!$A$109</c:f>
              <c:strCache>
                <c:ptCount val="1"/>
                <c:pt idx="0">
                  <c:v>Chauffage urbain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traitement'!$E$109:$AF$109</c:f>
              <c:numCache>
                <c:formatCode>_-* #\ ##0.0_-;\-* #\ ##0.0_-;_-* "-"??_-;_-@_-</c:formatCode>
                <c:ptCount val="28"/>
                <c:pt idx="0">
                  <c:v>7.8214356087262491</c:v>
                </c:pt>
                <c:pt idx="1">
                  <c:v>7.6012104792332265</c:v>
                </c:pt>
                <c:pt idx="2">
                  <c:v>7.2957848466131354</c:v>
                </c:pt>
                <c:pt idx="3">
                  <c:v>6.9919544967880096</c:v>
                </c:pt>
                <c:pt idx="4">
                  <c:v>6.7293655105031762</c:v>
                </c:pt>
                <c:pt idx="5">
                  <c:v>6.489983438596493</c:v>
                </c:pt>
                <c:pt idx="6">
                  <c:v>6.2782844119693824</c:v>
                </c:pt>
                <c:pt idx="7">
                  <c:v>6.1040834752981272</c:v>
                </c:pt>
                <c:pt idx="8">
                  <c:v>5.9770799179212393</c:v>
                </c:pt>
                <c:pt idx="9">
                  <c:v>5.8570841367921052</c:v>
                </c:pt>
                <c:pt idx="10">
                  <c:v>5.7428348003802299</c:v>
                </c:pt>
                <c:pt idx="11">
                  <c:v>5.6339484077216291</c:v>
                </c:pt>
                <c:pt idx="12">
                  <c:v>5.5279743378916413</c:v>
                </c:pt>
                <c:pt idx="13">
                  <c:v>5.4196331779242195</c:v>
                </c:pt>
                <c:pt idx="14">
                  <c:v>5.3037250969982459</c:v>
                </c:pt>
                <c:pt idx="15">
                  <c:v>5.1919004516599045</c:v>
                </c:pt>
                <c:pt idx="16">
                  <c:v>5.0836890495152369</c:v>
                </c:pt>
                <c:pt idx="17">
                  <c:v>4.9893209532235741</c:v>
                </c:pt>
                <c:pt idx="18">
                  <c:v>4.8945885354772853</c:v>
                </c:pt>
                <c:pt idx="19">
                  <c:v>4.8018327317073188</c:v>
                </c:pt>
                <c:pt idx="20">
                  <c:v>4.7151838304248868</c:v>
                </c:pt>
                <c:pt idx="21">
                  <c:v>4.6294491584831556</c:v>
                </c:pt>
                <c:pt idx="22">
                  <c:v>4.5461348337845982</c:v>
                </c:pt>
                <c:pt idx="23">
                  <c:v>4.4658604553624937</c:v>
                </c:pt>
                <c:pt idx="24">
                  <c:v>4.3873931646529449</c:v>
                </c:pt>
                <c:pt idx="25">
                  <c:v>4.3109407352941185</c:v>
                </c:pt>
                <c:pt idx="26">
                  <c:v>4.2370908584849838</c:v>
                </c:pt>
                <c:pt idx="27">
                  <c:v>4.1619912539308181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F-4181-B7A2-1199214FB874}"/>
            </c:ext>
          </c:extLst>
        </c:ser>
        <c:ser>
          <c:idx val="1"/>
          <c:order val="1"/>
          <c:tx>
            <c:strRef>
              <c:f>'Consommation - post traitement'!$A$110</c:f>
              <c:strCache>
                <c:ptCount val="1"/>
                <c:pt idx="0">
                  <c:v>Gaz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traitement'!$E$110:$AF$110</c:f>
              <c:numCache>
                <c:formatCode>_-* #\ ##0.0_-;\-* #\ ##0.0_-;_-* "-"??_-;_-@_-</c:formatCode>
                <c:ptCount val="28"/>
                <c:pt idx="0">
                  <c:v>7.4808118957102092</c:v>
                </c:pt>
                <c:pt idx="1">
                  <c:v>7.3104562526021635</c:v>
                </c:pt>
                <c:pt idx="2">
                  <c:v>7.218456119852207</c:v>
                </c:pt>
                <c:pt idx="3">
                  <c:v>7.0388188078379024</c:v>
                </c:pt>
                <c:pt idx="4">
                  <c:v>6.7356964284092475</c:v>
                </c:pt>
                <c:pt idx="5">
                  <c:v>6.5526449651999927</c:v>
                </c:pt>
                <c:pt idx="6">
                  <c:v>6.3891156932453521</c:v>
                </c:pt>
                <c:pt idx="7">
                  <c:v>6.2287876639928283</c:v>
                </c:pt>
                <c:pt idx="8">
                  <c:v>6.076424670447965</c:v>
                </c:pt>
                <c:pt idx="9">
                  <c:v>5.9444792672805571</c:v>
                </c:pt>
                <c:pt idx="10">
                  <c:v>5.8158385293246813</c:v>
                </c:pt>
                <c:pt idx="11">
                  <c:v>5.6862592352026198</c:v>
                </c:pt>
                <c:pt idx="12">
                  <c:v>5.5542142215611117</c:v>
                </c:pt>
                <c:pt idx="13">
                  <c:v>5.4219191580935151</c:v>
                </c:pt>
                <c:pt idx="14">
                  <c:v>5.2657166662797898</c:v>
                </c:pt>
                <c:pt idx="15">
                  <c:v>5.1128980547266236</c:v>
                </c:pt>
                <c:pt idx="16">
                  <c:v>4.9730385981511969</c:v>
                </c:pt>
                <c:pt idx="17">
                  <c:v>4.1898698037127611</c:v>
                </c:pt>
                <c:pt idx="18">
                  <c:v>4.5977510714577754</c:v>
                </c:pt>
                <c:pt idx="19">
                  <c:v>4.481312918519623</c:v>
                </c:pt>
                <c:pt idx="20">
                  <c:v>4.3786865548548155</c:v>
                </c:pt>
                <c:pt idx="21">
                  <c:v>4.2877597548493149</c:v>
                </c:pt>
                <c:pt idx="22">
                  <c:v>4.2080629825412439</c:v>
                </c:pt>
                <c:pt idx="23">
                  <c:v>4.1298527368839553</c:v>
                </c:pt>
                <c:pt idx="24">
                  <c:v>4.0624074855052035</c:v>
                </c:pt>
                <c:pt idx="25">
                  <c:v>3.9976524202766566</c:v>
                </c:pt>
                <c:pt idx="26">
                  <c:v>3.9351474804886406</c:v>
                </c:pt>
                <c:pt idx="27">
                  <c:v>3.8746781080025259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F-4181-B7A2-1199214FB874}"/>
            </c:ext>
          </c:extLst>
        </c:ser>
        <c:ser>
          <c:idx val="2"/>
          <c:order val="2"/>
          <c:tx>
            <c:strRef>
              <c:f>'Consommation - post traitement'!$A$111</c:f>
              <c:strCache>
                <c:ptCount val="1"/>
                <c:pt idx="0">
                  <c:v>Fioul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traitement'!$E$111:$AF$111</c:f>
              <c:numCache>
                <c:formatCode>_-* #\ ##0.0_-;\-* #\ ##0.0_-;_-* "-"??_-;_-@_-</c:formatCode>
                <c:ptCount val="28"/>
                <c:pt idx="0">
                  <c:v>9.8622499180059044</c:v>
                </c:pt>
                <c:pt idx="1">
                  <c:v>9.575893256814922</c:v>
                </c:pt>
                <c:pt idx="2">
                  <c:v>9.426214662447256</c:v>
                </c:pt>
                <c:pt idx="3">
                  <c:v>9.1481669603524232</c:v>
                </c:pt>
                <c:pt idx="4">
                  <c:v>8.638568107302536</c:v>
                </c:pt>
                <c:pt idx="5">
                  <c:v>8.3174785741372794</c:v>
                </c:pt>
                <c:pt idx="6">
                  <c:v>8.0131550531914915</c:v>
                </c:pt>
                <c:pt idx="7">
                  <c:v>7.7177745803357345</c:v>
                </c:pt>
                <c:pt idx="8">
                  <c:v>7.4546342513346708</c:v>
                </c:pt>
                <c:pt idx="9">
                  <c:v>7.1764960784313745</c:v>
                </c:pt>
                <c:pt idx="10">
                  <c:v>6.925557869718312</c:v>
                </c:pt>
                <c:pt idx="11">
                  <c:v>6.6812395698924743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6F-4181-B7A2-1199214FB874}"/>
            </c:ext>
          </c:extLst>
        </c:ser>
        <c:ser>
          <c:idx val="3"/>
          <c:order val="3"/>
          <c:tx>
            <c:strRef>
              <c:f>'Consommation - post traitement'!$A$112</c:f>
              <c:strCache>
                <c:ptCount val="1"/>
                <c:pt idx="0">
                  <c:v>Bois - principal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traitement'!$E$112:$AF$112</c:f>
              <c:numCache>
                <c:formatCode>_-* #\ ##0.0_-;\-* #\ ##0.0_-;_-* "-"??_-;_-@_-</c:formatCode>
                <c:ptCount val="28"/>
                <c:pt idx="0">
                  <c:v>15.337107753628098</c:v>
                </c:pt>
                <c:pt idx="1">
                  <c:v>14.850387497314031</c:v>
                </c:pt>
                <c:pt idx="2">
                  <c:v>14.384543388907996</c:v>
                </c:pt>
                <c:pt idx="3">
                  <c:v>13.924230594118034</c:v>
                </c:pt>
                <c:pt idx="4">
                  <c:v>13.4646397269087</c:v>
                </c:pt>
                <c:pt idx="5">
                  <c:v>13.028560555681354</c:v>
                </c:pt>
                <c:pt idx="6">
                  <c:v>12.611877672522111</c:v>
                </c:pt>
                <c:pt idx="7">
                  <c:v>12.190884455462628</c:v>
                </c:pt>
                <c:pt idx="8">
                  <c:v>11.893916806929695</c:v>
                </c:pt>
                <c:pt idx="9">
                  <c:v>11.608378113640651</c:v>
                </c:pt>
                <c:pt idx="10">
                  <c:v>11.333825945518518</c:v>
                </c:pt>
                <c:pt idx="11">
                  <c:v>11.06839729402539</c:v>
                </c:pt>
                <c:pt idx="12">
                  <c:v>10.808795676204596</c:v>
                </c:pt>
                <c:pt idx="13">
                  <c:v>10.579387981278369</c:v>
                </c:pt>
                <c:pt idx="14">
                  <c:v>10.348194687704332</c:v>
                </c:pt>
                <c:pt idx="15">
                  <c:v>10.122150160527511</c:v>
                </c:pt>
                <c:pt idx="16">
                  <c:v>9.9105103464222886</c:v>
                </c:pt>
                <c:pt idx="17">
                  <c:v>9.6866326377826422</c:v>
                </c:pt>
                <c:pt idx="18">
                  <c:v>9.4838571586121407</c:v>
                </c:pt>
                <c:pt idx="19">
                  <c:v>9.281514783451243</c:v>
                </c:pt>
                <c:pt idx="20">
                  <c:v>9.0905010894416947</c:v>
                </c:pt>
                <c:pt idx="21">
                  <c:v>8.9416077767254301</c:v>
                </c:pt>
                <c:pt idx="22">
                  <c:v>8.8056130352871698</c:v>
                </c:pt>
                <c:pt idx="23">
                  <c:v>8.6747492810675233</c:v>
                </c:pt>
                <c:pt idx="24">
                  <c:v>8.5477147532431079</c:v>
                </c:pt>
                <c:pt idx="25">
                  <c:v>8.4243626022917244</c:v>
                </c:pt>
                <c:pt idx="26">
                  <c:v>8.3048160695740325</c:v>
                </c:pt>
                <c:pt idx="27">
                  <c:v>8.1886315647071193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6F-4181-B7A2-1199214FB874}"/>
            </c:ext>
          </c:extLst>
        </c:ser>
        <c:ser>
          <c:idx val="4"/>
          <c:order val="4"/>
          <c:tx>
            <c:strRef>
              <c:f>'Consommation - post traitement'!$A$113</c:f>
              <c:strCache>
                <c:ptCount val="1"/>
                <c:pt idx="0">
                  <c:v>Electricité (pompe à chaleur)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traitement'!$E$113:$AF$113</c:f>
              <c:numCache>
                <c:formatCode>_-* #\ ##0.0_-;\-* #\ ##0.0_-;_-* "-"??_-;_-@_-</c:formatCode>
                <c:ptCount val="28"/>
                <c:pt idx="0">
                  <c:v>2.2643503963542946</c:v>
                </c:pt>
                <c:pt idx="1">
                  <c:v>2.2987567209322552</c:v>
                </c:pt>
                <c:pt idx="2">
                  <c:v>2.2728428288439453</c:v>
                </c:pt>
                <c:pt idx="3">
                  <c:v>2.2555038961476548</c:v>
                </c:pt>
                <c:pt idx="4">
                  <c:v>2.2385554064038451</c:v>
                </c:pt>
                <c:pt idx="5">
                  <c:v>2.2177545972889452</c:v>
                </c:pt>
                <c:pt idx="6">
                  <c:v>2.1956618583454777</c:v>
                </c:pt>
                <c:pt idx="7">
                  <c:v>2.1821429428761698</c:v>
                </c:pt>
                <c:pt idx="8">
                  <c:v>2.1762692660345127</c:v>
                </c:pt>
                <c:pt idx="9">
                  <c:v>2.1712754774490244</c:v>
                </c:pt>
                <c:pt idx="10">
                  <c:v>2.1622308703919439</c:v>
                </c:pt>
                <c:pt idx="11">
                  <c:v>2.1496203556359554</c:v>
                </c:pt>
                <c:pt idx="12">
                  <c:v>2.1340386813347711</c:v>
                </c:pt>
                <c:pt idx="13">
                  <c:v>2.1044839922964913</c:v>
                </c:pt>
                <c:pt idx="14">
                  <c:v>2.0716999166826944</c:v>
                </c:pt>
                <c:pt idx="15">
                  <c:v>2.0403274493786077</c:v>
                </c:pt>
                <c:pt idx="16">
                  <c:v>2.0071436395152085</c:v>
                </c:pt>
                <c:pt idx="17">
                  <c:v>1.978557534015474</c:v>
                </c:pt>
                <c:pt idx="18">
                  <c:v>1.9484536901466454</c:v>
                </c:pt>
                <c:pt idx="19">
                  <c:v>1.9187180780760793</c:v>
                </c:pt>
                <c:pt idx="20">
                  <c:v>1.8889283553935354</c:v>
                </c:pt>
                <c:pt idx="21">
                  <c:v>1.8629674731141026</c:v>
                </c:pt>
                <c:pt idx="22">
                  <c:v>1.8361532889670398</c:v>
                </c:pt>
                <c:pt idx="23">
                  <c:v>1.8106449840473651</c:v>
                </c:pt>
                <c:pt idx="24">
                  <c:v>1.7850104315873743</c:v>
                </c:pt>
                <c:pt idx="25">
                  <c:v>1.7599650248912484</c:v>
                </c:pt>
                <c:pt idx="26">
                  <c:v>1.7356998302350628</c:v>
                </c:pt>
                <c:pt idx="27">
                  <c:v>1.7117053122529575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6F-4181-B7A2-1199214FB874}"/>
            </c:ext>
          </c:extLst>
        </c:ser>
        <c:ser>
          <c:idx val="5"/>
          <c:order val="5"/>
          <c:tx>
            <c:strRef>
              <c:f>'Consommation - post traitement'!$A$114</c:f>
              <c:strCache>
                <c:ptCount val="1"/>
                <c:pt idx="0">
                  <c:v>Electricité (joule)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traitement'!$E$114:$AF$114</c:f>
              <c:numCache>
                <c:formatCode>_-* #\ ##0.0_-;\-* #\ ##0.0_-;_-* "-"??_-;_-@_-</c:formatCode>
                <c:ptCount val="28"/>
                <c:pt idx="0">
                  <c:v>5.1215113622700486</c:v>
                </c:pt>
                <c:pt idx="1">
                  <c:v>4.8749987019470788</c:v>
                </c:pt>
                <c:pt idx="2">
                  <c:v>4.7150533384826643</c:v>
                </c:pt>
                <c:pt idx="3">
                  <c:v>4.5715926656887591</c:v>
                </c:pt>
                <c:pt idx="4">
                  <c:v>4.4306102472034263</c:v>
                </c:pt>
                <c:pt idx="5">
                  <c:v>4.3034021635075641</c:v>
                </c:pt>
                <c:pt idx="6">
                  <c:v>4.188356225622563</c:v>
                </c:pt>
                <c:pt idx="7">
                  <c:v>4.0757169930511701</c:v>
                </c:pt>
                <c:pt idx="8">
                  <c:v>3.9931732730790501</c:v>
                </c:pt>
                <c:pt idx="9">
                  <c:v>3.9181595525962281</c:v>
                </c:pt>
                <c:pt idx="10">
                  <c:v>3.8453387323845742</c:v>
                </c:pt>
                <c:pt idx="11">
                  <c:v>3.7731262658808133</c:v>
                </c:pt>
                <c:pt idx="12">
                  <c:v>3.703515289363922</c:v>
                </c:pt>
                <c:pt idx="13">
                  <c:v>3.6281625572603975</c:v>
                </c:pt>
                <c:pt idx="14">
                  <c:v>3.532403257180158</c:v>
                </c:pt>
                <c:pt idx="15">
                  <c:v>3.4404648044692747</c:v>
                </c:pt>
                <c:pt idx="16">
                  <c:v>3.347295060335425</c:v>
                </c:pt>
                <c:pt idx="17">
                  <c:v>3.2476732030943998</c:v>
                </c:pt>
                <c:pt idx="18">
                  <c:v>3.1487580440848224</c:v>
                </c:pt>
                <c:pt idx="19">
                  <c:v>3.0498217548746531</c:v>
                </c:pt>
                <c:pt idx="20">
                  <c:v>2.9521859582215417</c:v>
                </c:pt>
                <c:pt idx="21">
                  <c:v>2.8856417007471498</c:v>
                </c:pt>
                <c:pt idx="22">
                  <c:v>2.814620581454919</c:v>
                </c:pt>
                <c:pt idx="23">
                  <c:v>2.748104248587572</c:v>
                </c:pt>
                <c:pt idx="24">
                  <c:v>2.6818626035242299</c:v>
                </c:pt>
                <c:pt idx="25">
                  <c:v>2.6178935330296138</c:v>
                </c:pt>
                <c:pt idx="26">
                  <c:v>2.5577628142556188</c:v>
                </c:pt>
                <c:pt idx="27">
                  <c:v>2.4979317384370026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6F-4181-B7A2-1199214FB874}"/>
            </c:ext>
          </c:extLst>
        </c:ser>
        <c:ser>
          <c:idx val="6"/>
          <c:order val="6"/>
          <c:tx>
            <c:strRef>
              <c:f>'Consommation - post traitement'!$A$136</c:f>
              <c:strCache>
                <c:ptCount val="1"/>
                <c:pt idx="0">
                  <c:v>Chauffage urbain - AMS run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traitement'!$E$136:$AF$136</c:f>
              <c:numCache>
                <c:formatCode>_-* #\ ##0.0_-;\-* #\ ##0.0_-;_-* "-"??_-;_-@_-</c:formatCode>
                <c:ptCount val="28"/>
                <c:pt idx="0">
                  <c:v>7.6594155578506529</c:v>
                </c:pt>
                <c:pt idx="1">
                  <c:v>7.2450455254833335</c:v>
                </c:pt>
                <c:pt idx="2">
                  <c:v>7.0298204669890278</c:v>
                </c:pt>
                <c:pt idx="3">
                  <c:v>6.8109015866051328</c:v>
                </c:pt>
                <c:pt idx="4">
                  <c:v>6.5901594076320764</c:v>
                </c:pt>
                <c:pt idx="5">
                  <c:v>6.3671033003784849</c:v>
                </c:pt>
                <c:pt idx="6">
                  <c:v>6.1813843241961264</c:v>
                </c:pt>
                <c:pt idx="7">
                  <c:v>5.9968354788901603</c:v>
                </c:pt>
                <c:pt idx="8">
                  <c:v>5.8176514015702008</c:v>
                </c:pt>
                <c:pt idx="9">
                  <c:v>5.667301109463585</c:v>
                </c:pt>
                <c:pt idx="10">
                  <c:v>5.4570307456856391</c:v>
                </c:pt>
                <c:pt idx="11">
                  <c:v>5.3081732713333274</c:v>
                </c:pt>
                <c:pt idx="12">
                  <c:v>5.1042472881256371</c:v>
                </c:pt>
                <c:pt idx="13">
                  <c:v>4.9713856942522616</c:v>
                </c:pt>
                <c:pt idx="14">
                  <c:v>4.8096764739386622</c:v>
                </c:pt>
                <c:pt idx="15">
                  <c:v>4.6126507862217183</c:v>
                </c:pt>
                <c:pt idx="16">
                  <c:v>4.4830885855186011</c:v>
                </c:pt>
                <c:pt idx="17">
                  <c:v>4.3491614009236637</c:v>
                </c:pt>
                <c:pt idx="18">
                  <c:v>4.2270218896463803</c:v>
                </c:pt>
                <c:pt idx="19">
                  <c:v>4.1144421958336856</c:v>
                </c:pt>
                <c:pt idx="20">
                  <c:v>4.0205010956717233</c:v>
                </c:pt>
                <c:pt idx="21">
                  <c:v>3.9070910274682973</c:v>
                </c:pt>
                <c:pt idx="22">
                  <c:v>3.8236260064547913</c:v>
                </c:pt>
                <c:pt idx="23">
                  <c:v>3.7465045152897836</c:v>
                </c:pt>
                <c:pt idx="24">
                  <c:v>3.675212786015031</c:v>
                </c:pt>
                <c:pt idx="25">
                  <c:v>3.5885759058821005</c:v>
                </c:pt>
                <c:pt idx="26">
                  <c:v>3.5281615069310162</c:v>
                </c:pt>
                <c:pt idx="27">
                  <c:v>3.4724181728170818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6F-4181-B7A2-1199214FB874}"/>
            </c:ext>
          </c:extLst>
        </c:ser>
        <c:ser>
          <c:idx val="7"/>
          <c:order val="7"/>
          <c:tx>
            <c:strRef>
              <c:f>'Consommation - post traitement'!$A$137</c:f>
              <c:strCache>
                <c:ptCount val="1"/>
                <c:pt idx="0">
                  <c:v>Gaz - AMS run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traitement'!$E$137:$AF$137</c:f>
              <c:numCache>
                <c:formatCode>_-* #\ ##0.0_-;\-* #\ ##0.0_-;_-* "-"??_-;_-@_-</c:formatCode>
                <c:ptCount val="28"/>
                <c:pt idx="0">
                  <c:v>10.374921497983809</c:v>
                </c:pt>
                <c:pt idx="1">
                  <c:v>10.070553838458466</c:v>
                </c:pt>
                <c:pt idx="2">
                  <c:v>9.8171522752048883</c:v>
                </c:pt>
                <c:pt idx="3">
                  <c:v>9.5623253182227756</c:v>
                </c:pt>
                <c:pt idx="4">
                  <c:v>9.3009424457580909</c:v>
                </c:pt>
                <c:pt idx="5">
                  <c:v>9.0394740123854795</c:v>
                </c:pt>
                <c:pt idx="6">
                  <c:v>8.8241999822419448</c:v>
                </c:pt>
                <c:pt idx="7">
                  <c:v>8.5992512448737504</c:v>
                </c:pt>
                <c:pt idx="8">
                  <c:v>8.3752347294493177</c:v>
                </c:pt>
                <c:pt idx="9">
                  <c:v>8.2624969252359044</c:v>
                </c:pt>
                <c:pt idx="10">
                  <c:v>8.0655991413239381</c:v>
                </c:pt>
                <c:pt idx="11">
                  <c:v>7.9682969494559543</c:v>
                </c:pt>
                <c:pt idx="12">
                  <c:v>7.7906029533957497</c:v>
                </c:pt>
                <c:pt idx="13">
                  <c:v>7.7044009545716321</c:v>
                </c:pt>
                <c:pt idx="14">
                  <c:v>7.6011625056114358</c:v>
                </c:pt>
                <c:pt idx="15">
                  <c:v>7.4224124303226198</c:v>
                </c:pt>
                <c:pt idx="16">
                  <c:v>7.3376848862796269</c:v>
                </c:pt>
                <c:pt idx="17">
                  <c:v>7.2245733896804136</c:v>
                </c:pt>
                <c:pt idx="18">
                  <c:v>7.1203926862126297</c:v>
                </c:pt>
                <c:pt idx="19">
                  <c:v>7.0239101693799535</c:v>
                </c:pt>
                <c:pt idx="20">
                  <c:v>6.939811193522571</c:v>
                </c:pt>
                <c:pt idx="21">
                  <c:v>6.8204232525183652</c:v>
                </c:pt>
                <c:pt idx="22">
                  <c:v>6.7467131929362996</c:v>
                </c:pt>
                <c:pt idx="23">
                  <c:v>6.6783021821047894</c:v>
                </c:pt>
                <c:pt idx="24">
                  <c:v>6.6147764358363199</c:v>
                </c:pt>
                <c:pt idx="25">
                  <c:v>6.5178528259946242</c:v>
                </c:pt>
                <c:pt idx="26">
                  <c:v>6.463274556962352</c:v>
                </c:pt>
                <c:pt idx="27">
                  <c:v>6.4124700249863142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6F-4181-B7A2-1199214FB874}"/>
            </c:ext>
          </c:extLst>
        </c:ser>
        <c:ser>
          <c:idx val="8"/>
          <c:order val="8"/>
          <c:tx>
            <c:strRef>
              <c:f>'Consommation - post traitement'!$A$138</c:f>
              <c:strCache>
                <c:ptCount val="1"/>
                <c:pt idx="0">
                  <c:v>Fioul - AMS run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traitement'!$E$138:$AF$138</c:f>
              <c:numCache>
                <c:formatCode>_-* #\ ##0.0_-;\-* #\ ##0.0_-;_-* "-"??_-;_-@_-</c:formatCode>
                <c:ptCount val="28"/>
                <c:pt idx="0">
                  <c:v>10.561362215337398</c:v>
                </c:pt>
                <c:pt idx="1">
                  <c:v>10.233195392937596</c:v>
                </c:pt>
                <c:pt idx="2">
                  <c:v>9.8306266054396421</c:v>
                </c:pt>
                <c:pt idx="3">
                  <c:v>9.4585984187420546</c:v>
                </c:pt>
                <c:pt idx="4">
                  <c:v>9.1422411525318683</c:v>
                </c:pt>
                <c:pt idx="5">
                  <c:v>8.8580225961180243</c:v>
                </c:pt>
                <c:pt idx="6">
                  <c:v>8.6496464080123925</c:v>
                </c:pt>
                <c:pt idx="7">
                  <c:v>8.5588072210763748</c:v>
                </c:pt>
                <c:pt idx="8">
                  <c:v>8.4887236426642154</c:v>
                </c:pt>
                <c:pt idx="9">
                  <c:v>8.7367390891431747</c:v>
                </c:pt>
                <c:pt idx="10">
                  <c:v>8.9219723646694487</c:v>
                </c:pt>
                <c:pt idx="11">
                  <c:v>9.2993618412173085</c:v>
                </c:pt>
                <c:pt idx="12">
                  <c:v>9.3475091516542612</c:v>
                </c:pt>
                <c:pt idx="13">
                  <c:v>9.4132657782410973</c:v>
                </c:pt>
                <c:pt idx="14">
                  <c:v>9.3980501844400361</c:v>
                </c:pt>
                <c:pt idx="15">
                  <c:v>10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6F-4181-B7A2-1199214FB874}"/>
            </c:ext>
          </c:extLst>
        </c:ser>
        <c:ser>
          <c:idx val="9"/>
          <c:order val="9"/>
          <c:tx>
            <c:strRef>
              <c:f>'Consommation - post traitement'!$A$139</c:f>
              <c:strCache>
                <c:ptCount val="1"/>
                <c:pt idx="0">
                  <c:v>Bois - principal - AMS run 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traitement'!$E$139:$AF$139</c:f>
              <c:numCache>
                <c:formatCode>_-* #\ ##0.0_-;\-* #\ ##0.0_-;_-* "-"??_-;_-@_-</c:formatCode>
                <c:ptCount val="28"/>
                <c:pt idx="0">
                  <c:v>17.103882098107498</c:v>
                </c:pt>
                <c:pt idx="1">
                  <c:v>17.167384122247711</c:v>
                </c:pt>
                <c:pt idx="2">
                  <c:v>17.012468901133488</c:v>
                </c:pt>
                <c:pt idx="3">
                  <c:v>16.548553726325121</c:v>
                </c:pt>
                <c:pt idx="4">
                  <c:v>16.044318584334917</c:v>
                </c:pt>
                <c:pt idx="5">
                  <c:v>15.525113344246844</c:v>
                </c:pt>
                <c:pt idx="6">
                  <c:v>15.000550074016463</c:v>
                </c:pt>
                <c:pt idx="7">
                  <c:v>14.570943500445951</c:v>
                </c:pt>
                <c:pt idx="8">
                  <c:v>14.206787686200276</c:v>
                </c:pt>
                <c:pt idx="9">
                  <c:v>13.654774366208978</c:v>
                </c:pt>
                <c:pt idx="10">
                  <c:v>13.408298324902457</c:v>
                </c:pt>
                <c:pt idx="11">
                  <c:v>13.028496410469938</c:v>
                </c:pt>
                <c:pt idx="12">
                  <c:v>12.836377560087588</c:v>
                </c:pt>
                <c:pt idx="13">
                  <c:v>12.413038827614935</c:v>
                </c:pt>
                <c:pt idx="14">
                  <c:v>12.158006831999923</c:v>
                </c:pt>
                <c:pt idx="15">
                  <c:v>11.903417506737226</c:v>
                </c:pt>
                <c:pt idx="16">
                  <c:v>11.615808209683058</c:v>
                </c:pt>
                <c:pt idx="17">
                  <c:v>11.458528447359681</c:v>
                </c:pt>
                <c:pt idx="18">
                  <c:v>11.254901853327647</c:v>
                </c:pt>
                <c:pt idx="19">
                  <c:v>10.986656835290766</c:v>
                </c:pt>
                <c:pt idx="20">
                  <c:v>10.726511336327588</c:v>
                </c:pt>
                <c:pt idx="21">
                  <c:v>10.476820749598817</c:v>
                </c:pt>
                <c:pt idx="22">
                  <c:v>10.174574876027641</c:v>
                </c:pt>
                <c:pt idx="23">
                  <c:v>9.9391385798942995</c:v>
                </c:pt>
                <c:pt idx="24">
                  <c:v>9.7101018737108848</c:v>
                </c:pt>
                <c:pt idx="25">
                  <c:v>9.4867952230206889</c:v>
                </c:pt>
                <c:pt idx="26">
                  <c:v>9.2155923024217454</c:v>
                </c:pt>
                <c:pt idx="27">
                  <c:v>9.0042345903226995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6F-4181-B7A2-1199214FB874}"/>
            </c:ext>
          </c:extLst>
        </c:ser>
        <c:ser>
          <c:idx val="10"/>
          <c:order val="10"/>
          <c:tx>
            <c:strRef>
              <c:f>'Consommation - post traitement'!$A$140</c:f>
              <c:strCache>
                <c:ptCount val="1"/>
                <c:pt idx="0">
                  <c:v>Electricité (pompe à chaleur) - AMS run 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traitement'!$E$140:$AF$140</c:f>
              <c:numCache>
                <c:formatCode>_-* #\ ##0.0_-;\-* #\ ##0.0_-;_-* "-"??_-;_-@_-</c:formatCode>
                <c:ptCount val="28"/>
                <c:pt idx="0">
                  <c:v>2.3720447368288595</c:v>
                </c:pt>
                <c:pt idx="1">
                  <c:v>2.3735019710855934</c:v>
                </c:pt>
                <c:pt idx="2">
                  <c:v>2.3370554963973986</c:v>
                </c:pt>
                <c:pt idx="3">
                  <c:v>2.2858172068970997</c:v>
                </c:pt>
                <c:pt idx="4">
                  <c:v>2.2340851137657229</c:v>
                </c:pt>
                <c:pt idx="5">
                  <c:v>2.1766799392970202</c:v>
                </c:pt>
                <c:pt idx="6">
                  <c:v>2.1348847998548934</c:v>
                </c:pt>
                <c:pt idx="7">
                  <c:v>2.1151812302094721</c:v>
                </c:pt>
                <c:pt idx="8">
                  <c:v>2.099336192816347</c:v>
                </c:pt>
                <c:pt idx="9">
                  <c:v>2.0848320430330638</c:v>
                </c:pt>
                <c:pt idx="10">
                  <c:v>2.0409779153223511</c:v>
                </c:pt>
                <c:pt idx="11">
                  <c:v>2.0190926980428827</c:v>
                </c:pt>
                <c:pt idx="12">
                  <c:v>1.9741583570521812</c:v>
                </c:pt>
                <c:pt idx="13">
                  <c:v>1.9541024463823118</c:v>
                </c:pt>
                <c:pt idx="14">
                  <c:v>1.934705071795199</c:v>
                </c:pt>
                <c:pt idx="15">
                  <c:v>1.8999979559034892</c:v>
                </c:pt>
                <c:pt idx="16">
                  <c:v>1.8965652459309623</c:v>
                </c:pt>
                <c:pt idx="17">
                  <c:v>1.8727883411694524</c:v>
                </c:pt>
                <c:pt idx="18">
                  <c:v>1.8516193351708308</c:v>
                </c:pt>
                <c:pt idx="19">
                  <c:v>1.8311349794116059</c:v>
                </c:pt>
                <c:pt idx="20">
                  <c:v>1.8113977443756246</c:v>
                </c:pt>
                <c:pt idx="21">
                  <c:v>1.7819615034097884</c:v>
                </c:pt>
                <c:pt idx="22">
                  <c:v>1.7636181475853134</c:v>
                </c:pt>
                <c:pt idx="23">
                  <c:v>1.7459320463416093</c:v>
                </c:pt>
                <c:pt idx="24">
                  <c:v>1.7288405600935601</c:v>
                </c:pt>
                <c:pt idx="25">
                  <c:v>1.7024607605841344</c:v>
                </c:pt>
                <c:pt idx="26">
                  <c:v>1.6866189337970781</c:v>
                </c:pt>
                <c:pt idx="27">
                  <c:v>1.6713350794554098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6F-4181-B7A2-1199214FB874}"/>
            </c:ext>
          </c:extLst>
        </c:ser>
        <c:ser>
          <c:idx val="11"/>
          <c:order val="11"/>
          <c:tx>
            <c:strRef>
              <c:f>'Consommation - post traitement'!$A$141</c:f>
              <c:strCache>
                <c:ptCount val="1"/>
                <c:pt idx="0">
                  <c:v>Electricité (joule) - AMS run 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'Consommation - post traitement'!$E$1:$AF$1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'Consommation - post traitement'!$E$141:$AF$141</c:f>
              <c:numCache>
                <c:formatCode>_-* #\ ##0.0_-;\-* #\ ##0.0_-;_-* "-"??_-;_-@_-</c:formatCode>
                <c:ptCount val="28"/>
                <c:pt idx="0">
                  <c:v>3.7391881228441721</c:v>
                </c:pt>
                <c:pt idx="1">
                  <c:v>3.6006376201763013</c:v>
                </c:pt>
                <c:pt idx="2">
                  <c:v>3.4209945464089619</c:v>
                </c:pt>
                <c:pt idx="3">
                  <c:v>3.2581769629147179</c:v>
                </c:pt>
                <c:pt idx="4">
                  <c:v>3.1080750860998623</c:v>
                </c:pt>
                <c:pt idx="5">
                  <c:v>2.9737133349355473</c:v>
                </c:pt>
                <c:pt idx="6">
                  <c:v>2.869740035411279</c:v>
                </c:pt>
                <c:pt idx="7">
                  <c:v>2.773359755764162</c:v>
                </c:pt>
                <c:pt idx="8">
                  <c:v>2.6704900610312263</c:v>
                </c:pt>
                <c:pt idx="9">
                  <c:v>2.6038226468007206</c:v>
                </c:pt>
                <c:pt idx="10">
                  <c:v>2.5145757188061499</c:v>
                </c:pt>
                <c:pt idx="11">
                  <c:v>2.4613735185876244</c:v>
                </c:pt>
                <c:pt idx="12">
                  <c:v>2.3867238569694496</c:v>
                </c:pt>
                <c:pt idx="13">
                  <c:v>2.341685974068056</c:v>
                </c:pt>
                <c:pt idx="14">
                  <c:v>2.2844342383665674</c:v>
                </c:pt>
                <c:pt idx="15">
                  <c:v>2.2055964568003747</c:v>
                </c:pt>
                <c:pt idx="16">
                  <c:v>2.156167821195941</c:v>
                </c:pt>
                <c:pt idx="17">
                  <c:v>2.1016383579363018</c:v>
                </c:pt>
                <c:pt idx="18">
                  <c:v>2.05071418114649</c:v>
                </c:pt>
                <c:pt idx="19">
                  <c:v>2.0030820937355966</c:v>
                </c:pt>
                <c:pt idx="20">
                  <c:v>1.9592038503282962</c:v>
                </c:pt>
                <c:pt idx="21">
                  <c:v>1.9068763383295004</c:v>
                </c:pt>
                <c:pt idx="22">
                  <c:v>1.8684312286743741</c:v>
                </c:pt>
                <c:pt idx="23">
                  <c:v>1.8324097408505295</c:v>
                </c:pt>
                <c:pt idx="24">
                  <c:v>1.7986243510371491</c:v>
                </c:pt>
                <c:pt idx="25">
                  <c:v>1.7567015682545915</c:v>
                </c:pt>
                <c:pt idx="26">
                  <c:v>1.727077300416094</c:v>
                </c:pt>
                <c:pt idx="27">
                  <c:v>1.6992199267363106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6F-4181-B7A2-1199214F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738592"/>
        <c:axId val="1815739840"/>
      </c:lineChart>
      <c:catAx>
        <c:axId val="18157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5739840"/>
        <c:crosses val="autoZero"/>
        <c:auto val="1"/>
        <c:lblAlgn val="ctr"/>
        <c:lblOffset val="100"/>
        <c:noMultiLvlLbl val="0"/>
      </c:catAx>
      <c:valAx>
        <c:axId val="18157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573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du parc privé en fonction du nombre de sauts de classe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'Gestes de rénovation'!$K$8</c:f>
              <c:strCache>
                <c:ptCount val="1"/>
                <c:pt idx="0">
                  <c:v>1 classe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rénovation'!$L$8:$AM$8</c:f>
              <c:numCache>
                <c:formatCode>0.0</c:formatCode>
                <c:ptCount val="28"/>
                <c:pt idx="0">
                  <c:v>0</c:v>
                </c:pt>
                <c:pt idx="1">
                  <c:v>385.95299999999997</c:v>
                </c:pt>
                <c:pt idx="2">
                  <c:v>333.73599999999999</c:v>
                </c:pt>
                <c:pt idx="3">
                  <c:v>470.83</c:v>
                </c:pt>
                <c:pt idx="4">
                  <c:v>468.452</c:v>
                </c:pt>
                <c:pt idx="5">
                  <c:v>549.61</c:v>
                </c:pt>
                <c:pt idx="6">
                  <c:v>624.923</c:v>
                </c:pt>
                <c:pt idx="7">
                  <c:v>694.25400000000002</c:v>
                </c:pt>
                <c:pt idx="8">
                  <c:v>754.02700000000004</c:v>
                </c:pt>
                <c:pt idx="9">
                  <c:v>801.86900000000003</c:v>
                </c:pt>
                <c:pt idx="10">
                  <c:v>753.399</c:v>
                </c:pt>
                <c:pt idx="11">
                  <c:v>713.75400000000002</c:v>
                </c:pt>
                <c:pt idx="12">
                  <c:v>668.20299999999997</c:v>
                </c:pt>
                <c:pt idx="13">
                  <c:v>599.50300000000004</c:v>
                </c:pt>
                <c:pt idx="14">
                  <c:v>698.79</c:v>
                </c:pt>
                <c:pt idx="15">
                  <c:v>634.58000000000004</c:v>
                </c:pt>
                <c:pt idx="16">
                  <c:v>544.91300000000001</c:v>
                </c:pt>
                <c:pt idx="17">
                  <c:v>621.20899999999995</c:v>
                </c:pt>
                <c:pt idx="18">
                  <c:v>514.50800000000004</c:v>
                </c:pt>
                <c:pt idx="19">
                  <c:v>489.74099999999999</c:v>
                </c:pt>
                <c:pt idx="20">
                  <c:v>428.56200000000001</c:v>
                </c:pt>
                <c:pt idx="21">
                  <c:v>358.36</c:v>
                </c:pt>
                <c:pt idx="22">
                  <c:v>335.13400000000001</c:v>
                </c:pt>
                <c:pt idx="23">
                  <c:v>345.25099999999998</c:v>
                </c:pt>
                <c:pt idx="24">
                  <c:v>310.822</c:v>
                </c:pt>
                <c:pt idx="25">
                  <c:v>301.54300000000001</c:v>
                </c:pt>
                <c:pt idx="26">
                  <c:v>294.68299999999999</c:v>
                </c:pt>
                <c:pt idx="27">
                  <c:v>287.11099999999999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C-46FC-9E31-560CBB3C7881}"/>
            </c:ext>
          </c:extLst>
        </c:ser>
        <c:ser>
          <c:idx val="4"/>
          <c:order val="1"/>
          <c:tx>
            <c:strRef>
              <c:f>'Gestes de rénovation'!$K$7</c:f>
              <c:strCache>
                <c:ptCount val="1"/>
                <c:pt idx="0">
                  <c:v>2 classes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rénovation'!$L$7:$AM$7</c:f>
              <c:numCache>
                <c:formatCode>0.0</c:formatCode>
                <c:ptCount val="28"/>
                <c:pt idx="0">
                  <c:v>0</c:v>
                </c:pt>
                <c:pt idx="1">
                  <c:v>354.06599999999997</c:v>
                </c:pt>
                <c:pt idx="2">
                  <c:v>275.01600000000002</c:v>
                </c:pt>
                <c:pt idx="3">
                  <c:v>332.51100000000002</c:v>
                </c:pt>
                <c:pt idx="4">
                  <c:v>348.66500000000002</c:v>
                </c:pt>
                <c:pt idx="5">
                  <c:v>341.08800000000002</c:v>
                </c:pt>
                <c:pt idx="6">
                  <c:v>331.27100000000002</c:v>
                </c:pt>
                <c:pt idx="7">
                  <c:v>362.798</c:v>
                </c:pt>
                <c:pt idx="8">
                  <c:v>439.12200000000001</c:v>
                </c:pt>
                <c:pt idx="9">
                  <c:v>422.20699999999999</c:v>
                </c:pt>
                <c:pt idx="10">
                  <c:v>417.22699999999998</c:v>
                </c:pt>
                <c:pt idx="11">
                  <c:v>412.24</c:v>
                </c:pt>
                <c:pt idx="12">
                  <c:v>408.51</c:v>
                </c:pt>
                <c:pt idx="13">
                  <c:v>308.73700000000002</c:v>
                </c:pt>
                <c:pt idx="14">
                  <c:v>326.73099999999999</c:v>
                </c:pt>
                <c:pt idx="15">
                  <c:v>325.14</c:v>
                </c:pt>
                <c:pt idx="16">
                  <c:v>301.05599999999998</c:v>
                </c:pt>
                <c:pt idx="17">
                  <c:v>372.75299999999999</c:v>
                </c:pt>
                <c:pt idx="18">
                  <c:v>289.50299999999999</c:v>
                </c:pt>
                <c:pt idx="19">
                  <c:v>282.084</c:v>
                </c:pt>
                <c:pt idx="20">
                  <c:v>255.803</c:v>
                </c:pt>
                <c:pt idx="21">
                  <c:v>119.97</c:v>
                </c:pt>
                <c:pt idx="22">
                  <c:v>125.964</c:v>
                </c:pt>
                <c:pt idx="23">
                  <c:v>127.764</c:v>
                </c:pt>
                <c:pt idx="24">
                  <c:v>116.226</c:v>
                </c:pt>
                <c:pt idx="25">
                  <c:v>109.31</c:v>
                </c:pt>
                <c:pt idx="26">
                  <c:v>102.51300000000001</c:v>
                </c:pt>
                <c:pt idx="27">
                  <c:v>95.671999999999997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C-46FC-9E31-560CBB3C7881}"/>
            </c:ext>
          </c:extLst>
        </c:ser>
        <c:ser>
          <c:idx val="3"/>
          <c:order val="2"/>
          <c:tx>
            <c:strRef>
              <c:f>'Gestes de rénovation'!$K$6</c:f>
              <c:strCache>
                <c:ptCount val="1"/>
                <c:pt idx="0">
                  <c:v>3 classes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rénovation'!$L$6:$AM$6</c:f>
              <c:numCache>
                <c:formatCode>0.0</c:formatCode>
                <c:ptCount val="28"/>
                <c:pt idx="0">
                  <c:v>0</c:v>
                </c:pt>
                <c:pt idx="1">
                  <c:v>251.61500000000001</c:v>
                </c:pt>
                <c:pt idx="2">
                  <c:v>184.15899999999999</c:v>
                </c:pt>
                <c:pt idx="3">
                  <c:v>210.072</c:v>
                </c:pt>
                <c:pt idx="4">
                  <c:v>221.142</c:v>
                </c:pt>
                <c:pt idx="5">
                  <c:v>192.73400000000001</c:v>
                </c:pt>
                <c:pt idx="6">
                  <c:v>166.14699999999999</c:v>
                </c:pt>
                <c:pt idx="7">
                  <c:v>168.64699999999999</c:v>
                </c:pt>
                <c:pt idx="8">
                  <c:v>168.32599999999999</c:v>
                </c:pt>
                <c:pt idx="9">
                  <c:v>156.03399999999999</c:v>
                </c:pt>
                <c:pt idx="10">
                  <c:v>144.17099999999999</c:v>
                </c:pt>
                <c:pt idx="11">
                  <c:v>132.35599999999999</c:v>
                </c:pt>
                <c:pt idx="12">
                  <c:v>122.339</c:v>
                </c:pt>
                <c:pt idx="13">
                  <c:v>83.052999999999997</c:v>
                </c:pt>
                <c:pt idx="14">
                  <c:v>78.012</c:v>
                </c:pt>
                <c:pt idx="15">
                  <c:v>72.119</c:v>
                </c:pt>
                <c:pt idx="16">
                  <c:v>66.459999999999994</c:v>
                </c:pt>
                <c:pt idx="17">
                  <c:v>75.507000000000005</c:v>
                </c:pt>
                <c:pt idx="18">
                  <c:v>52.606999999999999</c:v>
                </c:pt>
                <c:pt idx="19">
                  <c:v>47.72</c:v>
                </c:pt>
                <c:pt idx="20">
                  <c:v>42.865000000000002</c:v>
                </c:pt>
                <c:pt idx="21">
                  <c:v>15.28</c:v>
                </c:pt>
                <c:pt idx="22">
                  <c:v>17.327999999999999</c:v>
                </c:pt>
                <c:pt idx="23">
                  <c:v>13.885</c:v>
                </c:pt>
                <c:pt idx="24">
                  <c:v>12.832000000000001</c:v>
                </c:pt>
                <c:pt idx="25">
                  <c:v>10.260999999999999</c:v>
                </c:pt>
                <c:pt idx="26">
                  <c:v>7.8470000000000004</c:v>
                </c:pt>
                <c:pt idx="27">
                  <c:v>5.6710000000000003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C-46FC-9E31-560CBB3C7881}"/>
            </c:ext>
          </c:extLst>
        </c:ser>
        <c:ser>
          <c:idx val="0"/>
          <c:order val="3"/>
          <c:tx>
            <c:strRef>
              <c:f>'Gestes de rénovation'!$K$5</c:f>
              <c:strCache>
                <c:ptCount val="1"/>
                <c:pt idx="0">
                  <c:v>4 classes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rénovation'!$L$5:$AM$5</c:f>
              <c:numCache>
                <c:formatCode>0.0</c:formatCode>
                <c:ptCount val="28"/>
                <c:pt idx="0">
                  <c:v>0</c:v>
                </c:pt>
                <c:pt idx="1">
                  <c:v>61.33</c:v>
                </c:pt>
                <c:pt idx="2">
                  <c:v>40.121000000000002</c:v>
                </c:pt>
                <c:pt idx="3">
                  <c:v>29.405000000000001</c:v>
                </c:pt>
                <c:pt idx="4">
                  <c:v>29.236999999999998</c:v>
                </c:pt>
                <c:pt idx="5">
                  <c:v>22.59</c:v>
                </c:pt>
                <c:pt idx="6">
                  <c:v>17.082999999999998</c:v>
                </c:pt>
                <c:pt idx="7">
                  <c:v>13.109</c:v>
                </c:pt>
                <c:pt idx="8">
                  <c:v>12.311</c:v>
                </c:pt>
                <c:pt idx="9">
                  <c:v>9.9390000000000001</c:v>
                </c:pt>
                <c:pt idx="10">
                  <c:v>8.3919999999999995</c:v>
                </c:pt>
                <c:pt idx="11">
                  <c:v>7.2089999999999996</c:v>
                </c:pt>
                <c:pt idx="12">
                  <c:v>6.1890000000000001</c:v>
                </c:pt>
                <c:pt idx="13">
                  <c:v>5.15</c:v>
                </c:pt>
                <c:pt idx="14">
                  <c:v>4.6310000000000002</c:v>
                </c:pt>
                <c:pt idx="15">
                  <c:v>4.04</c:v>
                </c:pt>
                <c:pt idx="16">
                  <c:v>3.5059999999999998</c:v>
                </c:pt>
                <c:pt idx="17">
                  <c:v>3.0739999999999998</c:v>
                </c:pt>
                <c:pt idx="18">
                  <c:v>2.468</c:v>
                </c:pt>
                <c:pt idx="19">
                  <c:v>2.0449999999999999</c:v>
                </c:pt>
                <c:pt idx="20">
                  <c:v>1.6719999999999999</c:v>
                </c:pt>
                <c:pt idx="21">
                  <c:v>0.78300000000000003</c:v>
                </c:pt>
                <c:pt idx="22">
                  <c:v>0.72599999999999998</c:v>
                </c:pt>
                <c:pt idx="23">
                  <c:v>0.56200000000000006</c:v>
                </c:pt>
                <c:pt idx="24">
                  <c:v>0.45800000000000002</c:v>
                </c:pt>
                <c:pt idx="25">
                  <c:v>0.34200000000000003</c:v>
                </c:pt>
                <c:pt idx="26">
                  <c:v>0.245</c:v>
                </c:pt>
                <c:pt idx="27">
                  <c:v>0.159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AC-46FC-9E31-560CBB3C7881}"/>
            </c:ext>
          </c:extLst>
        </c:ser>
        <c:ser>
          <c:idx val="2"/>
          <c:order val="4"/>
          <c:tx>
            <c:strRef>
              <c:f>'Gestes de rénovation'!$K$4</c:f>
              <c:strCache>
                <c:ptCount val="1"/>
                <c:pt idx="0">
                  <c:v>5 classes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rénovation'!$L$4:$AM$4</c:f>
              <c:numCache>
                <c:formatCode>0.0</c:formatCode>
                <c:ptCount val="28"/>
                <c:pt idx="0">
                  <c:v>0</c:v>
                </c:pt>
                <c:pt idx="1">
                  <c:v>0.77300000000000002</c:v>
                </c:pt>
                <c:pt idx="2">
                  <c:v>0.31</c:v>
                </c:pt>
                <c:pt idx="3">
                  <c:v>0.24099999999999999</c:v>
                </c:pt>
                <c:pt idx="4">
                  <c:v>0.27900000000000003</c:v>
                </c:pt>
                <c:pt idx="5">
                  <c:v>0.23</c:v>
                </c:pt>
                <c:pt idx="6">
                  <c:v>0.182</c:v>
                </c:pt>
                <c:pt idx="7">
                  <c:v>0.16</c:v>
                </c:pt>
                <c:pt idx="8">
                  <c:v>0.14299999999999999</c:v>
                </c:pt>
                <c:pt idx="9">
                  <c:v>0.14199999999999999</c:v>
                </c:pt>
                <c:pt idx="10">
                  <c:v>0.125</c:v>
                </c:pt>
                <c:pt idx="11">
                  <c:v>0.11</c:v>
                </c:pt>
                <c:pt idx="12">
                  <c:v>9.7000000000000003E-2</c:v>
                </c:pt>
                <c:pt idx="13">
                  <c:v>6.4000000000000001E-2</c:v>
                </c:pt>
                <c:pt idx="14">
                  <c:v>5.7000000000000002E-2</c:v>
                </c:pt>
                <c:pt idx="15">
                  <c:v>0.05</c:v>
                </c:pt>
                <c:pt idx="16">
                  <c:v>4.3999999999999997E-2</c:v>
                </c:pt>
                <c:pt idx="17">
                  <c:v>3.7999999999999999E-2</c:v>
                </c:pt>
                <c:pt idx="18">
                  <c:v>3.3000000000000002E-2</c:v>
                </c:pt>
                <c:pt idx="19">
                  <c:v>2.8000000000000001E-2</c:v>
                </c:pt>
                <c:pt idx="20">
                  <c:v>2.4E-2</c:v>
                </c:pt>
                <c:pt idx="21">
                  <c:v>1.9E-2</c:v>
                </c:pt>
                <c:pt idx="22">
                  <c:v>1.6E-2</c:v>
                </c:pt>
                <c:pt idx="23">
                  <c:v>1.2999999999999999E-2</c:v>
                </c:pt>
                <c:pt idx="24">
                  <c:v>1.0999999999999999E-2</c:v>
                </c:pt>
                <c:pt idx="25">
                  <c:v>8.0000000000000002E-3</c:v>
                </c:pt>
                <c:pt idx="26">
                  <c:v>6.0000000000000001E-3</c:v>
                </c:pt>
                <c:pt idx="27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AC-46FC-9E31-560CBB3C7881}"/>
            </c:ext>
          </c:extLst>
        </c:ser>
        <c:ser>
          <c:idx val="1"/>
          <c:order val="5"/>
          <c:tx>
            <c:strRef>
              <c:f>'Gestes de rénovation'!$K$3</c:f>
              <c:strCache>
                <c:ptCount val="1"/>
                <c:pt idx="0">
                  <c:v>6 classes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 w="25400">
              <a:noFill/>
            </a:ln>
            <a:effectLst/>
          </c:spPr>
          <c:val>
            <c:numRef>
              <c:f>'Gestes de rénovation'!$L$3:$AM$3</c:f>
              <c:numCache>
                <c:formatCode>0.0</c:formatCode>
                <c:ptCount val="28"/>
                <c:pt idx="0">
                  <c:v>0</c:v>
                </c:pt>
                <c:pt idx="1">
                  <c:v>5.8999999999999997E-2</c:v>
                </c:pt>
                <c:pt idx="2">
                  <c:v>1.4E-2</c:v>
                </c:pt>
                <c:pt idx="3">
                  <c:v>6.0000000000000001E-3</c:v>
                </c:pt>
                <c:pt idx="4">
                  <c:v>3.0000000000000001E-3</c:v>
                </c:pt>
                <c:pt idx="5">
                  <c:v>2E-3</c:v>
                </c:pt>
                <c:pt idx="6">
                  <c:v>2E-3</c:v>
                </c:pt>
                <c:pt idx="7">
                  <c:v>1E-3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AC-46FC-9E31-560CBB3C7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484192"/>
        <c:axId val="2022484608"/>
      </c:areaChart>
      <c:catAx>
        <c:axId val="20224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608"/>
        <c:crosses val="autoZero"/>
        <c:auto val="1"/>
        <c:lblAlgn val="ctr"/>
        <c:lblOffset val="100"/>
        <c:tickLblSkip val="2"/>
        <c:noMultiLvlLbl val="0"/>
      </c:catAx>
      <c:valAx>
        <c:axId val="2022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par type de logement</a:t>
            </a:r>
          </a:p>
        </c:rich>
      </c:tx>
      <c:layout>
        <c:manualLayout>
          <c:xMode val="edge"/>
          <c:yMode val="edge"/>
          <c:x val="0.12182728959860732"/>
          <c:y val="1.18943454328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'Gestes de rénovation'!$K$22</c:f>
              <c:strCache>
                <c:ptCount val="1"/>
                <c:pt idx="0">
                  <c:v>PB social en copropriété - total gestes isolation</c:v>
                </c:pt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rénovation'!$L$22:$AM$22</c:f>
              <c:numCache>
                <c:formatCode>0.0</c:formatCode>
                <c:ptCount val="28"/>
                <c:pt idx="0">
                  <c:v>0</c:v>
                </c:pt>
                <c:pt idx="1">
                  <c:v>15.24</c:v>
                </c:pt>
                <c:pt idx="2">
                  <c:v>61.817999999999998</c:v>
                </c:pt>
                <c:pt idx="3">
                  <c:v>139.63300000000001</c:v>
                </c:pt>
                <c:pt idx="4">
                  <c:v>181.31</c:v>
                </c:pt>
                <c:pt idx="5">
                  <c:v>224.56700000000001</c:v>
                </c:pt>
                <c:pt idx="6">
                  <c:v>234.96600000000001</c:v>
                </c:pt>
                <c:pt idx="7">
                  <c:v>238.434</c:v>
                </c:pt>
                <c:pt idx="8">
                  <c:v>253.65299999999999</c:v>
                </c:pt>
                <c:pt idx="9">
                  <c:v>245.87799999999999</c:v>
                </c:pt>
                <c:pt idx="10">
                  <c:v>265.50299999999999</c:v>
                </c:pt>
                <c:pt idx="11">
                  <c:v>311.76100000000002</c:v>
                </c:pt>
                <c:pt idx="12">
                  <c:v>325.79500000000002</c:v>
                </c:pt>
                <c:pt idx="13">
                  <c:v>298.59800000000001</c:v>
                </c:pt>
                <c:pt idx="14">
                  <c:v>256.43900000000002</c:v>
                </c:pt>
                <c:pt idx="15">
                  <c:v>275.69400000000002</c:v>
                </c:pt>
                <c:pt idx="16">
                  <c:v>321.87200000000001</c:v>
                </c:pt>
                <c:pt idx="17">
                  <c:v>335.75700000000001</c:v>
                </c:pt>
                <c:pt idx="18">
                  <c:v>336.935</c:v>
                </c:pt>
                <c:pt idx="19">
                  <c:v>346.87099999999998</c:v>
                </c:pt>
                <c:pt idx="20">
                  <c:v>310.096</c:v>
                </c:pt>
                <c:pt idx="21">
                  <c:v>344.03</c:v>
                </c:pt>
                <c:pt idx="22">
                  <c:v>327.65100000000001</c:v>
                </c:pt>
                <c:pt idx="23">
                  <c:v>313.464</c:v>
                </c:pt>
                <c:pt idx="24">
                  <c:v>299.41899999999998</c:v>
                </c:pt>
                <c:pt idx="25">
                  <c:v>286.48099999999999</c:v>
                </c:pt>
                <c:pt idx="26">
                  <c:v>274.02999999999997</c:v>
                </c:pt>
                <c:pt idx="27">
                  <c:v>261.98399999999998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E-43E4-819E-66678621FA56}"/>
            </c:ext>
          </c:extLst>
        </c:ser>
        <c:ser>
          <c:idx val="3"/>
          <c:order val="1"/>
          <c:tx>
            <c:strRef>
              <c:f>'Gestes de rénovation'!$K$23</c:f>
              <c:strCache>
                <c:ptCount val="1"/>
                <c:pt idx="0">
                  <c:v>PO en maison - total gestes isolation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rénovation'!$L$23:$AM$23</c:f>
              <c:numCache>
                <c:formatCode>0.0</c:formatCode>
                <c:ptCount val="28"/>
                <c:pt idx="0">
                  <c:v>0</c:v>
                </c:pt>
                <c:pt idx="1">
                  <c:v>373.90800000000002</c:v>
                </c:pt>
                <c:pt idx="2">
                  <c:v>194.506</c:v>
                </c:pt>
                <c:pt idx="3">
                  <c:v>207.952</c:v>
                </c:pt>
                <c:pt idx="4">
                  <c:v>230.08699999999999</c:v>
                </c:pt>
                <c:pt idx="5">
                  <c:v>222.751</c:v>
                </c:pt>
                <c:pt idx="6">
                  <c:v>216.001</c:v>
                </c:pt>
                <c:pt idx="7">
                  <c:v>266.178</c:v>
                </c:pt>
                <c:pt idx="8">
                  <c:v>254.64</c:v>
                </c:pt>
                <c:pt idx="9">
                  <c:v>255.42400000000001</c:v>
                </c:pt>
                <c:pt idx="10">
                  <c:v>242.626</c:v>
                </c:pt>
                <c:pt idx="11">
                  <c:v>230.38900000000001</c:v>
                </c:pt>
                <c:pt idx="12">
                  <c:v>218.739</c:v>
                </c:pt>
                <c:pt idx="13">
                  <c:v>225.44300000000001</c:v>
                </c:pt>
                <c:pt idx="14">
                  <c:v>215.86500000000001</c:v>
                </c:pt>
                <c:pt idx="15">
                  <c:v>206.59899999999999</c:v>
                </c:pt>
                <c:pt idx="16">
                  <c:v>198.05600000000001</c:v>
                </c:pt>
                <c:pt idx="17">
                  <c:v>409.33600000000001</c:v>
                </c:pt>
                <c:pt idx="18">
                  <c:v>345.072</c:v>
                </c:pt>
                <c:pt idx="19">
                  <c:v>330.66</c:v>
                </c:pt>
                <c:pt idx="20">
                  <c:v>317.29500000000002</c:v>
                </c:pt>
                <c:pt idx="21">
                  <c:v>308.51400000000001</c:v>
                </c:pt>
                <c:pt idx="22">
                  <c:v>300.96300000000002</c:v>
                </c:pt>
                <c:pt idx="23">
                  <c:v>292.709</c:v>
                </c:pt>
                <c:pt idx="24">
                  <c:v>285.11500000000001</c:v>
                </c:pt>
                <c:pt idx="25">
                  <c:v>277.81700000000001</c:v>
                </c:pt>
                <c:pt idx="26">
                  <c:v>270.64800000000002</c:v>
                </c:pt>
                <c:pt idx="27">
                  <c:v>265.262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E-43E4-819E-66678621FA56}"/>
            </c:ext>
          </c:extLst>
        </c:ser>
        <c:ser>
          <c:idx val="4"/>
          <c:order val="2"/>
          <c:tx>
            <c:strRef>
              <c:f>'Gestes de rénovation'!$K$24</c:f>
              <c:strCache>
                <c:ptCount val="1"/>
                <c:pt idx="0">
                  <c:v>PB en maison - total gestes isolation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rénovation'!$L$24:$AM$24</c:f>
              <c:numCache>
                <c:formatCode>0.0</c:formatCode>
                <c:ptCount val="28"/>
                <c:pt idx="0">
                  <c:v>0</c:v>
                </c:pt>
                <c:pt idx="1">
                  <c:v>54.747</c:v>
                </c:pt>
                <c:pt idx="2">
                  <c:v>37.575000000000003</c:v>
                </c:pt>
                <c:pt idx="3">
                  <c:v>88.86</c:v>
                </c:pt>
                <c:pt idx="4">
                  <c:v>71.555999999999997</c:v>
                </c:pt>
                <c:pt idx="5">
                  <c:v>57.828000000000003</c:v>
                </c:pt>
                <c:pt idx="6">
                  <c:v>47.110999999999997</c:v>
                </c:pt>
                <c:pt idx="7">
                  <c:v>38.75</c:v>
                </c:pt>
                <c:pt idx="8">
                  <c:v>66.132000000000005</c:v>
                </c:pt>
                <c:pt idx="9">
                  <c:v>52.555999999999997</c:v>
                </c:pt>
                <c:pt idx="10">
                  <c:v>41.511000000000003</c:v>
                </c:pt>
                <c:pt idx="11">
                  <c:v>33.067</c:v>
                </c:pt>
                <c:pt idx="12">
                  <c:v>26.641999999999999</c:v>
                </c:pt>
                <c:pt idx="13">
                  <c:v>22.704000000000001</c:v>
                </c:pt>
                <c:pt idx="14">
                  <c:v>184.874</c:v>
                </c:pt>
                <c:pt idx="15">
                  <c:v>170.62299999999999</c:v>
                </c:pt>
                <c:pt idx="16">
                  <c:v>157.56100000000001</c:v>
                </c:pt>
                <c:pt idx="17">
                  <c:v>145.81800000000001</c:v>
                </c:pt>
                <c:pt idx="18">
                  <c:v>131.06100000000001</c:v>
                </c:pt>
                <c:pt idx="19">
                  <c:v>119.761</c:v>
                </c:pt>
                <c:pt idx="20">
                  <c:v>109.343</c:v>
                </c:pt>
                <c:pt idx="21">
                  <c:v>103.152</c:v>
                </c:pt>
                <c:pt idx="22">
                  <c:v>97.028000000000006</c:v>
                </c:pt>
                <c:pt idx="23">
                  <c:v>91.126999999999995</c:v>
                </c:pt>
                <c:pt idx="24">
                  <c:v>85.679000000000002</c:v>
                </c:pt>
                <c:pt idx="25">
                  <c:v>80.64</c:v>
                </c:pt>
                <c:pt idx="26">
                  <c:v>76.004999999999995</c:v>
                </c:pt>
                <c:pt idx="27">
                  <c:v>71.778999999999996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7E-43E4-819E-66678621FA56}"/>
            </c:ext>
          </c:extLst>
        </c:ser>
        <c:ser>
          <c:idx val="5"/>
          <c:order val="3"/>
          <c:tx>
            <c:strRef>
              <c:f>'Gestes de rénovation'!$K$25</c:f>
              <c:strCache>
                <c:ptCount val="1"/>
                <c:pt idx="0">
                  <c:v>PB social en maison - total gestes isolation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rénovation'!$L$25:$AM$25</c:f>
              <c:numCache>
                <c:formatCode>0.0</c:formatCode>
                <c:ptCount val="28"/>
                <c:pt idx="0">
                  <c:v>0</c:v>
                </c:pt>
                <c:pt idx="1">
                  <c:v>14.484</c:v>
                </c:pt>
                <c:pt idx="2">
                  <c:v>29.827999999999999</c:v>
                </c:pt>
                <c:pt idx="3">
                  <c:v>47.03</c:v>
                </c:pt>
                <c:pt idx="4">
                  <c:v>59.106000000000002</c:v>
                </c:pt>
                <c:pt idx="5">
                  <c:v>61.26</c:v>
                </c:pt>
                <c:pt idx="6">
                  <c:v>56.506999999999998</c:v>
                </c:pt>
                <c:pt idx="7">
                  <c:v>61.023000000000003</c:v>
                </c:pt>
                <c:pt idx="8">
                  <c:v>68.090999999999994</c:v>
                </c:pt>
                <c:pt idx="9">
                  <c:v>75.900000000000006</c:v>
                </c:pt>
                <c:pt idx="10">
                  <c:v>89.632999999999996</c:v>
                </c:pt>
                <c:pt idx="11">
                  <c:v>108.262</c:v>
                </c:pt>
                <c:pt idx="12">
                  <c:v>100.738</c:v>
                </c:pt>
                <c:pt idx="13">
                  <c:v>105.217</c:v>
                </c:pt>
                <c:pt idx="14">
                  <c:v>94.891999999999996</c:v>
                </c:pt>
                <c:pt idx="15">
                  <c:v>90.465999999999994</c:v>
                </c:pt>
                <c:pt idx="16">
                  <c:v>89.046000000000006</c:v>
                </c:pt>
                <c:pt idx="17">
                  <c:v>85.248999999999995</c:v>
                </c:pt>
                <c:pt idx="18">
                  <c:v>78.483999999999995</c:v>
                </c:pt>
                <c:pt idx="19">
                  <c:v>75.302000000000007</c:v>
                </c:pt>
                <c:pt idx="20">
                  <c:v>35.494999999999997</c:v>
                </c:pt>
                <c:pt idx="21">
                  <c:v>39.951999999999998</c:v>
                </c:pt>
                <c:pt idx="22">
                  <c:v>38.637</c:v>
                </c:pt>
                <c:pt idx="23">
                  <c:v>37.526000000000003</c:v>
                </c:pt>
                <c:pt idx="24">
                  <c:v>36.261000000000003</c:v>
                </c:pt>
                <c:pt idx="25">
                  <c:v>35.168999999999997</c:v>
                </c:pt>
                <c:pt idx="26">
                  <c:v>34.057000000000002</c:v>
                </c:pt>
                <c:pt idx="27">
                  <c:v>32.911999999999999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7E-43E4-819E-66678621FA56}"/>
            </c:ext>
          </c:extLst>
        </c:ser>
        <c:ser>
          <c:idx val="0"/>
          <c:order val="4"/>
          <c:tx>
            <c:strRef>
              <c:f>'Gestes de rénovation'!$K$20</c:f>
              <c:strCache>
                <c:ptCount val="1"/>
                <c:pt idx="0">
                  <c:v>PO en copropriété - total gestes isolation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rénovation'!$L$20:$AM$20</c:f>
              <c:numCache>
                <c:formatCode>0.0</c:formatCode>
                <c:ptCount val="28"/>
                <c:pt idx="0">
                  <c:v>0</c:v>
                </c:pt>
                <c:pt idx="1">
                  <c:v>66.858999999999995</c:v>
                </c:pt>
                <c:pt idx="2">
                  <c:v>51</c:v>
                </c:pt>
                <c:pt idx="3">
                  <c:v>50.872</c:v>
                </c:pt>
                <c:pt idx="4">
                  <c:v>55.295000000000002</c:v>
                </c:pt>
                <c:pt idx="5">
                  <c:v>54.615000000000002</c:v>
                </c:pt>
                <c:pt idx="6">
                  <c:v>53.884</c:v>
                </c:pt>
                <c:pt idx="7">
                  <c:v>57.445999999999998</c:v>
                </c:pt>
                <c:pt idx="8">
                  <c:v>56.115000000000002</c:v>
                </c:pt>
                <c:pt idx="9">
                  <c:v>58.914000000000001</c:v>
                </c:pt>
                <c:pt idx="10">
                  <c:v>57.405000000000001</c:v>
                </c:pt>
                <c:pt idx="11">
                  <c:v>55.917999999999999</c:v>
                </c:pt>
                <c:pt idx="12">
                  <c:v>54.484999999999999</c:v>
                </c:pt>
                <c:pt idx="13">
                  <c:v>88.685000000000002</c:v>
                </c:pt>
                <c:pt idx="14">
                  <c:v>84.069000000000003</c:v>
                </c:pt>
                <c:pt idx="15">
                  <c:v>79.451999999999998</c:v>
                </c:pt>
                <c:pt idx="16">
                  <c:v>75.293999999999997</c:v>
                </c:pt>
                <c:pt idx="17">
                  <c:v>145.47200000000001</c:v>
                </c:pt>
                <c:pt idx="18">
                  <c:v>98.551000000000002</c:v>
                </c:pt>
                <c:pt idx="19">
                  <c:v>93.180999999999997</c:v>
                </c:pt>
                <c:pt idx="20">
                  <c:v>88.131</c:v>
                </c:pt>
                <c:pt idx="21">
                  <c:v>84.212999999999994</c:v>
                </c:pt>
                <c:pt idx="22">
                  <c:v>80.578000000000003</c:v>
                </c:pt>
                <c:pt idx="23">
                  <c:v>76.763000000000005</c:v>
                </c:pt>
                <c:pt idx="24">
                  <c:v>73.182000000000002</c:v>
                </c:pt>
                <c:pt idx="25">
                  <c:v>69.727999999999994</c:v>
                </c:pt>
                <c:pt idx="26">
                  <c:v>66.388999999999996</c:v>
                </c:pt>
                <c:pt idx="27">
                  <c:v>63.03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7E-43E4-819E-66678621FA56}"/>
            </c:ext>
          </c:extLst>
        </c:ser>
        <c:ser>
          <c:idx val="1"/>
          <c:order val="5"/>
          <c:tx>
            <c:strRef>
              <c:f>'Gestes de rénovation'!$K$21</c:f>
              <c:strCache>
                <c:ptCount val="1"/>
                <c:pt idx="0">
                  <c:v>PB en copropriété - total gestes isolation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rénovation'!$L$21:$AM$21</c:f>
              <c:numCache>
                <c:formatCode>0.0</c:formatCode>
                <c:ptCount val="28"/>
                <c:pt idx="0">
                  <c:v>0</c:v>
                </c:pt>
                <c:pt idx="1">
                  <c:v>75.745999999999995</c:v>
                </c:pt>
                <c:pt idx="2">
                  <c:v>60.488</c:v>
                </c:pt>
                <c:pt idx="3">
                  <c:v>89.875</c:v>
                </c:pt>
                <c:pt idx="4">
                  <c:v>75.798000000000002</c:v>
                </c:pt>
                <c:pt idx="5">
                  <c:v>64.471999999999994</c:v>
                </c:pt>
                <c:pt idx="6">
                  <c:v>55.584000000000003</c:v>
                </c:pt>
                <c:pt idx="7">
                  <c:v>48.606000000000002</c:v>
                </c:pt>
                <c:pt idx="8">
                  <c:v>235.9</c:v>
                </c:pt>
                <c:pt idx="9">
                  <c:v>192.02699999999999</c:v>
                </c:pt>
                <c:pt idx="10">
                  <c:v>156.03399999999999</c:v>
                </c:pt>
                <c:pt idx="11">
                  <c:v>127.49</c:v>
                </c:pt>
                <c:pt idx="12">
                  <c:v>104.876</c:v>
                </c:pt>
                <c:pt idx="13">
                  <c:v>87.415999999999997</c:v>
                </c:pt>
                <c:pt idx="14">
                  <c:v>413.80099999999999</c:v>
                </c:pt>
                <c:pt idx="15">
                  <c:v>364.35</c:v>
                </c:pt>
                <c:pt idx="16">
                  <c:v>322.45999999999998</c:v>
                </c:pt>
                <c:pt idx="17">
                  <c:v>289.77800000000002</c:v>
                </c:pt>
                <c:pt idx="18">
                  <c:v>250.38</c:v>
                </c:pt>
                <c:pt idx="19">
                  <c:v>222.02500000000001</c:v>
                </c:pt>
                <c:pt idx="20">
                  <c:v>197.137</c:v>
                </c:pt>
                <c:pt idx="21">
                  <c:v>180.06700000000001</c:v>
                </c:pt>
                <c:pt idx="22">
                  <c:v>164.357</c:v>
                </c:pt>
                <c:pt idx="23">
                  <c:v>150.423</c:v>
                </c:pt>
                <c:pt idx="24">
                  <c:v>137.97</c:v>
                </c:pt>
                <c:pt idx="25">
                  <c:v>127.006</c:v>
                </c:pt>
                <c:pt idx="26">
                  <c:v>117.372</c:v>
                </c:pt>
                <c:pt idx="27">
                  <c:v>108.896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7E-43E4-819E-66678621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57904"/>
        <c:axId val="2026354160"/>
      </c:areaChart>
      <c:catAx>
        <c:axId val="202635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4160"/>
        <c:crosses val="autoZero"/>
        <c:auto val="1"/>
        <c:lblAlgn val="ctr"/>
        <c:lblOffset val="100"/>
        <c:noMultiLvlLbl val="0"/>
      </c:catAx>
      <c:valAx>
        <c:axId val="20263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621596418013103"/>
          <c:w val="1"/>
          <c:h val="0.1265928891248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gestes d'isolation</a:t>
            </a:r>
            <a:r>
              <a:rPr lang="fr-FR" baseline="0"/>
              <a:t> (milliers de ménages - double comptage)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972723639670246E-2"/>
          <c:y val="0.11766114983666327"/>
          <c:w val="0.92629475044320664"/>
          <c:h val="0.73617957399061695"/>
        </c:manualLayout>
      </c:layout>
      <c:lineChart>
        <c:grouping val="standard"/>
        <c:varyColors val="0"/>
        <c:ser>
          <c:idx val="0"/>
          <c:order val="0"/>
          <c:tx>
            <c:strRef>
              <c:f>'Gestes de rénovation'!$J$38</c:f>
              <c:strCache>
                <c:ptCount val="1"/>
                <c:pt idx="0">
                  <c:v>Replacement Floor (Thousand households)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rénovation'!$L$38:$AM$38</c:f>
              <c:numCache>
                <c:formatCode>0.0</c:formatCode>
                <c:ptCount val="28"/>
                <c:pt idx="0">
                  <c:v>0</c:v>
                </c:pt>
                <c:pt idx="1">
                  <c:v>113.52800000000001</c:v>
                </c:pt>
                <c:pt idx="2">
                  <c:v>70.798000000000002</c:v>
                </c:pt>
                <c:pt idx="3">
                  <c:v>109.062</c:v>
                </c:pt>
                <c:pt idx="4">
                  <c:v>116.565</c:v>
                </c:pt>
                <c:pt idx="5">
                  <c:v>114.67100000000001</c:v>
                </c:pt>
                <c:pt idx="6">
                  <c:v>107.732</c:v>
                </c:pt>
                <c:pt idx="7">
                  <c:v>113.806</c:v>
                </c:pt>
                <c:pt idx="8">
                  <c:v>168.60400000000001</c:v>
                </c:pt>
                <c:pt idx="9">
                  <c:v>159.72900000000001</c:v>
                </c:pt>
                <c:pt idx="10">
                  <c:v>150.84299999999999</c:v>
                </c:pt>
                <c:pt idx="11">
                  <c:v>149.56200000000001</c:v>
                </c:pt>
                <c:pt idx="12">
                  <c:v>140.471</c:v>
                </c:pt>
                <c:pt idx="13">
                  <c:v>140.654</c:v>
                </c:pt>
                <c:pt idx="14">
                  <c:v>217.66399999999999</c:v>
                </c:pt>
                <c:pt idx="15">
                  <c:v>204.13499999999999</c:v>
                </c:pt>
                <c:pt idx="16">
                  <c:v>198.04300000000001</c:v>
                </c:pt>
                <c:pt idx="17">
                  <c:v>255.07300000000001</c:v>
                </c:pt>
                <c:pt idx="18">
                  <c:v>197.636</c:v>
                </c:pt>
                <c:pt idx="19">
                  <c:v>187.953</c:v>
                </c:pt>
                <c:pt idx="20">
                  <c:v>164.27799999999999</c:v>
                </c:pt>
                <c:pt idx="21">
                  <c:v>164.98699999999999</c:v>
                </c:pt>
                <c:pt idx="22">
                  <c:v>156.369</c:v>
                </c:pt>
                <c:pt idx="23">
                  <c:v>148.261</c:v>
                </c:pt>
                <c:pt idx="24">
                  <c:v>140.73400000000001</c:v>
                </c:pt>
                <c:pt idx="25">
                  <c:v>133.83799999999999</c:v>
                </c:pt>
                <c:pt idx="26">
                  <c:v>127.375</c:v>
                </c:pt>
                <c:pt idx="27">
                  <c:v>122.995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F-4EE6-87C4-EF82676B6944}"/>
            </c:ext>
          </c:extLst>
        </c:ser>
        <c:ser>
          <c:idx val="1"/>
          <c:order val="1"/>
          <c:tx>
            <c:strRef>
              <c:f>'Gestes de rénovation'!$J$39</c:f>
              <c:strCache>
                <c:ptCount val="1"/>
                <c:pt idx="0">
                  <c:v>Replacement Roof (Thousand households)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rénovation'!$L$39:$AM$39</c:f>
              <c:numCache>
                <c:formatCode>0.0</c:formatCode>
                <c:ptCount val="28"/>
                <c:pt idx="0">
                  <c:v>0</c:v>
                </c:pt>
                <c:pt idx="1">
                  <c:v>495.41500000000002</c:v>
                </c:pt>
                <c:pt idx="2">
                  <c:v>352.84800000000001</c:v>
                </c:pt>
                <c:pt idx="3">
                  <c:v>484.40600000000001</c:v>
                </c:pt>
                <c:pt idx="4">
                  <c:v>523.27800000000002</c:v>
                </c:pt>
                <c:pt idx="5">
                  <c:v>540.44399999999996</c:v>
                </c:pt>
                <c:pt idx="6">
                  <c:v>529.28599999999994</c:v>
                </c:pt>
                <c:pt idx="7">
                  <c:v>544.101</c:v>
                </c:pt>
                <c:pt idx="8">
                  <c:v>724.91200000000003</c:v>
                </c:pt>
                <c:pt idx="9">
                  <c:v>681.30100000000004</c:v>
                </c:pt>
                <c:pt idx="10">
                  <c:v>662.89800000000002</c:v>
                </c:pt>
                <c:pt idx="11">
                  <c:v>677.99599999999998</c:v>
                </c:pt>
                <c:pt idx="12">
                  <c:v>654.73400000000004</c:v>
                </c:pt>
                <c:pt idx="13">
                  <c:v>651.35400000000004</c:v>
                </c:pt>
                <c:pt idx="14">
                  <c:v>992.11599999999999</c:v>
                </c:pt>
                <c:pt idx="15">
                  <c:v>943.976</c:v>
                </c:pt>
                <c:pt idx="16">
                  <c:v>928.11099999999999</c:v>
                </c:pt>
                <c:pt idx="17">
                  <c:v>1094.348</c:v>
                </c:pt>
                <c:pt idx="18">
                  <c:v>998.11300000000006</c:v>
                </c:pt>
                <c:pt idx="19">
                  <c:v>956.62800000000004</c:v>
                </c:pt>
                <c:pt idx="20">
                  <c:v>855.53499999999997</c:v>
                </c:pt>
                <c:pt idx="21">
                  <c:v>857.31500000000005</c:v>
                </c:pt>
                <c:pt idx="22">
                  <c:v>815.952</c:v>
                </c:pt>
                <c:pt idx="23">
                  <c:v>777.71</c:v>
                </c:pt>
                <c:pt idx="24">
                  <c:v>741.70500000000004</c:v>
                </c:pt>
                <c:pt idx="25">
                  <c:v>708.66099999999994</c:v>
                </c:pt>
                <c:pt idx="26">
                  <c:v>677.64700000000005</c:v>
                </c:pt>
                <c:pt idx="27">
                  <c:v>648.36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5F-4EE6-87C4-EF82676B6944}"/>
            </c:ext>
          </c:extLst>
        </c:ser>
        <c:ser>
          <c:idx val="2"/>
          <c:order val="2"/>
          <c:tx>
            <c:strRef>
              <c:f>'Gestes de rénovation'!$J$40</c:f>
              <c:strCache>
                <c:ptCount val="1"/>
                <c:pt idx="0">
                  <c:v>Replacement Wall (Thousand households)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rénovation'!$L$40:$AM$40</c:f>
              <c:numCache>
                <c:formatCode>0.0</c:formatCode>
                <c:ptCount val="28"/>
                <c:pt idx="0">
                  <c:v>0</c:v>
                </c:pt>
                <c:pt idx="1">
                  <c:v>189.63399999999999</c:v>
                </c:pt>
                <c:pt idx="2">
                  <c:v>112.911</c:v>
                </c:pt>
                <c:pt idx="3">
                  <c:v>207.964</c:v>
                </c:pt>
                <c:pt idx="4">
                  <c:v>216.44399999999999</c:v>
                </c:pt>
                <c:pt idx="5">
                  <c:v>193.78800000000001</c:v>
                </c:pt>
                <c:pt idx="6">
                  <c:v>168.732</c:v>
                </c:pt>
                <c:pt idx="7">
                  <c:v>213.649</c:v>
                </c:pt>
                <c:pt idx="8">
                  <c:v>293.786</c:v>
                </c:pt>
                <c:pt idx="9">
                  <c:v>277.25</c:v>
                </c:pt>
                <c:pt idx="10">
                  <c:v>249.87899999999999</c:v>
                </c:pt>
                <c:pt idx="11">
                  <c:v>230.98599999999999</c:v>
                </c:pt>
                <c:pt idx="12">
                  <c:v>205.53899999999999</c:v>
                </c:pt>
                <c:pt idx="13">
                  <c:v>205.59100000000001</c:v>
                </c:pt>
                <c:pt idx="14">
                  <c:v>276.16699999999997</c:v>
                </c:pt>
                <c:pt idx="15">
                  <c:v>254.279</c:v>
                </c:pt>
                <c:pt idx="16">
                  <c:v>241.02699999999999</c:v>
                </c:pt>
                <c:pt idx="17">
                  <c:v>365.34</c:v>
                </c:pt>
                <c:pt idx="18">
                  <c:v>217.02799999999999</c:v>
                </c:pt>
                <c:pt idx="19">
                  <c:v>204.184</c:v>
                </c:pt>
                <c:pt idx="20">
                  <c:v>172.941</c:v>
                </c:pt>
                <c:pt idx="21">
                  <c:v>172.26599999999999</c:v>
                </c:pt>
                <c:pt idx="22">
                  <c:v>162.71700000000001</c:v>
                </c:pt>
                <c:pt idx="23">
                  <c:v>153.49</c:v>
                </c:pt>
                <c:pt idx="24">
                  <c:v>145.09</c:v>
                </c:pt>
                <c:pt idx="25">
                  <c:v>137.37799999999999</c:v>
                </c:pt>
                <c:pt idx="26">
                  <c:v>130.15600000000001</c:v>
                </c:pt>
                <c:pt idx="27">
                  <c:v>123.264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5F-4EE6-87C4-EF82676B6944}"/>
            </c:ext>
          </c:extLst>
        </c:ser>
        <c:ser>
          <c:idx val="3"/>
          <c:order val="3"/>
          <c:tx>
            <c:strRef>
              <c:f>'Gestes de rénovation'!$J$41</c:f>
              <c:strCache>
                <c:ptCount val="1"/>
                <c:pt idx="0">
                  <c:v>Replacement Windows (Thousand households)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rénovation'!$L$41:$AM$41</c:f>
              <c:numCache>
                <c:formatCode>0.0</c:formatCode>
                <c:ptCount val="28"/>
                <c:pt idx="0">
                  <c:v>0</c:v>
                </c:pt>
                <c:pt idx="1">
                  <c:v>113.514</c:v>
                </c:pt>
                <c:pt idx="2">
                  <c:v>81.350999999999999</c:v>
                </c:pt>
                <c:pt idx="3">
                  <c:v>118.464</c:v>
                </c:pt>
                <c:pt idx="4">
                  <c:v>127.539</c:v>
                </c:pt>
                <c:pt idx="5">
                  <c:v>129.52600000000001</c:v>
                </c:pt>
                <c:pt idx="6">
                  <c:v>124.749</c:v>
                </c:pt>
                <c:pt idx="7">
                  <c:v>129.072</c:v>
                </c:pt>
                <c:pt idx="8">
                  <c:v>185.035</c:v>
                </c:pt>
                <c:pt idx="9">
                  <c:v>176.47499999999999</c:v>
                </c:pt>
                <c:pt idx="10">
                  <c:v>170.226</c:v>
                </c:pt>
                <c:pt idx="11">
                  <c:v>173.34100000000001</c:v>
                </c:pt>
                <c:pt idx="12">
                  <c:v>165.654</c:v>
                </c:pt>
                <c:pt idx="13">
                  <c:v>165.43799999999999</c:v>
                </c:pt>
                <c:pt idx="14">
                  <c:v>262.7</c:v>
                </c:pt>
                <c:pt idx="15">
                  <c:v>248.06700000000001</c:v>
                </c:pt>
                <c:pt idx="16">
                  <c:v>242.035</c:v>
                </c:pt>
                <c:pt idx="17">
                  <c:v>305.61900000000003</c:v>
                </c:pt>
                <c:pt idx="18">
                  <c:v>250.892</c:v>
                </c:pt>
                <c:pt idx="19">
                  <c:v>239.34</c:v>
                </c:pt>
                <c:pt idx="20">
                  <c:v>210.803</c:v>
                </c:pt>
                <c:pt idx="21">
                  <c:v>211.70599999999999</c:v>
                </c:pt>
                <c:pt idx="22">
                  <c:v>201.267</c:v>
                </c:pt>
                <c:pt idx="23">
                  <c:v>191.44499999999999</c:v>
                </c:pt>
                <c:pt idx="24">
                  <c:v>182.26499999999999</c:v>
                </c:pt>
                <c:pt idx="25">
                  <c:v>173.82400000000001</c:v>
                </c:pt>
                <c:pt idx="26">
                  <c:v>165.90100000000001</c:v>
                </c:pt>
                <c:pt idx="27">
                  <c:v>160.32900000000001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5F-4EE6-87C4-EF82676B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24208"/>
        <c:axId val="161913392"/>
      </c:lineChart>
      <c:catAx>
        <c:axId val="1619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3392"/>
        <c:crosses val="autoZero"/>
        <c:auto val="1"/>
        <c:lblAlgn val="ctr"/>
        <c:lblOffset val="100"/>
        <c:noMultiLvlLbl val="0"/>
      </c:catAx>
      <c:valAx>
        <c:axId val="1619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2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Rénovations</a:t>
            </a:r>
            <a:r>
              <a:rPr lang="fr-FR" baseline="0"/>
              <a:t> issues d'une obligation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'Gestes de rénovation'!$J$54</c:f>
              <c:strCache>
                <c:ptCount val="1"/>
                <c:pt idx="0">
                  <c:v>Renovation Obligation pb (Thousand households)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rénovation'!$L$54:$AM$54</c:f>
              <c:numCache>
                <c:formatCode>0.0</c:formatCode>
                <c:ptCount val="28"/>
                <c:pt idx="0">
                  <c:v>0</c:v>
                </c:pt>
                <c:pt idx="1">
                  <c:v>68.069999999999993</c:v>
                </c:pt>
                <c:pt idx="2">
                  <c:v>52.066000000000003</c:v>
                </c:pt>
                <c:pt idx="3">
                  <c:v>133.673</c:v>
                </c:pt>
                <c:pt idx="4">
                  <c:v>102.73099999999999</c:v>
                </c:pt>
                <c:pt idx="5">
                  <c:v>78.596000000000004</c:v>
                </c:pt>
                <c:pt idx="6">
                  <c:v>59.808999999999997</c:v>
                </c:pt>
                <c:pt idx="7">
                  <c:v>45.231999999999999</c:v>
                </c:pt>
                <c:pt idx="8">
                  <c:v>260.471</c:v>
                </c:pt>
                <c:pt idx="9">
                  <c:v>202.197</c:v>
                </c:pt>
                <c:pt idx="10">
                  <c:v>156.464</c:v>
                </c:pt>
                <c:pt idx="11">
                  <c:v>120.634</c:v>
                </c:pt>
                <c:pt idx="12">
                  <c:v>92.623000000000005</c:v>
                </c:pt>
                <c:pt idx="13">
                  <c:v>72.070999999999998</c:v>
                </c:pt>
                <c:pt idx="14">
                  <c:v>561.36500000000001</c:v>
                </c:pt>
                <c:pt idx="15">
                  <c:v>499.01600000000002</c:v>
                </c:pt>
                <c:pt idx="16">
                  <c:v>445.29</c:v>
                </c:pt>
                <c:pt idx="17">
                  <c:v>395.56200000000001</c:v>
                </c:pt>
                <c:pt idx="18">
                  <c:v>349.15800000000002</c:v>
                </c:pt>
                <c:pt idx="19">
                  <c:v>310.48</c:v>
                </c:pt>
                <c:pt idx="20">
                  <c:v>276.08300000000003</c:v>
                </c:pt>
                <c:pt idx="21">
                  <c:v>253.64599999999999</c:v>
                </c:pt>
                <c:pt idx="22">
                  <c:v>232.267</c:v>
                </c:pt>
                <c:pt idx="23">
                  <c:v>212.96299999999999</c:v>
                </c:pt>
                <c:pt idx="24">
                  <c:v>195.55199999999999</c:v>
                </c:pt>
                <c:pt idx="25">
                  <c:v>180.00299999999999</c:v>
                </c:pt>
                <c:pt idx="26">
                  <c:v>166.155</c:v>
                </c:pt>
                <c:pt idx="27">
                  <c:v>153.797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4-4EAD-BC9B-E7A46374A253}"/>
            </c:ext>
          </c:extLst>
        </c:ser>
        <c:ser>
          <c:idx val="0"/>
          <c:order val="1"/>
          <c:tx>
            <c:strRef>
              <c:f>'Gestes de rénovation'!$J$55</c:f>
              <c:strCache>
                <c:ptCount val="1"/>
                <c:pt idx="0">
                  <c:v>Renovation Obligation po (Thousand households)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rénovation'!$L$55:$AM$55</c:f>
              <c:numCache>
                <c:formatCode>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24.707000000000001</c:v>
                </c:pt>
                <c:pt idx="4">
                  <c:v>20.923999999999999</c:v>
                </c:pt>
                <c:pt idx="5">
                  <c:v>17.504999999999999</c:v>
                </c:pt>
                <c:pt idx="6">
                  <c:v>75.299000000000007</c:v>
                </c:pt>
                <c:pt idx="7">
                  <c:v>66.143000000000001</c:v>
                </c:pt>
                <c:pt idx="8">
                  <c:v>57.332999999999998</c:v>
                </c:pt>
                <c:pt idx="9">
                  <c:v>49.33</c:v>
                </c:pt>
                <c:pt idx="10">
                  <c:v>42.107999999999997</c:v>
                </c:pt>
                <c:pt idx="11">
                  <c:v>35.631</c:v>
                </c:pt>
                <c:pt idx="12">
                  <c:v>81.546000000000006</c:v>
                </c:pt>
                <c:pt idx="13">
                  <c:v>72.396000000000001</c:v>
                </c:pt>
                <c:pt idx="14">
                  <c:v>63.95</c:v>
                </c:pt>
                <c:pt idx="15">
                  <c:v>56.435000000000002</c:v>
                </c:pt>
                <c:pt idx="16">
                  <c:v>258.66300000000001</c:v>
                </c:pt>
                <c:pt idx="17">
                  <c:v>242.97399999999999</c:v>
                </c:pt>
                <c:pt idx="18">
                  <c:v>228.185</c:v>
                </c:pt>
                <c:pt idx="19">
                  <c:v>214.53</c:v>
                </c:pt>
                <c:pt idx="20">
                  <c:v>205.82599999999999</c:v>
                </c:pt>
                <c:pt idx="21">
                  <c:v>197.29900000000001</c:v>
                </c:pt>
                <c:pt idx="22">
                  <c:v>188.40100000000001</c:v>
                </c:pt>
                <c:pt idx="23">
                  <c:v>180.327</c:v>
                </c:pt>
                <c:pt idx="24">
                  <c:v>172.49</c:v>
                </c:pt>
                <c:pt idx="25">
                  <c:v>164.87</c:v>
                </c:pt>
                <c:pt idx="26">
                  <c:v>157.227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4-4EAD-BC9B-E7A46374A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30032"/>
        <c:axId val="388330864"/>
      </c:areaChart>
      <c:catAx>
        <c:axId val="38833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864"/>
        <c:crosses val="autoZero"/>
        <c:auto val="1"/>
        <c:lblAlgn val="ctr"/>
        <c:lblOffset val="100"/>
        <c:noMultiLvlLbl val="0"/>
      </c:catAx>
      <c:valAx>
        <c:axId val="3883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Rénovations</a:t>
            </a:r>
            <a:r>
              <a:rPr lang="fr-FR" baseline="0"/>
              <a:t> performantes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'Gestes de rénovation'!$K$74</c:f>
              <c:strCache>
                <c:ptCount val="1"/>
                <c:pt idx="0">
                  <c:v>Changement de chauffage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rénovation'!$L$74:$AM$74</c:f>
              <c:numCache>
                <c:formatCode>0.0</c:formatCode>
                <c:ptCount val="28"/>
                <c:pt idx="0">
                  <c:v>0</c:v>
                </c:pt>
                <c:pt idx="1">
                  <c:v>315.31</c:v>
                </c:pt>
                <c:pt idx="2">
                  <c:v>251.77199999999999</c:v>
                </c:pt>
                <c:pt idx="3">
                  <c:v>249.79900000000001</c:v>
                </c:pt>
                <c:pt idx="4">
                  <c:v>263.52600000000001</c:v>
                </c:pt>
                <c:pt idx="5">
                  <c:v>267.71100000000001</c:v>
                </c:pt>
                <c:pt idx="6">
                  <c:v>274.72300000000001</c:v>
                </c:pt>
                <c:pt idx="7">
                  <c:v>284.12599999999998</c:v>
                </c:pt>
                <c:pt idx="8">
                  <c:v>298.85399999999998</c:v>
                </c:pt>
                <c:pt idx="9">
                  <c:v>316.02699999999999</c:v>
                </c:pt>
                <c:pt idx="10">
                  <c:v>333.63499999999999</c:v>
                </c:pt>
                <c:pt idx="11">
                  <c:v>349.38600000000002</c:v>
                </c:pt>
                <c:pt idx="12">
                  <c:v>366.173</c:v>
                </c:pt>
                <c:pt idx="13">
                  <c:v>319.08</c:v>
                </c:pt>
                <c:pt idx="14">
                  <c:v>326.12200000000001</c:v>
                </c:pt>
                <c:pt idx="15">
                  <c:v>337.39400000000001</c:v>
                </c:pt>
                <c:pt idx="16">
                  <c:v>317.52</c:v>
                </c:pt>
                <c:pt idx="17">
                  <c:v>346.48</c:v>
                </c:pt>
                <c:pt idx="18">
                  <c:v>337.85899999999998</c:v>
                </c:pt>
                <c:pt idx="19">
                  <c:v>342.43200000000002</c:v>
                </c:pt>
                <c:pt idx="20">
                  <c:v>331.78100000000001</c:v>
                </c:pt>
                <c:pt idx="21">
                  <c:v>154.6</c:v>
                </c:pt>
                <c:pt idx="22">
                  <c:v>169.964</c:v>
                </c:pt>
                <c:pt idx="23">
                  <c:v>184.172</c:v>
                </c:pt>
                <c:pt idx="24">
                  <c:v>169.898</c:v>
                </c:pt>
                <c:pt idx="25">
                  <c:v>166.61199999999999</c:v>
                </c:pt>
                <c:pt idx="26">
                  <c:v>163.92</c:v>
                </c:pt>
                <c:pt idx="27">
                  <c:v>160.29499999999999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B-4110-9CB8-95CCBA95A1E6}"/>
            </c:ext>
          </c:extLst>
        </c:ser>
        <c:ser>
          <c:idx val="1"/>
          <c:order val="1"/>
          <c:tx>
            <c:strRef>
              <c:f>'Gestes de rénovation'!$K$75</c:f>
              <c:strCache>
                <c:ptCount val="1"/>
                <c:pt idx="0">
                  <c:v>Isolation + changement de chauffage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rénovation'!$L$75:$AM$75</c:f>
              <c:numCache>
                <c:formatCode>0.0</c:formatCode>
                <c:ptCount val="28"/>
                <c:pt idx="0">
                  <c:v>0</c:v>
                </c:pt>
                <c:pt idx="1">
                  <c:v>40.546999999999997</c:v>
                </c:pt>
                <c:pt idx="2">
                  <c:v>23.280999999999999</c:v>
                </c:pt>
                <c:pt idx="3">
                  <c:v>25.942</c:v>
                </c:pt>
                <c:pt idx="4">
                  <c:v>30.550999999999998</c:v>
                </c:pt>
                <c:pt idx="5">
                  <c:v>31.3</c:v>
                </c:pt>
                <c:pt idx="6">
                  <c:v>29.733000000000001</c:v>
                </c:pt>
                <c:pt idx="7">
                  <c:v>32.933</c:v>
                </c:pt>
                <c:pt idx="8">
                  <c:v>37.720999999999997</c:v>
                </c:pt>
                <c:pt idx="9">
                  <c:v>43.142000000000003</c:v>
                </c:pt>
                <c:pt idx="10">
                  <c:v>50.116999999999997</c:v>
                </c:pt>
                <c:pt idx="11">
                  <c:v>60.655000000000001</c:v>
                </c:pt>
                <c:pt idx="12">
                  <c:v>68.206000000000003</c:v>
                </c:pt>
                <c:pt idx="13">
                  <c:v>65.927999999999997</c:v>
                </c:pt>
                <c:pt idx="14">
                  <c:v>65.171999999999997</c:v>
                </c:pt>
                <c:pt idx="15">
                  <c:v>74.281999999999996</c:v>
                </c:pt>
                <c:pt idx="16">
                  <c:v>85.570999999999998</c:v>
                </c:pt>
                <c:pt idx="17">
                  <c:v>105.63</c:v>
                </c:pt>
                <c:pt idx="18">
                  <c:v>89.564999999999998</c:v>
                </c:pt>
                <c:pt idx="19">
                  <c:v>91.852000000000004</c:v>
                </c:pt>
                <c:pt idx="20">
                  <c:v>82.316999999999993</c:v>
                </c:pt>
                <c:pt idx="21">
                  <c:v>83.744</c:v>
                </c:pt>
                <c:pt idx="22">
                  <c:v>79.248000000000005</c:v>
                </c:pt>
                <c:pt idx="23">
                  <c:v>76.384</c:v>
                </c:pt>
                <c:pt idx="24">
                  <c:v>72.364000000000004</c:v>
                </c:pt>
                <c:pt idx="25">
                  <c:v>69.602000000000004</c:v>
                </c:pt>
                <c:pt idx="26">
                  <c:v>67.247</c:v>
                </c:pt>
                <c:pt idx="27">
                  <c:v>65.352999999999994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B-4110-9CB8-95CCBA95A1E6}"/>
            </c:ext>
          </c:extLst>
        </c:ser>
        <c:ser>
          <c:idx val="2"/>
          <c:order val="2"/>
          <c:tx>
            <c:strRef>
              <c:f>'Gestes de rénovation'!$K$76</c:f>
              <c:strCache>
                <c:ptCount val="1"/>
                <c:pt idx="0">
                  <c:v>Rénovations performantes par obligation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rénovation'!$L$76:$AM$76</c:f>
              <c:numCache>
                <c:formatCode>0.0</c:formatCode>
                <c:ptCount val="28"/>
                <c:pt idx="0">
                  <c:v>0</c:v>
                </c:pt>
                <c:pt idx="1">
                  <c:v>33.993000000000002</c:v>
                </c:pt>
                <c:pt idx="2">
                  <c:v>24.544</c:v>
                </c:pt>
                <c:pt idx="3">
                  <c:v>60.722000000000001</c:v>
                </c:pt>
                <c:pt idx="4">
                  <c:v>47.396000000000001</c:v>
                </c:pt>
                <c:pt idx="5">
                  <c:v>36.752000000000002</c:v>
                </c:pt>
                <c:pt idx="6">
                  <c:v>28.34</c:v>
                </c:pt>
                <c:pt idx="7">
                  <c:v>21.712</c:v>
                </c:pt>
                <c:pt idx="8">
                  <c:v>21.57</c:v>
                </c:pt>
                <c:pt idx="9">
                  <c:v>17.829999999999998</c:v>
                </c:pt>
                <c:pt idx="10">
                  <c:v>14.249000000000001</c:v>
                </c:pt>
                <c:pt idx="11">
                  <c:v>11.324999999999999</c:v>
                </c:pt>
                <c:pt idx="12">
                  <c:v>8.9580000000000002</c:v>
                </c:pt>
                <c:pt idx="13">
                  <c:v>7.117</c:v>
                </c:pt>
                <c:pt idx="14">
                  <c:v>20.937999999999999</c:v>
                </c:pt>
                <c:pt idx="15">
                  <c:v>19.895</c:v>
                </c:pt>
                <c:pt idx="16">
                  <c:v>18.866</c:v>
                </c:pt>
                <c:pt idx="17">
                  <c:v>17.789000000000001</c:v>
                </c:pt>
                <c:pt idx="18">
                  <c:v>16.917000000000002</c:v>
                </c:pt>
                <c:pt idx="19">
                  <c:v>16.123000000000001</c:v>
                </c:pt>
                <c:pt idx="20">
                  <c:v>15.377000000000001</c:v>
                </c:pt>
                <c:pt idx="21">
                  <c:v>14.731999999999999</c:v>
                </c:pt>
                <c:pt idx="22">
                  <c:v>14.087</c:v>
                </c:pt>
                <c:pt idx="23">
                  <c:v>13.487</c:v>
                </c:pt>
                <c:pt idx="24">
                  <c:v>12.904999999999999</c:v>
                </c:pt>
                <c:pt idx="25">
                  <c:v>12.352</c:v>
                </c:pt>
                <c:pt idx="26">
                  <c:v>11.823</c:v>
                </c:pt>
                <c:pt idx="27">
                  <c:v>11.308999999999999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6B-4110-9CB8-95CCBA95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180000"/>
        <c:axId val="2050159616"/>
      </c:areaChart>
      <c:lineChart>
        <c:grouping val="standard"/>
        <c:varyColors val="0"/>
        <c:ser>
          <c:idx val="3"/>
          <c:order val="3"/>
          <c:tx>
            <c:strRef>
              <c:f>'Gestes de rénovation'!$J$73</c:f>
              <c:strCache>
                <c:ptCount val="1"/>
                <c:pt idx="0">
                  <c:v>Total rénovations performantes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rénovation'!$L$73:$AM$73</c:f>
              <c:numCache>
                <c:formatCode>0.0</c:formatCode>
                <c:ptCount val="28"/>
                <c:pt idx="0">
                  <c:v>0</c:v>
                </c:pt>
                <c:pt idx="1">
                  <c:v>389.84999999999997</c:v>
                </c:pt>
                <c:pt idx="2">
                  <c:v>299.59699999999998</c:v>
                </c:pt>
                <c:pt idx="3">
                  <c:v>336.46299999999997</c:v>
                </c:pt>
                <c:pt idx="4">
                  <c:v>341.47300000000001</c:v>
                </c:pt>
                <c:pt idx="5">
                  <c:v>335.76300000000003</c:v>
                </c:pt>
                <c:pt idx="6">
                  <c:v>332.79599999999999</c:v>
                </c:pt>
                <c:pt idx="7">
                  <c:v>338.77099999999996</c:v>
                </c:pt>
                <c:pt idx="8">
                  <c:v>358.14499999999998</c:v>
                </c:pt>
                <c:pt idx="9">
                  <c:v>376.99899999999997</c:v>
                </c:pt>
                <c:pt idx="10">
                  <c:v>398.00100000000003</c:v>
                </c:pt>
                <c:pt idx="11">
                  <c:v>421.36600000000004</c:v>
                </c:pt>
                <c:pt idx="12">
                  <c:v>443.33700000000005</c:v>
                </c:pt>
                <c:pt idx="13">
                  <c:v>392.125</c:v>
                </c:pt>
                <c:pt idx="14">
                  <c:v>412.23199999999997</c:v>
                </c:pt>
                <c:pt idx="15">
                  <c:v>431.57099999999997</c:v>
                </c:pt>
                <c:pt idx="16">
                  <c:v>421.95699999999999</c:v>
                </c:pt>
                <c:pt idx="17">
                  <c:v>469.899</c:v>
                </c:pt>
                <c:pt idx="18">
                  <c:v>444.34100000000001</c:v>
                </c:pt>
                <c:pt idx="19">
                  <c:v>450.40699999999998</c:v>
                </c:pt>
                <c:pt idx="20">
                  <c:v>429.47500000000002</c:v>
                </c:pt>
                <c:pt idx="21">
                  <c:v>253.07599999999999</c:v>
                </c:pt>
                <c:pt idx="22">
                  <c:v>263.29899999999998</c:v>
                </c:pt>
                <c:pt idx="23">
                  <c:v>274.04300000000001</c:v>
                </c:pt>
                <c:pt idx="24">
                  <c:v>255.167</c:v>
                </c:pt>
                <c:pt idx="25">
                  <c:v>248.566</c:v>
                </c:pt>
                <c:pt idx="26">
                  <c:v>242.98999999999998</c:v>
                </c:pt>
                <c:pt idx="27">
                  <c:v>236.95699999999997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6B-4110-9CB8-95CCBA95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180000"/>
        <c:axId val="2050159616"/>
      </c:lineChart>
      <c:catAx>
        <c:axId val="2050180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159616"/>
        <c:crosses val="autoZero"/>
        <c:auto val="1"/>
        <c:lblAlgn val="ctr"/>
        <c:lblOffset val="100"/>
        <c:tickLblSkip val="2"/>
        <c:noMultiLvlLbl val="0"/>
      </c:catAx>
      <c:valAx>
        <c:axId val="20501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18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A0E-478D-AD8B-81EF460198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0E-478D-AD8B-81EF460198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0E-478D-AD8B-81EF460198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A0E-478D-AD8B-81EF460198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0E-478D-AD8B-81EF4601982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A0E-478D-AD8B-81EF460198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0E-478D-AD8B-81EF4601982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0E-478D-AD8B-81EF4601982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A0E-478D-AD8B-81EF460198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0E-478D-AD8B-81EF460198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A0E-478D-AD8B-81EF4601982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0E-478D-AD8B-81EF4601982D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0E-478D-AD8B-81EF4601982D}"/>
              </c:ext>
            </c:extLst>
          </c:dPt>
          <c:dPt>
            <c:idx val="1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A0E-478D-AD8B-81EF4601982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0E-478D-AD8B-81EF4601982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A0E-478D-AD8B-81EF4601982D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A0E-478D-AD8B-81EF4601982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A0E-478D-AD8B-81EF4601982D}"/>
              </c:ext>
            </c:extLst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A0E-478D-AD8B-81EF4601982D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A0E-478D-AD8B-81EF4601982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A0E-478D-AD8B-81EF4601982D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A0E-478D-AD8B-81EF4601982D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0E-478D-AD8B-81EF4601982D}"/>
              </c:ext>
            </c:extLst>
          </c:dPt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2A0E-478D-AD8B-81EF4601982D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A0E-478D-AD8B-81EF4601982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2A0E-478D-AD8B-81EF4601982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2A0E-478D-AD8B-81EF4601982D}"/>
              </c:ext>
            </c:extLst>
          </c:dPt>
          <c:dPt>
            <c:idx val="3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2A0E-478D-AD8B-81EF4601982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A0E-478D-AD8B-81EF4601982D}"/>
              </c:ext>
            </c:extLst>
          </c:dPt>
          <c:cat>
            <c:multiLvlStrRef>
              <c:f>'Gestes de rénovation'!$J$92:$K$124</c:f>
              <c:multiLvlStrCache>
                <c:ptCount val="33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C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  <c:pt idx="10">
                    <c:v>A</c:v>
                  </c:pt>
                  <c:pt idx="11">
                    <c:v>B</c:v>
                  </c:pt>
                  <c:pt idx="12">
                    <c:v>C</c:v>
                  </c:pt>
                  <c:pt idx="13">
                    <c:v>D</c:v>
                  </c:pt>
                  <c:pt idx="14">
                    <c:v>E</c:v>
                  </c:pt>
                  <c:pt idx="15">
                    <c:v>F</c:v>
                  </c:pt>
                  <c:pt idx="16">
                    <c:v>B</c:v>
                  </c:pt>
                  <c:pt idx="17">
                    <c:v>C</c:v>
                  </c:pt>
                  <c:pt idx="18">
                    <c:v>D</c:v>
                  </c:pt>
                  <c:pt idx="19">
                    <c:v>E</c:v>
                  </c:pt>
                  <c:pt idx="20">
                    <c:v>F</c:v>
                  </c:pt>
                  <c:pt idx="21">
                    <c:v>G</c:v>
                  </c:pt>
                  <c:pt idx="22">
                    <c:v>B</c:v>
                  </c:pt>
                  <c:pt idx="23">
                    <c:v>C</c:v>
                  </c:pt>
                  <c:pt idx="24">
                    <c:v>D</c:v>
                  </c:pt>
                  <c:pt idx="25">
                    <c:v>E</c:v>
                  </c:pt>
                  <c:pt idx="26">
                    <c:v>F</c:v>
                  </c:pt>
                  <c:pt idx="27">
                    <c:v>G</c:v>
                  </c:pt>
                  <c:pt idx="28">
                    <c:v>C</c:v>
                  </c:pt>
                  <c:pt idx="29">
                    <c:v>D</c:v>
                  </c:pt>
                  <c:pt idx="30">
                    <c:v>E</c:v>
                  </c:pt>
                  <c:pt idx="31">
                    <c:v>F</c:v>
                  </c:pt>
                  <c:pt idx="32">
                    <c:v>G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C</c:v>
                  </c:pt>
                  <c:pt idx="5">
                    <c:v>C</c:v>
                  </c:pt>
                  <c:pt idx="6">
                    <c:v>C</c:v>
                  </c:pt>
                  <c:pt idx="7">
                    <c:v>C</c:v>
                  </c:pt>
                  <c:pt idx="8">
                    <c:v>C</c:v>
                  </c:pt>
                  <c:pt idx="9">
                    <c:v>C</c:v>
                  </c:pt>
                  <c:pt idx="10">
                    <c:v>D</c:v>
                  </c:pt>
                  <c:pt idx="11">
                    <c:v>D</c:v>
                  </c:pt>
                  <c:pt idx="12">
                    <c:v>D</c:v>
                  </c:pt>
                  <c:pt idx="13">
                    <c:v>D</c:v>
                  </c:pt>
                  <c:pt idx="14">
                    <c:v>D</c:v>
                  </c:pt>
                  <c:pt idx="15">
                    <c:v>D</c:v>
                  </c:pt>
                  <c:pt idx="16">
                    <c:v>E</c:v>
                  </c:pt>
                  <c:pt idx="17">
                    <c:v>E</c:v>
                  </c:pt>
                  <c:pt idx="18">
                    <c:v>E</c:v>
                  </c:pt>
                  <c:pt idx="19">
                    <c:v>E</c:v>
                  </c:pt>
                  <c:pt idx="20">
                    <c:v>E</c:v>
                  </c:pt>
                  <c:pt idx="21">
                    <c:v>E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F</c:v>
                  </c:pt>
                  <c:pt idx="26">
                    <c:v>F</c:v>
                  </c:pt>
                  <c:pt idx="27">
                    <c:v>F</c:v>
                  </c:pt>
                  <c:pt idx="28">
                    <c:v>G</c:v>
                  </c:pt>
                  <c:pt idx="29">
                    <c:v>G</c:v>
                  </c:pt>
                  <c:pt idx="30">
                    <c:v>G</c:v>
                  </c:pt>
                  <c:pt idx="31">
                    <c:v>G</c:v>
                  </c:pt>
                  <c:pt idx="32">
                    <c:v>G</c:v>
                  </c:pt>
                </c:lvl>
              </c:multiLvlStrCache>
            </c:multiLvlStrRef>
          </c:cat>
          <c:val>
            <c:numRef>
              <c:f>'Gestes de rénovation'!$X$92:$X$124</c:f>
              <c:numCache>
                <c:formatCode>0.0</c:formatCode>
                <c:ptCount val="33"/>
                <c:pt idx="0">
                  <c:v>7.44</c:v>
                </c:pt>
                <c:pt idx="1">
                  <c:v>6.4880000000000004</c:v>
                </c:pt>
                <c:pt idx="2">
                  <c:v>0.378</c:v>
                </c:pt>
                <c:pt idx="3">
                  <c:v>82.915000000000006</c:v>
                </c:pt>
                <c:pt idx="4">
                  <c:v>12.315</c:v>
                </c:pt>
                <c:pt idx="5">
                  <c:v>8.782</c:v>
                </c:pt>
                <c:pt idx="6">
                  <c:v>100.367</c:v>
                </c:pt>
                <c:pt idx="7">
                  <c:v>346.19099999999997</c:v>
                </c:pt>
                <c:pt idx="8">
                  <c:v>5.4050000000000002</c:v>
                </c:pt>
                <c:pt idx="9">
                  <c:v>5.4050000000000002</c:v>
                </c:pt>
                <c:pt idx="10">
                  <c:v>7.383</c:v>
                </c:pt>
                <c:pt idx="11">
                  <c:v>188.15299999999999</c:v>
                </c:pt>
                <c:pt idx="12">
                  <c:v>263.745</c:v>
                </c:pt>
                <c:pt idx="13">
                  <c:v>354.34500000000003</c:v>
                </c:pt>
                <c:pt idx="14">
                  <c:v>2.907</c:v>
                </c:pt>
                <c:pt idx="15">
                  <c:v>2.87</c:v>
                </c:pt>
                <c:pt idx="16">
                  <c:v>19.8</c:v>
                </c:pt>
                <c:pt idx="17">
                  <c:v>94.587000000000003</c:v>
                </c:pt>
                <c:pt idx="18">
                  <c:v>33.853000000000002</c:v>
                </c:pt>
                <c:pt idx="19">
                  <c:v>63.344000000000001</c:v>
                </c:pt>
                <c:pt idx="20">
                  <c:v>2.2290000000000001</c:v>
                </c:pt>
                <c:pt idx="21">
                  <c:v>0.34899999999999998</c:v>
                </c:pt>
                <c:pt idx="22">
                  <c:v>0</c:v>
                </c:pt>
                <c:pt idx="23">
                  <c:v>39.710999999999999</c:v>
                </c:pt>
                <c:pt idx="24">
                  <c:v>25.914000000000001</c:v>
                </c:pt>
                <c:pt idx="25">
                  <c:v>5.3209999999999997</c:v>
                </c:pt>
                <c:pt idx="26">
                  <c:v>15.827999999999999</c:v>
                </c:pt>
                <c:pt idx="27">
                  <c:v>0.224</c:v>
                </c:pt>
                <c:pt idx="28">
                  <c:v>1.9770000000000001</c:v>
                </c:pt>
                <c:pt idx="29">
                  <c:v>23.306999999999999</c:v>
                </c:pt>
                <c:pt idx="30">
                  <c:v>4.7759999999999998</c:v>
                </c:pt>
                <c:pt idx="31">
                  <c:v>2.173</c:v>
                </c:pt>
                <c:pt idx="32">
                  <c:v>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E-478D-AD8B-81EF4601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005696"/>
        <c:axId val="1976004448"/>
      </c:barChart>
      <c:catAx>
        <c:axId val="19760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6004448"/>
        <c:crosses val="autoZero"/>
        <c:auto val="1"/>
        <c:lblAlgn val="ctr"/>
        <c:lblOffset val="100"/>
        <c:noMultiLvlLbl val="0"/>
      </c:catAx>
      <c:valAx>
        <c:axId val="197600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600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du parc privé en fonction du nombre de sauts de classe DPE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'Gestes de rénovation (2)'!$K$8</c:f>
              <c:strCache>
                <c:ptCount val="1"/>
                <c:pt idx="0">
                  <c:v>1 classe</c:v>
                </c:pt>
              </c:strCache>
            </c:strRef>
          </c:tx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(2)'!$L$8:$AM$8</c:f>
              <c:numCache>
                <c:formatCode>0.0</c:formatCode>
                <c:ptCount val="28"/>
                <c:pt idx="0">
                  <c:v>0</c:v>
                </c:pt>
                <c:pt idx="1">
                  <c:v>385.95299999999997</c:v>
                </c:pt>
                <c:pt idx="2">
                  <c:v>333.73599999999999</c:v>
                </c:pt>
                <c:pt idx="3">
                  <c:v>470.83</c:v>
                </c:pt>
                <c:pt idx="4">
                  <c:v>468.452</c:v>
                </c:pt>
                <c:pt idx="5">
                  <c:v>549.61</c:v>
                </c:pt>
                <c:pt idx="6">
                  <c:v>624.923</c:v>
                </c:pt>
                <c:pt idx="7">
                  <c:v>694.25400000000002</c:v>
                </c:pt>
                <c:pt idx="8">
                  <c:v>754.02700000000004</c:v>
                </c:pt>
                <c:pt idx="9">
                  <c:v>801.86900000000003</c:v>
                </c:pt>
                <c:pt idx="10">
                  <c:v>753.399</c:v>
                </c:pt>
                <c:pt idx="11">
                  <c:v>713.75400000000002</c:v>
                </c:pt>
                <c:pt idx="12">
                  <c:v>668.20299999999997</c:v>
                </c:pt>
                <c:pt idx="13">
                  <c:v>599.50300000000004</c:v>
                </c:pt>
                <c:pt idx="14">
                  <c:v>698.79</c:v>
                </c:pt>
                <c:pt idx="15">
                  <c:v>634.58000000000004</c:v>
                </c:pt>
                <c:pt idx="16">
                  <c:v>544.91300000000001</c:v>
                </c:pt>
                <c:pt idx="17">
                  <c:v>621.20899999999995</c:v>
                </c:pt>
                <c:pt idx="18">
                  <c:v>514.50800000000004</c:v>
                </c:pt>
                <c:pt idx="19">
                  <c:v>489.74099999999999</c:v>
                </c:pt>
                <c:pt idx="20">
                  <c:v>428.56200000000001</c:v>
                </c:pt>
                <c:pt idx="21">
                  <c:v>358.36</c:v>
                </c:pt>
                <c:pt idx="22">
                  <c:v>335.13400000000001</c:v>
                </c:pt>
                <c:pt idx="23">
                  <c:v>345.25099999999998</c:v>
                </c:pt>
                <c:pt idx="24">
                  <c:v>310.822</c:v>
                </c:pt>
                <c:pt idx="25">
                  <c:v>301.54300000000001</c:v>
                </c:pt>
                <c:pt idx="26">
                  <c:v>294.68299999999999</c:v>
                </c:pt>
                <c:pt idx="27">
                  <c:v>287.11099999999999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E-406A-8CFE-D54E67F20D68}"/>
            </c:ext>
          </c:extLst>
        </c:ser>
        <c:ser>
          <c:idx val="4"/>
          <c:order val="1"/>
          <c:tx>
            <c:strRef>
              <c:f>'Gestes de rénovation (2)'!$K$7</c:f>
              <c:strCache>
                <c:ptCount val="1"/>
                <c:pt idx="0">
                  <c:v>2 classes</c:v>
                </c:pt>
              </c:strCache>
            </c:strRef>
          </c:tx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(2)'!$L$7:$AM$7</c:f>
              <c:numCache>
                <c:formatCode>0.0</c:formatCode>
                <c:ptCount val="28"/>
                <c:pt idx="0">
                  <c:v>0</c:v>
                </c:pt>
                <c:pt idx="1">
                  <c:v>354.06599999999997</c:v>
                </c:pt>
                <c:pt idx="2">
                  <c:v>275.01600000000002</c:v>
                </c:pt>
                <c:pt idx="3">
                  <c:v>332.51100000000002</c:v>
                </c:pt>
                <c:pt idx="4">
                  <c:v>348.66500000000002</c:v>
                </c:pt>
                <c:pt idx="5">
                  <c:v>341.08800000000002</c:v>
                </c:pt>
                <c:pt idx="6">
                  <c:v>331.27100000000002</c:v>
                </c:pt>
                <c:pt idx="7">
                  <c:v>362.798</c:v>
                </c:pt>
                <c:pt idx="8">
                  <c:v>439.12200000000001</c:v>
                </c:pt>
                <c:pt idx="9">
                  <c:v>422.20699999999999</c:v>
                </c:pt>
                <c:pt idx="10">
                  <c:v>417.22699999999998</c:v>
                </c:pt>
                <c:pt idx="11">
                  <c:v>412.24</c:v>
                </c:pt>
                <c:pt idx="12">
                  <c:v>408.51</c:v>
                </c:pt>
                <c:pt idx="13">
                  <c:v>308.73700000000002</c:v>
                </c:pt>
                <c:pt idx="14">
                  <c:v>326.73099999999999</c:v>
                </c:pt>
                <c:pt idx="15">
                  <c:v>325.14</c:v>
                </c:pt>
                <c:pt idx="16">
                  <c:v>301.05599999999998</c:v>
                </c:pt>
                <c:pt idx="17">
                  <c:v>372.75299999999999</c:v>
                </c:pt>
                <c:pt idx="18">
                  <c:v>289.50299999999999</c:v>
                </c:pt>
                <c:pt idx="19">
                  <c:v>282.084</c:v>
                </c:pt>
                <c:pt idx="20">
                  <c:v>255.803</c:v>
                </c:pt>
                <c:pt idx="21">
                  <c:v>119.97</c:v>
                </c:pt>
                <c:pt idx="22">
                  <c:v>125.964</c:v>
                </c:pt>
                <c:pt idx="23">
                  <c:v>127.764</c:v>
                </c:pt>
                <c:pt idx="24">
                  <c:v>116.226</c:v>
                </c:pt>
                <c:pt idx="25">
                  <c:v>109.31</c:v>
                </c:pt>
                <c:pt idx="26">
                  <c:v>102.51300000000001</c:v>
                </c:pt>
                <c:pt idx="27">
                  <c:v>95.671999999999997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E-406A-8CFE-D54E67F20D68}"/>
            </c:ext>
          </c:extLst>
        </c:ser>
        <c:ser>
          <c:idx val="3"/>
          <c:order val="2"/>
          <c:tx>
            <c:strRef>
              <c:f>'Gestes de rénovation (2)'!$K$6</c:f>
              <c:strCache>
                <c:ptCount val="1"/>
                <c:pt idx="0">
                  <c:v>3 classes</c:v>
                </c:pt>
              </c:strCache>
            </c:strRef>
          </c:tx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(2)'!$L$6:$AM$6</c:f>
              <c:numCache>
                <c:formatCode>0.0</c:formatCode>
                <c:ptCount val="28"/>
                <c:pt idx="0">
                  <c:v>0</c:v>
                </c:pt>
                <c:pt idx="1">
                  <c:v>251.61500000000001</c:v>
                </c:pt>
                <c:pt idx="2">
                  <c:v>184.15899999999999</c:v>
                </c:pt>
                <c:pt idx="3">
                  <c:v>210.072</c:v>
                </c:pt>
                <c:pt idx="4">
                  <c:v>221.142</c:v>
                </c:pt>
                <c:pt idx="5">
                  <c:v>192.73400000000001</c:v>
                </c:pt>
                <c:pt idx="6">
                  <c:v>166.14699999999999</c:v>
                </c:pt>
                <c:pt idx="7">
                  <c:v>168.64699999999999</c:v>
                </c:pt>
                <c:pt idx="8">
                  <c:v>168.32599999999999</c:v>
                </c:pt>
                <c:pt idx="9">
                  <c:v>156.03399999999999</c:v>
                </c:pt>
                <c:pt idx="10">
                  <c:v>144.17099999999999</c:v>
                </c:pt>
                <c:pt idx="11">
                  <c:v>132.35599999999999</c:v>
                </c:pt>
                <c:pt idx="12">
                  <c:v>122.339</c:v>
                </c:pt>
                <c:pt idx="13">
                  <c:v>83.052999999999997</c:v>
                </c:pt>
                <c:pt idx="14">
                  <c:v>78.012</c:v>
                </c:pt>
                <c:pt idx="15">
                  <c:v>72.119</c:v>
                </c:pt>
                <c:pt idx="16">
                  <c:v>66.459999999999994</c:v>
                </c:pt>
                <c:pt idx="17">
                  <c:v>75.507000000000005</c:v>
                </c:pt>
                <c:pt idx="18">
                  <c:v>52.606999999999999</c:v>
                </c:pt>
                <c:pt idx="19">
                  <c:v>47.72</c:v>
                </c:pt>
                <c:pt idx="20">
                  <c:v>42.865000000000002</c:v>
                </c:pt>
                <c:pt idx="21">
                  <c:v>15.28</c:v>
                </c:pt>
                <c:pt idx="22">
                  <c:v>17.327999999999999</c:v>
                </c:pt>
                <c:pt idx="23">
                  <c:v>13.885</c:v>
                </c:pt>
                <c:pt idx="24">
                  <c:v>12.832000000000001</c:v>
                </c:pt>
                <c:pt idx="25">
                  <c:v>10.260999999999999</c:v>
                </c:pt>
                <c:pt idx="26">
                  <c:v>7.8470000000000004</c:v>
                </c:pt>
                <c:pt idx="27">
                  <c:v>5.6710000000000003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2E-406A-8CFE-D54E67F20D68}"/>
            </c:ext>
          </c:extLst>
        </c:ser>
        <c:ser>
          <c:idx val="0"/>
          <c:order val="3"/>
          <c:tx>
            <c:strRef>
              <c:f>'Gestes de rénovation (2)'!$K$5</c:f>
              <c:strCache>
                <c:ptCount val="1"/>
                <c:pt idx="0">
                  <c:v>4 classes</c:v>
                </c:pt>
              </c:strCache>
            </c:strRef>
          </c:tx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(2)'!$L$5:$AM$5</c:f>
              <c:numCache>
                <c:formatCode>0.0</c:formatCode>
                <c:ptCount val="28"/>
                <c:pt idx="0">
                  <c:v>0</c:v>
                </c:pt>
                <c:pt idx="1">
                  <c:v>61.33</c:v>
                </c:pt>
                <c:pt idx="2">
                  <c:v>40.121000000000002</c:v>
                </c:pt>
                <c:pt idx="3">
                  <c:v>29.405000000000001</c:v>
                </c:pt>
                <c:pt idx="4">
                  <c:v>29.236999999999998</c:v>
                </c:pt>
                <c:pt idx="5">
                  <c:v>22.59</c:v>
                </c:pt>
                <c:pt idx="6">
                  <c:v>17.082999999999998</c:v>
                </c:pt>
                <c:pt idx="7">
                  <c:v>13.109</c:v>
                </c:pt>
                <c:pt idx="8">
                  <c:v>12.311</c:v>
                </c:pt>
                <c:pt idx="9">
                  <c:v>9.9390000000000001</c:v>
                </c:pt>
                <c:pt idx="10">
                  <c:v>8.3919999999999995</c:v>
                </c:pt>
                <c:pt idx="11">
                  <c:v>7.2089999999999996</c:v>
                </c:pt>
                <c:pt idx="12">
                  <c:v>6.1890000000000001</c:v>
                </c:pt>
                <c:pt idx="13">
                  <c:v>5.15</c:v>
                </c:pt>
                <c:pt idx="14">
                  <c:v>4.6310000000000002</c:v>
                </c:pt>
                <c:pt idx="15">
                  <c:v>4.04</c:v>
                </c:pt>
                <c:pt idx="16">
                  <c:v>3.5059999999999998</c:v>
                </c:pt>
                <c:pt idx="17">
                  <c:v>3.0739999999999998</c:v>
                </c:pt>
                <c:pt idx="18">
                  <c:v>2.468</c:v>
                </c:pt>
                <c:pt idx="19">
                  <c:v>2.0449999999999999</c:v>
                </c:pt>
                <c:pt idx="20">
                  <c:v>1.6719999999999999</c:v>
                </c:pt>
                <c:pt idx="21">
                  <c:v>0.78300000000000003</c:v>
                </c:pt>
                <c:pt idx="22">
                  <c:v>0.72599999999999998</c:v>
                </c:pt>
                <c:pt idx="23">
                  <c:v>0.56200000000000006</c:v>
                </c:pt>
                <c:pt idx="24">
                  <c:v>0.45800000000000002</c:v>
                </c:pt>
                <c:pt idx="25">
                  <c:v>0.34200000000000003</c:v>
                </c:pt>
                <c:pt idx="26">
                  <c:v>0.245</c:v>
                </c:pt>
                <c:pt idx="27">
                  <c:v>0.159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2E-406A-8CFE-D54E67F20D68}"/>
            </c:ext>
          </c:extLst>
        </c:ser>
        <c:ser>
          <c:idx val="2"/>
          <c:order val="4"/>
          <c:tx>
            <c:strRef>
              <c:f>'Gestes de rénovation (2)'!$K$4</c:f>
              <c:strCache>
                <c:ptCount val="1"/>
                <c:pt idx="0">
                  <c:v>5 classes</c:v>
                </c:pt>
              </c:strCache>
            </c:strRef>
          </c:tx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(2)'!$L$4:$AM$4</c:f>
              <c:numCache>
                <c:formatCode>0.0</c:formatCode>
                <c:ptCount val="28"/>
                <c:pt idx="0">
                  <c:v>0</c:v>
                </c:pt>
                <c:pt idx="1">
                  <c:v>0.77300000000000002</c:v>
                </c:pt>
                <c:pt idx="2">
                  <c:v>0.31</c:v>
                </c:pt>
                <c:pt idx="3">
                  <c:v>0.24099999999999999</c:v>
                </c:pt>
                <c:pt idx="4">
                  <c:v>0.27900000000000003</c:v>
                </c:pt>
                <c:pt idx="5">
                  <c:v>0.23</c:v>
                </c:pt>
                <c:pt idx="6">
                  <c:v>0.182</c:v>
                </c:pt>
                <c:pt idx="7">
                  <c:v>0.16</c:v>
                </c:pt>
                <c:pt idx="8">
                  <c:v>0.14299999999999999</c:v>
                </c:pt>
                <c:pt idx="9">
                  <c:v>0.14199999999999999</c:v>
                </c:pt>
                <c:pt idx="10">
                  <c:v>0.125</c:v>
                </c:pt>
                <c:pt idx="11">
                  <c:v>0.11</c:v>
                </c:pt>
                <c:pt idx="12">
                  <c:v>9.7000000000000003E-2</c:v>
                </c:pt>
                <c:pt idx="13">
                  <c:v>6.4000000000000001E-2</c:v>
                </c:pt>
                <c:pt idx="14">
                  <c:v>5.7000000000000002E-2</c:v>
                </c:pt>
                <c:pt idx="15">
                  <c:v>0.05</c:v>
                </c:pt>
                <c:pt idx="16">
                  <c:v>4.3999999999999997E-2</c:v>
                </c:pt>
                <c:pt idx="17">
                  <c:v>3.7999999999999999E-2</c:v>
                </c:pt>
                <c:pt idx="18">
                  <c:v>3.3000000000000002E-2</c:v>
                </c:pt>
                <c:pt idx="19">
                  <c:v>2.8000000000000001E-2</c:v>
                </c:pt>
                <c:pt idx="20">
                  <c:v>2.4E-2</c:v>
                </c:pt>
                <c:pt idx="21">
                  <c:v>1.9E-2</c:v>
                </c:pt>
                <c:pt idx="22">
                  <c:v>1.6E-2</c:v>
                </c:pt>
                <c:pt idx="23">
                  <c:v>1.2999999999999999E-2</c:v>
                </c:pt>
                <c:pt idx="24">
                  <c:v>1.0999999999999999E-2</c:v>
                </c:pt>
                <c:pt idx="25">
                  <c:v>8.0000000000000002E-3</c:v>
                </c:pt>
                <c:pt idx="26">
                  <c:v>6.0000000000000001E-3</c:v>
                </c:pt>
                <c:pt idx="27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2E-406A-8CFE-D54E67F20D68}"/>
            </c:ext>
          </c:extLst>
        </c:ser>
        <c:ser>
          <c:idx val="1"/>
          <c:order val="5"/>
          <c:tx>
            <c:strRef>
              <c:f>'Gestes de rénovation (2)'!$K$3</c:f>
              <c:strCache>
                <c:ptCount val="1"/>
                <c:pt idx="0">
                  <c:v>6 classes</c:v>
                </c:pt>
              </c:strCache>
            </c:strRef>
          </c:tx>
          <c:spPr>
            <a:solidFill>
              <a:schemeClr val="accent1">
                <a:shade val="70000"/>
              </a:schemeClr>
            </a:solidFill>
            <a:ln w="25400">
              <a:noFill/>
            </a:ln>
            <a:effectLst/>
          </c:spPr>
          <c:val>
            <c:numRef>
              <c:f>'Gestes de rénovation (2)'!$L$3:$AM$3</c:f>
              <c:numCache>
                <c:formatCode>0.0</c:formatCode>
                <c:ptCount val="28"/>
                <c:pt idx="0">
                  <c:v>0</c:v>
                </c:pt>
                <c:pt idx="1">
                  <c:v>5.8999999999999997E-2</c:v>
                </c:pt>
                <c:pt idx="2">
                  <c:v>1.4E-2</c:v>
                </c:pt>
                <c:pt idx="3">
                  <c:v>6.0000000000000001E-3</c:v>
                </c:pt>
                <c:pt idx="4">
                  <c:v>3.0000000000000001E-3</c:v>
                </c:pt>
                <c:pt idx="5">
                  <c:v>2E-3</c:v>
                </c:pt>
                <c:pt idx="6">
                  <c:v>2E-3</c:v>
                </c:pt>
                <c:pt idx="7">
                  <c:v>1E-3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2E-406A-8CFE-D54E67F2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484192"/>
        <c:axId val="2022484608"/>
      </c:areaChart>
      <c:catAx>
        <c:axId val="20224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608"/>
        <c:crosses val="autoZero"/>
        <c:auto val="1"/>
        <c:lblAlgn val="ctr"/>
        <c:lblOffset val="100"/>
        <c:tickLblSkip val="2"/>
        <c:noMultiLvlLbl val="0"/>
      </c:catAx>
      <c:valAx>
        <c:axId val="2022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4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rénovations par type de logement</a:t>
            </a:r>
          </a:p>
        </c:rich>
      </c:tx>
      <c:layout>
        <c:manualLayout>
          <c:xMode val="edge"/>
          <c:yMode val="edge"/>
          <c:x val="0.12182728959860732"/>
          <c:y val="1.189434543286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'Gestes de rénovation (2)'!$K$22</c:f>
              <c:strCache>
                <c:ptCount val="1"/>
                <c:pt idx="0">
                  <c:v>PB social en copropriété - total gestes isolation</c:v>
                </c:pt>
              </c:strCache>
            </c:strRef>
          </c:tx>
          <c:spPr>
            <a:pattFill prst="dk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(2)'!$L$22:$AM$22</c:f>
              <c:numCache>
                <c:formatCode>0.0</c:formatCode>
                <c:ptCount val="28"/>
                <c:pt idx="0">
                  <c:v>0</c:v>
                </c:pt>
                <c:pt idx="1">
                  <c:v>15.24</c:v>
                </c:pt>
                <c:pt idx="2">
                  <c:v>61.817999999999998</c:v>
                </c:pt>
                <c:pt idx="3">
                  <c:v>139.63300000000001</c:v>
                </c:pt>
                <c:pt idx="4">
                  <c:v>181.31</c:v>
                </c:pt>
                <c:pt idx="5">
                  <c:v>224.56700000000001</c:v>
                </c:pt>
                <c:pt idx="6">
                  <c:v>234.96600000000001</c:v>
                </c:pt>
                <c:pt idx="7">
                  <c:v>238.434</c:v>
                </c:pt>
                <c:pt idx="8">
                  <c:v>253.65299999999999</c:v>
                </c:pt>
                <c:pt idx="9">
                  <c:v>245.87799999999999</c:v>
                </c:pt>
                <c:pt idx="10">
                  <c:v>265.50299999999999</c:v>
                </c:pt>
                <c:pt idx="11">
                  <c:v>311.76100000000002</c:v>
                </c:pt>
                <c:pt idx="12">
                  <c:v>325.79500000000002</c:v>
                </c:pt>
                <c:pt idx="13">
                  <c:v>298.59800000000001</c:v>
                </c:pt>
                <c:pt idx="14">
                  <c:v>256.43900000000002</c:v>
                </c:pt>
                <c:pt idx="15">
                  <c:v>275.69400000000002</c:v>
                </c:pt>
                <c:pt idx="16">
                  <c:v>321.87200000000001</c:v>
                </c:pt>
                <c:pt idx="17">
                  <c:v>335.75700000000001</c:v>
                </c:pt>
                <c:pt idx="18">
                  <c:v>336.935</c:v>
                </c:pt>
                <c:pt idx="19">
                  <c:v>346.87099999999998</c:v>
                </c:pt>
                <c:pt idx="20">
                  <c:v>310.096</c:v>
                </c:pt>
                <c:pt idx="21">
                  <c:v>344.03</c:v>
                </c:pt>
                <c:pt idx="22">
                  <c:v>327.65100000000001</c:v>
                </c:pt>
                <c:pt idx="23">
                  <c:v>313.464</c:v>
                </c:pt>
                <c:pt idx="24">
                  <c:v>299.41899999999998</c:v>
                </c:pt>
                <c:pt idx="25">
                  <c:v>286.48099999999999</c:v>
                </c:pt>
                <c:pt idx="26">
                  <c:v>274.02999999999997</c:v>
                </c:pt>
                <c:pt idx="27">
                  <c:v>261.98399999999998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B-4B57-B36B-584F8C52D573}"/>
            </c:ext>
          </c:extLst>
        </c:ser>
        <c:ser>
          <c:idx val="3"/>
          <c:order val="1"/>
          <c:tx>
            <c:strRef>
              <c:f>'Gestes de rénovation (2)'!$K$23</c:f>
              <c:strCache>
                <c:ptCount val="1"/>
                <c:pt idx="0">
                  <c:v>PO en maison - total gestes isolation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(2)'!$L$23:$AM$23</c:f>
              <c:numCache>
                <c:formatCode>0.0</c:formatCode>
                <c:ptCount val="28"/>
                <c:pt idx="0">
                  <c:v>0</c:v>
                </c:pt>
                <c:pt idx="1">
                  <c:v>373.90800000000002</c:v>
                </c:pt>
                <c:pt idx="2">
                  <c:v>194.506</c:v>
                </c:pt>
                <c:pt idx="3">
                  <c:v>207.952</c:v>
                </c:pt>
                <c:pt idx="4">
                  <c:v>230.08699999999999</c:v>
                </c:pt>
                <c:pt idx="5">
                  <c:v>222.751</c:v>
                </c:pt>
                <c:pt idx="6">
                  <c:v>216.001</c:v>
                </c:pt>
                <c:pt idx="7">
                  <c:v>266.178</c:v>
                </c:pt>
                <c:pt idx="8">
                  <c:v>254.64</c:v>
                </c:pt>
                <c:pt idx="9">
                  <c:v>255.42400000000001</c:v>
                </c:pt>
                <c:pt idx="10">
                  <c:v>242.626</c:v>
                </c:pt>
                <c:pt idx="11">
                  <c:v>230.38900000000001</c:v>
                </c:pt>
                <c:pt idx="12">
                  <c:v>218.739</c:v>
                </c:pt>
                <c:pt idx="13">
                  <c:v>225.44300000000001</c:v>
                </c:pt>
                <c:pt idx="14">
                  <c:v>215.86500000000001</c:v>
                </c:pt>
                <c:pt idx="15">
                  <c:v>206.59899999999999</c:v>
                </c:pt>
                <c:pt idx="16">
                  <c:v>198.05600000000001</c:v>
                </c:pt>
                <c:pt idx="17">
                  <c:v>409.33600000000001</c:v>
                </c:pt>
                <c:pt idx="18">
                  <c:v>345.072</c:v>
                </c:pt>
                <c:pt idx="19">
                  <c:v>330.66</c:v>
                </c:pt>
                <c:pt idx="20">
                  <c:v>317.29500000000002</c:v>
                </c:pt>
                <c:pt idx="21">
                  <c:v>308.51400000000001</c:v>
                </c:pt>
                <c:pt idx="22">
                  <c:v>300.96300000000002</c:v>
                </c:pt>
                <c:pt idx="23">
                  <c:v>292.709</c:v>
                </c:pt>
                <c:pt idx="24">
                  <c:v>285.11500000000001</c:v>
                </c:pt>
                <c:pt idx="25">
                  <c:v>277.81700000000001</c:v>
                </c:pt>
                <c:pt idx="26">
                  <c:v>270.64800000000002</c:v>
                </c:pt>
                <c:pt idx="27">
                  <c:v>265.262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B-4B57-B36B-584F8C52D573}"/>
            </c:ext>
          </c:extLst>
        </c:ser>
        <c:ser>
          <c:idx val="4"/>
          <c:order val="2"/>
          <c:tx>
            <c:strRef>
              <c:f>'Gestes de rénovation (2)'!$K$24</c:f>
              <c:strCache>
                <c:ptCount val="1"/>
                <c:pt idx="0">
                  <c:v>PB en maison - total gestes isolation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(2)'!$L$24:$AM$24</c:f>
              <c:numCache>
                <c:formatCode>0.0</c:formatCode>
                <c:ptCount val="28"/>
                <c:pt idx="0">
                  <c:v>0</c:v>
                </c:pt>
                <c:pt idx="1">
                  <c:v>54.747</c:v>
                </c:pt>
                <c:pt idx="2">
                  <c:v>37.575000000000003</c:v>
                </c:pt>
                <c:pt idx="3">
                  <c:v>88.86</c:v>
                </c:pt>
                <c:pt idx="4">
                  <c:v>71.555999999999997</c:v>
                </c:pt>
                <c:pt idx="5">
                  <c:v>57.828000000000003</c:v>
                </c:pt>
                <c:pt idx="6">
                  <c:v>47.110999999999997</c:v>
                </c:pt>
                <c:pt idx="7">
                  <c:v>38.75</c:v>
                </c:pt>
                <c:pt idx="8">
                  <c:v>66.132000000000005</c:v>
                </c:pt>
                <c:pt idx="9">
                  <c:v>52.555999999999997</c:v>
                </c:pt>
                <c:pt idx="10">
                  <c:v>41.511000000000003</c:v>
                </c:pt>
                <c:pt idx="11">
                  <c:v>33.067</c:v>
                </c:pt>
                <c:pt idx="12">
                  <c:v>26.641999999999999</c:v>
                </c:pt>
                <c:pt idx="13">
                  <c:v>22.704000000000001</c:v>
                </c:pt>
                <c:pt idx="14">
                  <c:v>184.874</c:v>
                </c:pt>
                <c:pt idx="15">
                  <c:v>170.62299999999999</c:v>
                </c:pt>
                <c:pt idx="16">
                  <c:v>157.56100000000001</c:v>
                </c:pt>
                <c:pt idx="17">
                  <c:v>145.81800000000001</c:v>
                </c:pt>
                <c:pt idx="18">
                  <c:v>131.06100000000001</c:v>
                </c:pt>
                <c:pt idx="19">
                  <c:v>119.761</c:v>
                </c:pt>
                <c:pt idx="20">
                  <c:v>109.343</c:v>
                </c:pt>
                <c:pt idx="21">
                  <c:v>103.152</c:v>
                </c:pt>
                <c:pt idx="22">
                  <c:v>97.028000000000006</c:v>
                </c:pt>
                <c:pt idx="23">
                  <c:v>91.126999999999995</c:v>
                </c:pt>
                <c:pt idx="24">
                  <c:v>85.679000000000002</c:v>
                </c:pt>
                <c:pt idx="25">
                  <c:v>80.64</c:v>
                </c:pt>
                <c:pt idx="26">
                  <c:v>76.004999999999995</c:v>
                </c:pt>
                <c:pt idx="27">
                  <c:v>71.778999999999996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B-4B57-B36B-584F8C52D573}"/>
            </c:ext>
          </c:extLst>
        </c:ser>
        <c:ser>
          <c:idx val="5"/>
          <c:order val="3"/>
          <c:tx>
            <c:strRef>
              <c:f>'Gestes de rénovation (2)'!$K$25</c:f>
              <c:strCache>
                <c:ptCount val="1"/>
                <c:pt idx="0">
                  <c:v>PB social en maison - total gestes isolation 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(2)'!$L$25:$AM$25</c:f>
              <c:numCache>
                <c:formatCode>0.0</c:formatCode>
                <c:ptCount val="28"/>
                <c:pt idx="0">
                  <c:v>0</c:v>
                </c:pt>
                <c:pt idx="1">
                  <c:v>14.484</c:v>
                </c:pt>
                <c:pt idx="2">
                  <c:v>29.827999999999999</c:v>
                </c:pt>
                <c:pt idx="3">
                  <c:v>47.03</c:v>
                </c:pt>
                <c:pt idx="4">
                  <c:v>59.106000000000002</c:v>
                </c:pt>
                <c:pt idx="5">
                  <c:v>61.26</c:v>
                </c:pt>
                <c:pt idx="6">
                  <c:v>56.506999999999998</c:v>
                </c:pt>
                <c:pt idx="7">
                  <c:v>61.023000000000003</c:v>
                </c:pt>
                <c:pt idx="8">
                  <c:v>68.090999999999994</c:v>
                </c:pt>
                <c:pt idx="9">
                  <c:v>75.900000000000006</c:v>
                </c:pt>
                <c:pt idx="10">
                  <c:v>89.632999999999996</c:v>
                </c:pt>
                <c:pt idx="11">
                  <c:v>108.262</c:v>
                </c:pt>
                <c:pt idx="12">
                  <c:v>100.738</c:v>
                </c:pt>
                <c:pt idx="13">
                  <c:v>105.217</c:v>
                </c:pt>
                <c:pt idx="14">
                  <c:v>94.891999999999996</c:v>
                </c:pt>
                <c:pt idx="15">
                  <c:v>90.465999999999994</c:v>
                </c:pt>
                <c:pt idx="16">
                  <c:v>89.046000000000006</c:v>
                </c:pt>
                <c:pt idx="17">
                  <c:v>85.248999999999995</c:v>
                </c:pt>
                <c:pt idx="18">
                  <c:v>78.483999999999995</c:v>
                </c:pt>
                <c:pt idx="19">
                  <c:v>75.302000000000007</c:v>
                </c:pt>
                <c:pt idx="20">
                  <c:v>35.494999999999997</c:v>
                </c:pt>
                <c:pt idx="21">
                  <c:v>39.951999999999998</c:v>
                </c:pt>
                <c:pt idx="22">
                  <c:v>38.637</c:v>
                </c:pt>
                <c:pt idx="23">
                  <c:v>37.526000000000003</c:v>
                </c:pt>
                <c:pt idx="24">
                  <c:v>36.261000000000003</c:v>
                </c:pt>
                <c:pt idx="25">
                  <c:v>35.168999999999997</c:v>
                </c:pt>
                <c:pt idx="26">
                  <c:v>34.057000000000002</c:v>
                </c:pt>
                <c:pt idx="27">
                  <c:v>32.911999999999999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B-4B57-B36B-584F8C52D573}"/>
            </c:ext>
          </c:extLst>
        </c:ser>
        <c:ser>
          <c:idx val="0"/>
          <c:order val="4"/>
          <c:tx>
            <c:strRef>
              <c:f>'Gestes de rénovation (2)'!$K$20</c:f>
              <c:strCache>
                <c:ptCount val="1"/>
                <c:pt idx="0">
                  <c:v>PO en copropriété - total gestes isolation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(2)'!$L$20:$AM$20</c:f>
              <c:numCache>
                <c:formatCode>0.0</c:formatCode>
                <c:ptCount val="28"/>
                <c:pt idx="0">
                  <c:v>0</c:v>
                </c:pt>
                <c:pt idx="1">
                  <c:v>66.858999999999995</c:v>
                </c:pt>
                <c:pt idx="2">
                  <c:v>51</c:v>
                </c:pt>
                <c:pt idx="3">
                  <c:v>50.872</c:v>
                </c:pt>
                <c:pt idx="4">
                  <c:v>55.295000000000002</c:v>
                </c:pt>
                <c:pt idx="5">
                  <c:v>54.615000000000002</c:v>
                </c:pt>
                <c:pt idx="6">
                  <c:v>53.884</c:v>
                </c:pt>
                <c:pt idx="7">
                  <c:v>57.445999999999998</c:v>
                </c:pt>
                <c:pt idx="8">
                  <c:v>56.115000000000002</c:v>
                </c:pt>
                <c:pt idx="9">
                  <c:v>58.914000000000001</c:v>
                </c:pt>
                <c:pt idx="10">
                  <c:v>57.405000000000001</c:v>
                </c:pt>
                <c:pt idx="11">
                  <c:v>55.917999999999999</c:v>
                </c:pt>
                <c:pt idx="12">
                  <c:v>54.484999999999999</c:v>
                </c:pt>
                <c:pt idx="13">
                  <c:v>88.685000000000002</c:v>
                </c:pt>
                <c:pt idx="14">
                  <c:v>84.069000000000003</c:v>
                </c:pt>
                <c:pt idx="15">
                  <c:v>79.451999999999998</c:v>
                </c:pt>
                <c:pt idx="16">
                  <c:v>75.293999999999997</c:v>
                </c:pt>
                <c:pt idx="17">
                  <c:v>145.47200000000001</c:v>
                </c:pt>
                <c:pt idx="18">
                  <c:v>98.551000000000002</c:v>
                </c:pt>
                <c:pt idx="19">
                  <c:v>93.180999999999997</c:v>
                </c:pt>
                <c:pt idx="20">
                  <c:v>88.131</c:v>
                </c:pt>
                <c:pt idx="21">
                  <c:v>84.212999999999994</c:v>
                </c:pt>
                <c:pt idx="22">
                  <c:v>80.578000000000003</c:v>
                </c:pt>
                <c:pt idx="23">
                  <c:v>76.763000000000005</c:v>
                </c:pt>
                <c:pt idx="24">
                  <c:v>73.182000000000002</c:v>
                </c:pt>
                <c:pt idx="25">
                  <c:v>69.727999999999994</c:v>
                </c:pt>
                <c:pt idx="26">
                  <c:v>66.388999999999996</c:v>
                </c:pt>
                <c:pt idx="27">
                  <c:v>63.03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B-4B57-B36B-584F8C52D573}"/>
            </c:ext>
          </c:extLst>
        </c:ser>
        <c:ser>
          <c:idx val="1"/>
          <c:order val="5"/>
          <c:tx>
            <c:strRef>
              <c:f>'Gestes de rénovation (2)'!$K$21</c:f>
              <c:strCache>
                <c:ptCount val="1"/>
                <c:pt idx="0">
                  <c:v>PB en copropriété - total gestes isolation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(2)'!$L$21:$AM$21</c:f>
              <c:numCache>
                <c:formatCode>0.0</c:formatCode>
                <c:ptCount val="28"/>
                <c:pt idx="0">
                  <c:v>0</c:v>
                </c:pt>
                <c:pt idx="1">
                  <c:v>75.745999999999995</c:v>
                </c:pt>
                <c:pt idx="2">
                  <c:v>60.488</c:v>
                </c:pt>
                <c:pt idx="3">
                  <c:v>89.875</c:v>
                </c:pt>
                <c:pt idx="4">
                  <c:v>75.798000000000002</c:v>
                </c:pt>
                <c:pt idx="5">
                  <c:v>64.471999999999994</c:v>
                </c:pt>
                <c:pt idx="6">
                  <c:v>55.584000000000003</c:v>
                </c:pt>
                <c:pt idx="7">
                  <c:v>48.606000000000002</c:v>
                </c:pt>
                <c:pt idx="8">
                  <c:v>235.9</c:v>
                </c:pt>
                <c:pt idx="9">
                  <c:v>192.02699999999999</c:v>
                </c:pt>
                <c:pt idx="10">
                  <c:v>156.03399999999999</c:v>
                </c:pt>
                <c:pt idx="11">
                  <c:v>127.49</c:v>
                </c:pt>
                <c:pt idx="12">
                  <c:v>104.876</c:v>
                </c:pt>
                <c:pt idx="13">
                  <c:v>87.415999999999997</c:v>
                </c:pt>
                <c:pt idx="14">
                  <c:v>413.80099999999999</c:v>
                </c:pt>
                <c:pt idx="15">
                  <c:v>364.35</c:v>
                </c:pt>
                <c:pt idx="16">
                  <c:v>322.45999999999998</c:v>
                </c:pt>
                <c:pt idx="17">
                  <c:v>289.77800000000002</c:v>
                </c:pt>
                <c:pt idx="18">
                  <c:v>250.38</c:v>
                </c:pt>
                <c:pt idx="19">
                  <c:v>222.02500000000001</c:v>
                </c:pt>
                <c:pt idx="20">
                  <c:v>197.137</c:v>
                </c:pt>
                <c:pt idx="21">
                  <c:v>180.06700000000001</c:v>
                </c:pt>
                <c:pt idx="22">
                  <c:v>164.357</c:v>
                </c:pt>
                <c:pt idx="23">
                  <c:v>150.423</c:v>
                </c:pt>
                <c:pt idx="24">
                  <c:v>137.97</c:v>
                </c:pt>
                <c:pt idx="25">
                  <c:v>127.006</c:v>
                </c:pt>
                <c:pt idx="26">
                  <c:v>117.372</c:v>
                </c:pt>
                <c:pt idx="27">
                  <c:v>108.896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B-4B57-B36B-584F8C52D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57904"/>
        <c:axId val="2026354160"/>
      </c:areaChart>
      <c:catAx>
        <c:axId val="202635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4160"/>
        <c:crosses val="autoZero"/>
        <c:auto val="1"/>
        <c:lblAlgn val="ctr"/>
        <c:lblOffset val="100"/>
        <c:noMultiLvlLbl val="0"/>
      </c:catAx>
      <c:valAx>
        <c:axId val="20263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6357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4621596418013103"/>
          <c:w val="1"/>
          <c:h val="0.1265928891248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gestes d'isolation</a:t>
            </a:r>
            <a:r>
              <a:rPr lang="fr-FR" baseline="0"/>
              <a:t> (milliers de ménages - double comptage)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1972723639670246E-2"/>
          <c:y val="0.11766114983666327"/>
          <c:w val="0.92629475044320664"/>
          <c:h val="0.73617957399061695"/>
        </c:manualLayout>
      </c:layout>
      <c:lineChart>
        <c:grouping val="standard"/>
        <c:varyColors val="0"/>
        <c:ser>
          <c:idx val="0"/>
          <c:order val="0"/>
          <c:tx>
            <c:strRef>
              <c:f>'Gestes de rénovation (2)'!$J$38</c:f>
              <c:strCache>
                <c:ptCount val="1"/>
                <c:pt idx="0">
                  <c:v>Replacement Floor (Thousand households)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(2)'!$L$38:$AM$38</c:f>
              <c:numCache>
                <c:formatCode>0.0</c:formatCode>
                <c:ptCount val="28"/>
                <c:pt idx="0">
                  <c:v>0</c:v>
                </c:pt>
                <c:pt idx="1">
                  <c:v>113.52800000000001</c:v>
                </c:pt>
                <c:pt idx="2">
                  <c:v>70.798000000000002</c:v>
                </c:pt>
                <c:pt idx="3">
                  <c:v>109.062</c:v>
                </c:pt>
                <c:pt idx="4">
                  <c:v>116.565</c:v>
                </c:pt>
                <c:pt idx="5">
                  <c:v>114.67100000000001</c:v>
                </c:pt>
                <c:pt idx="6">
                  <c:v>107.732</c:v>
                </c:pt>
                <c:pt idx="7">
                  <c:v>113.806</c:v>
                </c:pt>
                <c:pt idx="8">
                  <c:v>168.60400000000001</c:v>
                </c:pt>
                <c:pt idx="9">
                  <c:v>159.72900000000001</c:v>
                </c:pt>
                <c:pt idx="10">
                  <c:v>150.84299999999999</c:v>
                </c:pt>
                <c:pt idx="11">
                  <c:v>149.56200000000001</c:v>
                </c:pt>
                <c:pt idx="12">
                  <c:v>140.471</c:v>
                </c:pt>
                <c:pt idx="13">
                  <c:v>140.654</c:v>
                </c:pt>
                <c:pt idx="14">
                  <c:v>217.66399999999999</c:v>
                </c:pt>
                <c:pt idx="15">
                  <c:v>204.13499999999999</c:v>
                </c:pt>
                <c:pt idx="16">
                  <c:v>198.04300000000001</c:v>
                </c:pt>
                <c:pt idx="17">
                  <c:v>255.07300000000001</c:v>
                </c:pt>
                <c:pt idx="18">
                  <c:v>197.636</c:v>
                </c:pt>
                <c:pt idx="19">
                  <c:v>187.953</c:v>
                </c:pt>
                <c:pt idx="20">
                  <c:v>164.27799999999999</c:v>
                </c:pt>
                <c:pt idx="21">
                  <c:v>164.98699999999999</c:v>
                </c:pt>
                <c:pt idx="22">
                  <c:v>156.369</c:v>
                </c:pt>
                <c:pt idx="23">
                  <c:v>148.261</c:v>
                </c:pt>
                <c:pt idx="24">
                  <c:v>140.73400000000001</c:v>
                </c:pt>
                <c:pt idx="25">
                  <c:v>133.83799999999999</c:v>
                </c:pt>
                <c:pt idx="26">
                  <c:v>127.375</c:v>
                </c:pt>
                <c:pt idx="27">
                  <c:v>122.995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B-4ED6-ACB4-DA6D40F554A2}"/>
            </c:ext>
          </c:extLst>
        </c:ser>
        <c:ser>
          <c:idx val="1"/>
          <c:order val="1"/>
          <c:tx>
            <c:strRef>
              <c:f>'Gestes de rénovation (2)'!$J$39</c:f>
              <c:strCache>
                <c:ptCount val="1"/>
                <c:pt idx="0">
                  <c:v>Replacement Roof (Thousand households)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(2)'!$L$39:$AM$39</c:f>
              <c:numCache>
                <c:formatCode>0.0</c:formatCode>
                <c:ptCount val="28"/>
                <c:pt idx="0">
                  <c:v>0</c:v>
                </c:pt>
                <c:pt idx="1">
                  <c:v>495.41500000000002</c:v>
                </c:pt>
                <c:pt idx="2">
                  <c:v>352.84800000000001</c:v>
                </c:pt>
                <c:pt idx="3">
                  <c:v>484.40600000000001</c:v>
                </c:pt>
                <c:pt idx="4">
                  <c:v>523.27800000000002</c:v>
                </c:pt>
                <c:pt idx="5">
                  <c:v>540.44399999999996</c:v>
                </c:pt>
                <c:pt idx="6">
                  <c:v>529.28599999999994</c:v>
                </c:pt>
                <c:pt idx="7">
                  <c:v>544.101</c:v>
                </c:pt>
                <c:pt idx="8">
                  <c:v>724.91200000000003</c:v>
                </c:pt>
                <c:pt idx="9">
                  <c:v>681.30100000000004</c:v>
                </c:pt>
                <c:pt idx="10">
                  <c:v>662.89800000000002</c:v>
                </c:pt>
                <c:pt idx="11">
                  <c:v>677.99599999999998</c:v>
                </c:pt>
                <c:pt idx="12">
                  <c:v>654.73400000000004</c:v>
                </c:pt>
                <c:pt idx="13">
                  <c:v>651.35400000000004</c:v>
                </c:pt>
                <c:pt idx="14">
                  <c:v>992.11599999999999</c:v>
                </c:pt>
                <c:pt idx="15">
                  <c:v>943.976</c:v>
                </c:pt>
                <c:pt idx="16">
                  <c:v>928.11099999999999</c:v>
                </c:pt>
                <c:pt idx="17">
                  <c:v>1094.348</c:v>
                </c:pt>
                <c:pt idx="18">
                  <c:v>998.11300000000006</c:v>
                </c:pt>
                <c:pt idx="19">
                  <c:v>956.62800000000004</c:v>
                </c:pt>
                <c:pt idx="20">
                  <c:v>855.53499999999997</c:v>
                </c:pt>
                <c:pt idx="21">
                  <c:v>857.31500000000005</c:v>
                </c:pt>
                <c:pt idx="22">
                  <c:v>815.952</c:v>
                </c:pt>
                <c:pt idx="23">
                  <c:v>777.71</c:v>
                </c:pt>
                <c:pt idx="24">
                  <c:v>741.70500000000004</c:v>
                </c:pt>
                <c:pt idx="25">
                  <c:v>708.66099999999994</c:v>
                </c:pt>
                <c:pt idx="26">
                  <c:v>677.64700000000005</c:v>
                </c:pt>
                <c:pt idx="27">
                  <c:v>648.36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B-4ED6-ACB4-DA6D40F554A2}"/>
            </c:ext>
          </c:extLst>
        </c:ser>
        <c:ser>
          <c:idx val="2"/>
          <c:order val="2"/>
          <c:tx>
            <c:strRef>
              <c:f>'Gestes de rénovation (2)'!$J$40</c:f>
              <c:strCache>
                <c:ptCount val="1"/>
                <c:pt idx="0">
                  <c:v>Replacement Wall (Thousand households)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(2)'!$L$40:$AM$40</c:f>
              <c:numCache>
                <c:formatCode>0.0</c:formatCode>
                <c:ptCount val="28"/>
                <c:pt idx="0">
                  <c:v>0</c:v>
                </c:pt>
                <c:pt idx="1">
                  <c:v>189.63399999999999</c:v>
                </c:pt>
                <c:pt idx="2">
                  <c:v>112.911</c:v>
                </c:pt>
                <c:pt idx="3">
                  <c:v>207.964</c:v>
                </c:pt>
                <c:pt idx="4">
                  <c:v>216.44399999999999</c:v>
                </c:pt>
                <c:pt idx="5">
                  <c:v>193.78800000000001</c:v>
                </c:pt>
                <c:pt idx="6">
                  <c:v>168.732</c:v>
                </c:pt>
                <c:pt idx="7">
                  <c:v>213.649</c:v>
                </c:pt>
                <c:pt idx="8">
                  <c:v>293.786</c:v>
                </c:pt>
                <c:pt idx="9">
                  <c:v>277.25</c:v>
                </c:pt>
                <c:pt idx="10">
                  <c:v>249.87899999999999</c:v>
                </c:pt>
                <c:pt idx="11">
                  <c:v>230.98599999999999</c:v>
                </c:pt>
                <c:pt idx="12">
                  <c:v>205.53899999999999</c:v>
                </c:pt>
                <c:pt idx="13">
                  <c:v>205.59100000000001</c:v>
                </c:pt>
                <c:pt idx="14">
                  <c:v>276.16699999999997</c:v>
                </c:pt>
                <c:pt idx="15">
                  <c:v>254.279</c:v>
                </c:pt>
                <c:pt idx="16">
                  <c:v>241.02699999999999</c:v>
                </c:pt>
                <c:pt idx="17">
                  <c:v>365.34</c:v>
                </c:pt>
                <c:pt idx="18">
                  <c:v>217.02799999999999</c:v>
                </c:pt>
                <c:pt idx="19">
                  <c:v>204.184</c:v>
                </c:pt>
                <c:pt idx="20">
                  <c:v>172.941</c:v>
                </c:pt>
                <c:pt idx="21">
                  <c:v>172.26599999999999</c:v>
                </c:pt>
                <c:pt idx="22">
                  <c:v>162.71700000000001</c:v>
                </c:pt>
                <c:pt idx="23">
                  <c:v>153.49</c:v>
                </c:pt>
                <c:pt idx="24">
                  <c:v>145.09</c:v>
                </c:pt>
                <c:pt idx="25">
                  <c:v>137.37799999999999</c:v>
                </c:pt>
                <c:pt idx="26">
                  <c:v>130.15600000000001</c:v>
                </c:pt>
                <c:pt idx="27">
                  <c:v>123.264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5B-4ED6-ACB4-DA6D40F554A2}"/>
            </c:ext>
          </c:extLst>
        </c:ser>
        <c:ser>
          <c:idx val="3"/>
          <c:order val="3"/>
          <c:tx>
            <c:strRef>
              <c:f>'Gestes de rénovation (2)'!$J$41</c:f>
              <c:strCache>
                <c:ptCount val="1"/>
                <c:pt idx="0">
                  <c:v>Replacement Windows (Thousand households)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(2)'!$L$41:$AM$41</c:f>
              <c:numCache>
                <c:formatCode>0.0</c:formatCode>
                <c:ptCount val="28"/>
                <c:pt idx="0">
                  <c:v>0</c:v>
                </c:pt>
                <c:pt idx="1">
                  <c:v>113.514</c:v>
                </c:pt>
                <c:pt idx="2">
                  <c:v>81.350999999999999</c:v>
                </c:pt>
                <c:pt idx="3">
                  <c:v>118.464</c:v>
                </c:pt>
                <c:pt idx="4">
                  <c:v>127.539</c:v>
                </c:pt>
                <c:pt idx="5">
                  <c:v>129.52600000000001</c:v>
                </c:pt>
                <c:pt idx="6">
                  <c:v>124.749</c:v>
                </c:pt>
                <c:pt idx="7">
                  <c:v>129.072</c:v>
                </c:pt>
                <c:pt idx="8">
                  <c:v>185.035</c:v>
                </c:pt>
                <c:pt idx="9">
                  <c:v>176.47499999999999</c:v>
                </c:pt>
                <c:pt idx="10">
                  <c:v>170.226</c:v>
                </c:pt>
                <c:pt idx="11">
                  <c:v>173.34100000000001</c:v>
                </c:pt>
                <c:pt idx="12">
                  <c:v>165.654</c:v>
                </c:pt>
                <c:pt idx="13">
                  <c:v>165.43799999999999</c:v>
                </c:pt>
                <c:pt idx="14">
                  <c:v>262.7</c:v>
                </c:pt>
                <c:pt idx="15">
                  <c:v>248.06700000000001</c:v>
                </c:pt>
                <c:pt idx="16">
                  <c:v>242.035</c:v>
                </c:pt>
                <c:pt idx="17">
                  <c:v>305.61900000000003</c:v>
                </c:pt>
                <c:pt idx="18">
                  <c:v>250.892</c:v>
                </c:pt>
                <c:pt idx="19">
                  <c:v>239.34</c:v>
                </c:pt>
                <c:pt idx="20">
                  <c:v>210.803</c:v>
                </c:pt>
                <c:pt idx="21">
                  <c:v>211.70599999999999</c:v>
                </c:pt>
                <c:pt idx="22">
                  <c:v>201.267</c:v>
                </c:pt>
                <c:pt idx="23">
                  <c:v>191.44499999999999</c:v>
                </c:pt>
                <c:pt idx="24">
                  <c:v>182.26499999999999</c:v>
                </c:pt>
                <c:pt idx="25">
                  <c:v>173.82400000000001</c:v>
                </c:pt>
                <c:pt idx="26">
                  <c:v>165.90100000000001</c:v>
                </c:pt>
                <c:pt idx="27">
                  <c:v>160.32900000000001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5B-4ED6-ACB4-DA6D40F55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24208"/>
        <c:axId val="161913392"/>
      </c:lineChart>
      <c:catAx>
        <c:axId val="1619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13392"/>
        <c:crosses val="autoZero"/>
        <c:auto val="1"/>
        <c:lblAlgn val="ctr"/>
        <c:lblOffset val="100"/>
        <c:noMultiLvlLbl val="0"/>
      </c:catAx>
      <c:valAx>
        <c:axId val="1619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92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Rénovations</a:t>
            </a:r>
            <a:r>
              <a:rPr lang="fr-FR" baseline="0"/>
              <a:t> issues d'une obligation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'Gestes de rénovation (2)'!$J$54</c:f>
              <c:strCache>
                <c:ptCount val="1"/>
                <c:pt idx="0">
                  <c:v>Renovation Obligation pb (Thousand households)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(2)'!$L$54:$AM$54</c:f>
              <c:numCache>
                <c:formatCode>0.0</c:formatCode>
                <c:ptCount val="28"/>
                <c:pt idx="0">
                  <c:v>0</c:v>
                </c:pt>
                <c:pt idx="1">
                  <c:v>68.069999999999993</c:v>
                </c:pt>
                <c:pt idx="2">
                  <c:v>52.066000000000003</c:v>
                </c:pt>
                <c:pt idx="3">
                  <c:v>133.673</c:v>
                </c:pt>
                <c:pt idx="4">
                  <c:v>102.73099999999999</c:v>
                </c:pt>
                <c:pt idx="5">
                  <c:v>78.596000000000004</c:v>
                </c:pt>
                <c:pt idx="6">
                  <c:v>59.808999999999997</c:v>
                </c:pt>
                <c:pt idx="7">
                  <c:v>45.231999999999999</c:v>
                </c:pt>
                <c:pt idx="8">
                  <c:v>260.471</c:v>
                </c:pt>
                <c:pt idx="9">
                  <c:v>202.197</c:v>
                </c:pt>
                <c:pt idx="10">
                  <c:v>156.464</c:v>
                </c:pt>
                <c:pt idx="11">
                  <c:v>120.634</c:v>
                </c:pt>
                <c:pt idx="12">
                  <c:v>92.623000000000005</c:v>
                </c:pt>
                <c:pt idx="13">
                  <c:v>72.070999999999998</c:v>
                </c:pt>
                <c:pt idx="14">
                  <c:v>561.36500000000001</c:v>
                </c:pt>
                <c:pt idx="15">
                  <c:v>499.01600000000002</c:v>
                </c:pt>
                <c:pt idx="16">
                  <c:v>445.29</c:v>
                </c:pt>
                <c:pt idx="17">
                  <c:v>395.56200000000001</c:v>
                </c:pt>
                <c:pt idx="18">
                  <c:v>349.15800000000002</c:v>
                </c:pt>
                <c:pt idx="19">
                  <c:v>310.48</c:v>
                </c:pt>
                <c:pt idx="20">
                  <c:v>276.08300000000003</c:v>
                </c:pt>
                <c:pt idx="21">
                  <c:v>253.64599999999999</c:v>
                </c:pt>
                <c:pt idx="22">
                  <c:v>232.267</c:v>
                </c:pt>
                <c:pt idx="23">
                  <c:v>212.96299999999999</c:v>
                </c:pt>
                <c:pt idx="24">
                  <c:v>195.55199999999999</c:v>
                </c:pt>
                <c:pt idx="25">
                  <c:v>180.00299999999999</c:v>
                </c:pt>
                <c:pt idx="26">
                  <c:v>166.155</c:v>
                </c:pt>
                <c:pt idx="27">
                  <c:v>153.797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5-4FEB-9E19-60D400A13026}"/>
            </c:ext>
          </c:extLst>
        </c:ser>
        <c:ser>
          <c:idx val="0"/>
          <c:order val="1"/>
          <c:tx>
            <c:strRef>
              <c:f>'Gestes de rénovation (2)'!$J$55</c:f>
              <c:strCache>
                <c:ptCount val="1"/>
                <c:pt idx="0">
                  <c:v>Renovation Obligation po (Thousand households)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(2)'!$L$55:$AM$55</c:f>
              <c:numCache>
                <c:formatCode>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24.707000000000001</c:v>
                </c:pt>
                <c:pt idx="4">
                  <c:v>20.923999999999999</c:v>
                </c:pt>
                <c:pt idx="5">
                  <c:v>17.504999999999999</c:v>
                </c:pt>
                <c:pt idx="6">
                  <c:v>75.299000000000007</c:v>
                </c:pt>
                <c:pt idx="7">
                  <c:v>66.143000000000001</c:v>
                </c:pt>
                <c:pt idx="8">
                  <c:v>57.332999999999998</c:v>
                </c:pt>
                <c:pt idx="9">
                  <c:v>49.33</c:v>
                </c:pt>
                <c:pt idx="10">
                  <c:v>42.107999999999997</c:v>
                </c:pt>
                <c:pt idx="11">
                  <c:v>35.631</c:v>
                </c:pt>
                <c:pt idx="12">
                  <c:v>81.546000000000006</c:v>
                </c:pt>
                <c:pt idx="13">
                  <c:v>72.396000000000001</c:v>
                </c:pt>
                <c:pt idx="14">
                  <c:v>63.95</c:v>
                </c:pt>
                <c:pt idx="15">
                  <c:v>56.435000000000002</c:v>
                </c:pt>
                <c:pt idx="16">
                  <c:v>258.66300000000001</c:v>
                </c:pt>
                <c:pt idx="17">
                  <c:v>242.97399999999999</c:v>
                </c:pt>
                <c:pt idx="18">
                  <c:v>228.185</c:v>
                </c:pt>
                <c:pt idx="19">
                  <c:v>214.53</c:v>
                </c:pt>
                <c:pt idx="20">
                  <c:v>205.82599999999999</c:v>
                </c:pt>
                <c:pt idx="21">
                  <c:v>197.29900000000001</c:v>
                </c:pt>
                <c:pt idx="22">
                  <c:v>188.40100000000001</c:v>
                </c:pt>
                <c:pt idx="23">
                  <c:v>180.327</c:v>
                </c:pt>
                <c:pt idx="24">
                  <c:v>172.49</c:v>
                </c:pt>
                <c:pt idx="25">
                  <c:v>164.87</c:v>
                </c:pt>
                <c:pt idx="26">
                  <c:v>157.227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5-4FEB-9E19-60D400A13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30032"/>
        <c:axId val="388330864"/>
      </c:areaChart>
      <c:catAx>
        <c:axId val="38833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864"/>
        <c:crosses val="autoZero"/>
        <c:auto val="1"/>
        <c:lblAlgn val="ctr"/>
        <c:lblOffset val="100"/>
        <c:noMultiLvlLbl val="0"/>
      </c:catAx>
      <c:valAx>
        <c:axId val="3883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Rénovations</a:t>
            </a:r>
            <a:r>
              <a:rPr lang="fr-FR" baseline="0"/>
              <a:t> performantes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'Gestes de rénovation (2)'!$K$74</c:f>
              <c:strCache>
                <c:ptCount val="1"/>
                <c:pt idx="0">
                  <c:v>Changement de chauffage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(2)'!$L$74:$AM$74</c:f>
              <c:numCache>
                <c:formatCode>0.0</c:formatCode>
                <c:ptCount val="28"/>
                <c:pt idx="0">
                  <c:v>0</c:v>
                </c:pt>
                <c:pt idx="1">
                  <c:v>315.31</c:v>
                </c:pt>
                <c:pt idx="2">
                  <c:v>251.77199999999999</c:v>
                </c:pt>
                <c:pt idx="3">
                  <c:v>249.79900000000001</c:v>
                </c:pt>
                <c:pt idx="4">
                  <c:v>263.52600000000001</c:v>
                </c:pt>
                <c:pt idx="5">
                  <c:v>267.71100000000001</c:v>
                </c:pt>
                <c:pt idx="6">
                  <c:v>274.72300000000001</c:v>
                </c:pt>
                <c:pt idx="7">
                  <c:v>284.12599999999998</c:v>
                </c:pt>
                <c:pt idx="8">
                  <c:v>298.85399999999998</c:v>
                </c:pt>
                <c:pt idx="9">
                  <c:v>316.02699999999999</c:v>
                </c:pt>
                <c:pt idx="10">
                  <c:v>333.63499999999999</c:v>
                </c:pt>
                <c:pt idx="11">
                  <c:v>349.38600000000002</c:v>
                </c:pt>
                <c:pt idx="12">
                  <c:v>366.173</c:v>
                </c:pt>
                <c:pt idx="13">
                  <c:v>319.08</c:v>
                </c:pt>
                <c:pt idx="14">
                  <c:v>326.12200000000001</c:v>
                </c:pt>
                <c:pt idx="15">
                  <c:v>337.39400000000001</c:v>
                </c:pt>
                <c:pt idx="16">
                  <c:v>317.52</c:v>
                </c:pt>
                <c:pt idx="17">
                  <c:v>346.48</c:v>
                </c:pt>
                <c:pt idx="18">
                  <c:v>337.85899999999998</c:v>
                </c:pt>
                <c:pt idx="19">
                  <c:v>342.43200000000002</c:v>
                </c:pt>
                <c:pt idx="20">
                  <c:v>331.78100000000001</c:v>
                </c:pt>
                <c:pt idx="21">
                  <c:v>154.6</c:v>
                </c:pt>
                <c:pt idx="22">
                  <c:v>169.964</c:v>
                </c:pt>
                <c:pt idx="23">
                  <c:v>184.172</c:v>
                </c:pt>
                <c:pt idx="24">
                  <c:v>169.898</c:v>
                </c:pt>
                <c:pt idx="25">
                  <c:v>166.61199999999999</c:v>
                </c:pt>
                <c:pt idx="26">
                  <c:v>163.92</c:v>
                </c:pt>
                <c:pt idx="27">
                  <c:v>160.29499999999999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0-44CE-852F-E9C168A2086A}"/>
            </c:ext>
          </c:extLst>
        </c:ser>
        <c:ser>
          <c:idx val="1"/>
          <c:order val="1"/>
          <c:tx>
            <c:strRef>
              <c:f>'Gestes de rénovation (2)'!$K$75</c:f>
              <c:strCache>
                <c:ptCount val="1"/>
                <c:pt idx="0">
                  <c:v>Isolation + changement de chauffage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(2)'!$L$75:$AM$75</c:f>
              <c:numCache>
                <c:formatCode>0.0</c:formatCode>
                <c:ptCount val="28"/>
                <c:pt idx="0">
                  <c:v>0</c:v>
                </c:pt>
                <c:pt idx="1">
                  <c:v>40.546999999999997</c:v>
                </c:pt>
                <c:pt idx="2">
                  <c:v>23.280999999999999</c:v>
                </c:pt>
                <c:pt idx="3">
                  <c:v>25.942</c:v>
                </c:pt>
                <c:pt idx="4">
                  <c:v>30.550999999999998</c:v>
                </c:pt>
                <c:pt idx="5">
                  <c:v>31.3</c:v>
                </c:pt>
                <c:pt idx="6">
                  <c:v>29.733000000000001</c:v>
                </c:pt>
                <c:pt idx="7">
                  <c:v>32.933</c:v>
                </c:pt>
                <c:pt idx="8">
                  <c:v>37.720999999999997</c:v>
                </c:pt>
                <c:pt idx="9">
                  <c:v>43.142000000000003</c:v>
                </c:pt>
                <c:pt idx="10">
                  <c:v>50.116999999999997</c:v>
                </c:pt>
                <c:pt idx="11">
                  <c:v>60.655000000000001</c:v>
                </c:pt>
                <c:pt idx="12">
                  <c:v>68.206000000000003</c:v>
                </c:pt>
                <c:pt idx="13">
                  <c:v>65.927999999999997</c:v>
                </c:pt>
                <c:pt idx="14">
                  <c:v>65.171999999999997</c:v>
                </c:pt>
                <c:pt idx="15">
                  <c:v>74.281999999999996</c:v>
                </c:pt>
                <c:pt idx="16">
                  <c:v>85.570999999999998</c:v>
                </c:pt>
                <c:pt idx="17">
                  <c:v>105.63</c:v>
                </c:pt>
                <c:pt idx="18">
                  <c:v>89.564999999999998</c:v>
                </c:pt>
                <c:pt idx="19">
                  <c:v>91.852000000000004</c:v>
                </c:pt>
                <c:pt idx="20">
                  <c:v>82.316999999999993</c:v>
                </c:pt>
                <c:pt idx="21">
                  <c:v>83.744</c:v>
                </c:pt>
                <c:pt idx="22">
                  <c:v>79.248000000000005</c:v>
                </c:pt>
                <c:pt idx="23">
                  <c:v>76.384</c:v>
                </c:pt>
                <c:pt idx="24">
                  <c:v>72.364000000000004</c:v>
                </c:pt>
                <c:pt idx="25">
                  <c:v>69.602000000000004</c:v>
                </c:pt>
                <c:pt idx="26">
                  <c:v>67.247</c:v>
                </c:pt>
                <c:pt idx="27">
                  <c:v>65.352999999999994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0-44CE-852F-E9C168A2086A}"/>
            </c:ext>
          </c:extLst>
        </c:ser>
        <c:ser>
          <c:idx val="2"/>
          <c:order val="2"/>
          <c:tx>
            <c:strRef>
              <c:f>'Gestes de rénovation (2)'!$K$76</c:f>
              <c:strCache>
                <c:ptCount val="1"/>
                <c:pt idx="0">
                  <c:v>Rénovations performantes par obligation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(2)'!$L$76:$AM$76</c:f>
              <c:numCache>
                <c:formatCode>0.0</c:formatCode>
                <c:ptCount val="28"/>
                <c:pt idx="0">
                  <c:v>0</c:v>
                </c:pt>
                <c:pt idx="1">
                  <c:v>33.993000000000002</c:v>
                </c:pt>
                <c:pt idx="2">
                  <c:v>24.544</c:v>
                </c:pt>
                <c:pt idx="3">
                  <c:v>60.722000000000001</c:v>
                </c:pt>
                <c:pt idx="4">
                  <c:v>47.396000000000001</c:v>
                </c:pt>
                <c:pt idx="5">
                  <c:v>36.752000000000002</c:v>
                </c:pt>
                <c:pt idx="6">
                  <c:v>28.34</c:v>
                </c:pt>
                <c:pt idx="7">
                  <c:v>21.712</c:v>
                </c:pt>
                <c:pt idx="8">
                  <c:v>21.57</c:v>
                </c:pt>
                <c:pt idx="9">
                  <c:v>17.829999999999998</c:v>
                </c:pt>
                <c:pt idx="10">
                  <c:v>14.249000000000001</c:v>
                </c:pt>
                <c:pt idx="11">
                  <c:v>11.324999999999999</c:v>
                </c:pt>
                <c:pt idx="12">
                  <c:v>8.9580000000000002</c:v>
                </c:pt>
                <c:pt idx="13">
                  <c:v>7.117</c:v>
                </c:pt>
                <c:pt idx="14">
                  <c:v>20.937999999999999</c:v>
                </c:pt>
                <c:pt idx="15">
                  <c:v>19.895</c:v>
                </c:pt>
                <c:pt idx="16">
                  <c:v>18.866</c:v>
                </c:pt>
                <c:pt idx="17">
                  <c:v>17.789000000000001</c:v>
                </c:pt>
                <c:pt idx="18">
                  <c:v>16.917000000000002</c:v>
                </c:pt>
                <c:pt idx="19">
                  <c:v>16.123000000000001</c:v>
                </c:pt>
                <c:pt idx="20">
                  <c:v>15.377000000000001</c:v>
                </c:pt>
                <c:pt idx="21">
                  <c:v>14.731999999999999</c:v>
                </c:pt>
                <c:pt idx="22">
                  <c:v>14.087</c:v>
                </c:pt>
                <c:pt idx="23">
                  <c:v>13.487</c:v>
                </c:pt>
                <c:pt idx="24">
                  <c:v>12.904999999999999</c:v>
                </c:pt>
                <c:pt idx="25">
                  <c:v>12.352</c:v>
                </c:pt>
                <c:pt idx="26">
                  <c:v>11.823</c:v>
                </c:pt>
                <c:pt idx="27">
                  <c:v>11.308999999999999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D0-44CE-852F-E9C168A20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180000"/>
        <c:axId val="2050159616"/>
      </c:areaChart>
      <c:lineChart>
        <c:grouping val="standard"/>
        <c:varyColors val="0"/>
        <c:ser>
          <c:idx val="3"/>
          <c:order val="3"/>
          <c:tx>
            <c:strRef>
              <c:f>'Gestes de rénovation (2)'!$J$73</c:f>
              <c:strCache>
                <c:ptCount val="1"/>
                <c:pt idx="0">
                  <c:v>Total rénovations performantes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(2)'!$L$73:$AM$73</c:f>
              <c:numCache>
                <c:formatCode>0.0</c:formatCode>
                <c:ptCount val="28"/>
                <c:pt idx="0">
                  <c:v>0</c:v>
                </c:pt>
                <c:pt idx="1">
                  <c:v>389.84999999999997</c:v>
                </c:pt>
                <c:pt idx="2">
                  <c:v>299.59699999999998</c:v>
                </c:pt>
                <c:pt idx="3">
                  <c:v>336.46299999999997</c:v>
                </c:pt>
                <c:pt idx="4">
                  <c:v>341.47300000000001</c:v>
                </c:pt>
                <c:pt idx="5">
                  <c:v>335.76300000000003</c:v>
                </c:pt>
                <c:pt idx="6">
                  <c:v>332.79599999999999</c:v>
                </c:pt>
                <c:pt idx="7">
                  <c:v>338.77099999999996</c:v>
                </c:pt>
                <c:pt idx="8">
                  <c:v>358.14499999999998</c:v>
                </c:pt>
                <c:pt idx="9">
                  <c:v>376.99899999999997</c:v>
                </c:pt>
                <c:pt idx="10">
                  <c:v>398.00100000000003</c:v>
                </c:pt>
                <c:pt idx="11">
                  <c:v>421.36600000000004</c:v>
                </c:pt>
                <c:pt idx="12">
                  <c:v>443.33700000000005</c:v>
                </c:pt>
                <c:pt idx="13">
                  <c:v>392.125</c:v>
                </c:pt>
                <c:pt idx="14">
                  <c:v>412.23199999999997</c:v>
                </c:pt>
                <c:pt idx="15">
                  <c:v>431.57099999999997</c:v>
                </c:pt>
                <c:pt idx="16">
                  <c:v>421.95699999999999</c:v>
                </c:pt>
                <c:pt idx="17">
                  <c:v>469.899</c:v>
                </c:pt>
                <c:pt idx="18">
                  <c:v>444.34100000000001</c:v>
                </c:pt>
                <c:pt idx="19">
                  <c:v>450.40699999999998</c:v>
                </c:pt>
                <c:pt idx="20">
                  <c:v>429.47500000000002</c:v>
                </c:pt>
                <c:pt idx="21">
                  <c:v>253.07599999999999</c:v>
                </c:pt>
                <c:pt idx="22">
                  <c:v>263.29899999999998</c:v>
                </c:pt>
                <c:pt idx="23">
                  <c:v>274.04300000000001</c:v>
                </c:pt>
                <c:pt idx="24">
                  <c:v>255.167</c:v>
                </c:pt>
                <c:pt idx="25">
                  <c:v>248.566</c:v>
                </c:pt>
                <c:pt idx="26">
                  <c:v>242.98999999999998</c:v>
                </c:pt>
                <c:pt idx="27">
                  <c:v>236.95699999999997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D0-44CE-852F-E9C168A20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180000"/>
        <c:axId val="2050159616"/>
      </c:lineChart>
      <c:catAx>
        <c:axId val="2050180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159616"/>
        <c:crosses val="autoZero"/>
        <c:auto val="1"/>
        <c:lblAlgn val="ctr"/>
        <c:lblOffset val="100"/>
        <c:tickLblSkip val="2"/>
        <c:noMultiLvlLbl val="0"/>
      </c:catAx>
      <c:valAx>
        <c:axId val="20501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018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90-4D61-8392-8206378EEB1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90-4D61-8392-8206378EEB1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90-4D61-8392-8206378EEB1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90-4D61-8392-8206378EEB1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290-4D61-8392-8206378EEB1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290-4D61-8392-8206378EEB1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290-4D61-8392-8206378EEB1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290-4D61-8392-8206378EEB1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290-4D61-8392-8206378EEB1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290-4D61-8392-8206378EEB1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290-4D61-8392-8206378EEB1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290-4D61-8392-8206378EEB1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290-4D61-8392-8206378EEB15}"/>
              </c:ext>
            </c:extLst>
          </c:dPt>
          <c:dPt>
            <c:idx val="1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290-4D61-8392-8206378EEB1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290-4D61-8392-8206378EEB1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290-4D61-8392-8206378EEB1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290-4D61-8392-8206378EEB1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D290-4D61-8392-8206378EEB15}"/>
              </c:ext>
            </c:extLst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290-4D61-8392-8206378EEB1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290-4D61-8392-8206378EEB1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D290-4D61-8392-8206378EEB1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D290-4D61-8392-8206378EEB1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290-4D61-8392-8206378EEB15}"/>
              </c:ext>
            </c:extLst>
          </c:dPt>
          <c:dPt>
            <c:idx val="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D290-4D61-8392-8206378EEB1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D290-4D61-8392-8206378EEB15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D290-4D61-8392-8206378EEB1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D290-4D61-8392-8206378EEB15}"/>
              </c:ext>
            </c:extLst>
          </c:dPt>
          <c:dPt>
            <c:idx val="3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D290-4D61-8392-8206378EEB15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290-4D61-8392-8206378EEB15}"/>
              </c:ext>
            </c:extLst>
          </c:dPt>
          <c:cat>
            <c:multiLvlStrRef>
              <c:f>'Gestes de rénovation (2)'!$J$92:$K$124</c:f>
              <c:multiLvlStrCache>
                <c:ptCount val="33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C</c:v>
                  </c:pt>
                  <c:pt idx="5">
                    <c:v>A</c:v>
                  </c:pt>
                  <c:pt idx="6">
                    <c:v>B</c:v>
                  </c:pt>
                  <c:pt idx="7">
                    <c:v>C</c:v>
                  </c:pt>
                  <c:pt idx="8">
                    <c:v>D</c:v>
                  </c:pt>
                  <c:pt idx="9">
                    <c:v>E</c:v>
                  </c:pt>
                  <c:pt idx="10">
                    <c:v>A</c:v>
                  </c:pt>
                  <c:pt idx="11">
                    <c:v>B</c:v>
                  </c:pt>
                  <c:pt idx="12">
                    <c:v>C</c:v>
                  </c:pt>
                  <c:pt idx="13">
                    <c:v>D</c:v>
                  </c:pt>
                  <c:pt idx="14">
                    <c:v>E</c:v>
                  </c:pt>
                  <c:pt idx="15">
                    <c:v>F</c:v>
                  </c:pt>
                  <c:pt idx="16">
                    <c:v>B</c:v>
                  </c:pt>
                  <c:pt idx="17">
                    <c:v>C</c:v>
                  </c:pt>
                  <c:pt idx="18">
                    <c:v>D</c:v>
                  </c:pt>
                  <c:pt idx="19">
                    <c:v>E</c:v>
                  </c:pt>
                  <c:pt idx="20">
                    <c:v>F</c:v>
                  </c:pt>
                  <c:pt idx="21">
                    <c:v>G</c:v>
                  </c:pt>
                  <c:pt idx="22">
                    <c:v>B</c:v>
                  </c:pt>
                  <c:pt idx="23">
                    <c:v>C</c:v>
                  </c:pt>
                  <c:pt idx="24">
                    <c:v>D</c:v>
                  </c:pt>
                  <c:pt idx="25">
                    <c:v>E</c:v>
                  </c:pt>
                  <c:pt idx="26">
                    <c:v>F</c:v>
                  </c:pt>
                  <c:pt idx="27">
                    <c:v>G</c:v>
                  </c:pt>
                  <c:pt idx="28">
                    <c:v>C</c:v>
                  </c:pt>
                  <c:pt idx="29">
                    <c:v>D</c:v>
                  </c:pt>
                  <c:pt idx="30">
                    <c:v>E</c:v>
                  </c:pt>
                  <c:pt idx="31">
                    <c:v>F</c:v>
                  </c:pt>
                  <c:pt idx="32">
                    <c:v>G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C</c:v>
                  </c:pt>
                  <c:pt idx="5">
                    <c:v>C</c:v>
                  </c:pt>
                  <c:pt idx="6">
                    <c:v>C</c:v>
                  </c:pt>
                  <c:pt idx="7">
                    <c:v>C</c:v>
                  </c:pt>
                  <c:pt idx="8">
                    <c:v>C</c:v>
                  </c:pt>
                  <c:pt idx="9">
                    <c:v>C</c:v>
                  </c:pt>
                  <c:pt idx="10">
                    <c:v>D</c:v>
                  </c:pt>
                  <c:pt idx="11">
                    <c:v>D</c:v>
                  </c:pt>
                  <c:pt idx="12">
                    <c:v>D</c:v>
                  </c:pt>
                  <c:pt idx="13">
                    <c:v>D</c:v>
                  </c:pt>
                  <c:pt idx="14">
                    <c:v>D</c:v>
                  </c:pt>
                  <c:pt idx="15">
                    <c:v>D</c:v>
                  </c:pt>
                  <c:pt idx="16">
                    <c:v>E</c:v>
                  </c:pt>
                  <c:pt idx="17">
                    <c:v>E</c:v>
                  </c:pt>
                  <c:pt idx="18">
                    <c:v>E</c:v>
                  </c:pt>
                  <c:pt idx="19">
                    <c:v>E</c:v>
                  </c:pt>
                  <c:pt idx="20">
                    <c:v>E</c:v>
                  </c:pt>
                  <c:pt idx="21">
                    <c:v>E</c:v>
                  </c:pt>
                  <c:pt idx="22">
                    <c:v>F</c:v>
                  </c:pt>
                  <c:pt idx="23">
                    <c:v>F</c:v>
                  </c:pt>
                  <c:pt idx="24">
                    <c:v>F</c:v>
                  </c:pt>
                  <c:pt idx="25">
                    <c:v>F</c:v>
                  </c:pt>
                  <c:pt idx="26">
                    <c:v>F</c:v>
                  </c:pt>
                  <c:pt idx="27">
                    <c:v>F</c:v>
                  </c:pt>
                  <c:pt idx="28">
                    <c:v>G</c:v>
                  </c:pt>
                  <c:pt idx="29">
                    <c:v>G</c:v>
                  </c:pt>
                  <c:pt idx="30">
                    <c:v>G</c:v>
                  </c:pt>
                  <c:pt idx="31">
                    <c:v>G</c:v>
                  </c:pt>
                  <c:pt idx="32">
                    <c:v>G</c:v>
                  </c:pt>
                </c:lvl>
              </c:multiLvlStrCache>
            </c:multiLvlStrRef>
          </c:cat>
          <c:val>
            <c:numRef>
              <c:f>'Gestes de rénovation (2)'!$X$92:$X$124</c:f>
              <c:numCache>
                <c:formatCode>0.0</c:formatCode>
                <c:ptCount val="33"/>
                <c:pt idx="0">
                  <c:v>7.44</c:v>
                </c:pt>
                <c:pt idx="1">
                  <c:v>6.4880000000000004</c:v>
                </c:pt>
                <c:pt idx="2">
                  <c:v>0.378</c:v>
                </c:pt>
                <c:pt idx="3">
                  <c:v>82.915000000000006</c:v>
                </c:pt>
                <c:pt idx="4">
                  <c:v>12.315</c:v>
                </c:pt>
                <c:pt idx="5">
                  <c:v>8.782</c:v>
                </c:pt>
                <c:pt idx="6">
                  <c:v>100.367</c:v>
                </c:pt>
                <c:pt idx="7">
                  <c:v>346.19099999999997</c:v>
                </c:pt>
                <c:pt idx="8">
                  <c:v>5.4050000000000002</c:v>
                </c:pt>
                <c:pt idx="9">
                  <c:v>5.4050000000000002</c:v>
                </c:pt>
                <c:pt idx="10">
                  <c:v>7.383</c:v>
                </c:pt>
                <c:pt idx="11">
                  <c:v>188.15299999999999</c:v>
                </c:pt>
                <c:pt idx="12">
                  <c:v>263.745</c:v>
                </c:pt>
                <c:pt idx="13">
                  <c:v>354.34500000000003</c:v>
                </c:pt>
                <c:pt idx="14">
                  <c:v>2.907</c:v>
                </c:pt>
                <c:pt idx="15">
                  <c:v>2.87</c:v>
                </c:pt>
                <c:pt idx="16">
                  <c:v>19.8</c:v>
                </c:pt>
                <c:pt idx="17">
                  <c:v>94.587000000000003</c:v>
                </c:pt>
                <c:pt idx="18">
                  <c:v>33.853000000000002</c:v>
                </c:pt>
                <c:pt idx="19">
                  <c:v>63.344000000000001</c:v>
                </c:pt>
                <c:pt idx="20">
                  <c:v>2.2290000000000001</c:v>
                </c:pt>
                <c:pt idx="21">
                  <c:v>0.34899999999999998</c:v>
                </c:pt>
                <c:pt idx="22">
                  <c:v>0</c:v>
                </c:pt>
                <c:pt idx="23">
                  <c:v>39.710999999999999</c:v>
                </c:pt>
                <c:pt idx="24">
                  <c:v>25.914000000000001</c:v>
                </c:pt>
                <c:pt idx="25">
                  <c:v>5.3209999999999997</c:v>
                </c:pt>
                <c:pt idx="26">
                  <c:v>15.827999999999999</c:v>
                </c:pt>
                <c:pt idx="27">
                  <c:v>0.224</c:v>
                </c:pt>
                <c:pt idx="28">
                  <c:v>1.9770000000000001</c:v>
                </c:pt>
                <c:pt idx="29">
                  <c:v>23.306999999999999</c:v>
                </c:pt>
                <c:pt idx="30">
                  <c:v>4.7759999999999998</c:v>
                </c:pt>
                <c:pt idx="31">
                  <c:v>2.173</c:v>
                </c:pt>
                <c:pt idx="32">
                  <c:v>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290-4D61-8392-8206378EE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005696"/>
        <c:axId val="1976004448"/>
      </c:barChart>
      <c:catAx>
        <c:axId val="19760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6004448"/>
        <c:crosses val="autoZero"/>
        <c:auto val="1"/>
        <c:lblAlgn val="ctr"/>
        <c:lblOffset val="100"/>
        <c:noMultiLvlLbl val="0"/>
      </c:catAx>
      <c:valAx>
        <c:axId val="197600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600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</a:t>
            </a:r>
            <a:r>
              <a:rPr lang="fr-FR" baseline="0"/>
              <a:t> de ménage qui isolent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'Gestes de rénovation (2)'!$J$161</c:f>
              <c:strCache>
                <c:ptCount val="1"/>
                <c:pt idx="0">
                  <c:v>Dont réno 2 sauts de classe aidée - Maisons individuels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(2)'!$L$161:$AM$161</c:f>
              <c:numCache>
                <c:formatCode>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F-4CE0-8B4E-4B025227D82E}"/>
            </c:ext>
          </c:extLst>
        </c:ser>
        <c:ser>
          <c:idx val="4"/>
          <c:order val="1"/>
          <c:tx>
            <c:strRef>
              <c:f>'Gestes de rénovation (2)'!$J$162</c:f>
              <c:strCache>
                <c:ptCount val="1"/>
                <c:pt idx="0">
                  <c:v>Dont réno 50% d'économie d'énergie - Copro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'Gestes de rénovation (2)'!$L$162:$AM$162</c:f>
              <c:numCache>
                <c:formatCode>0.0</c:formatCode>
                <c:ptCount val="28"/>
                <c:pt idx="0">
                  <c:v>0</c:v>
                </c:pt>
                <c:pt idx="1">
                  <c:v>273.221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FF-4CE0-8B4E-4B025227D82E}"/>
            </c:ext>
          </c:extLst>
        </c:ser>
        <c:ser>
          <c:idx val="0"/>
          <c:order val="2"/>
          <c:tx>
            <c:strRef>
              <c:f>'Gestes de rénovation (2)'!$J$160</c:f>
              <c:strCache>
                <c:ptCount val="1"/>
                <c:pt idx="0">
                  <c:v>Dont réno simple aidée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(2)'!$L$160:$AM$160</c:f>
              <c:numCache>
                <c:formatCode>0.0</c:formatCode>
                <c:ptCount val="28"/>
                <c:pt idx="0">
                  <c:v>0</c:v>
                </c:pt>
                <c:pt idx="1">
                  <c:v>1256.951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F-4CE0-8B4E-4B025227D82E}"/>
            </c:ext>
          </c:extLst>
        </c:ser>
        <c:ser>
          <c:idx val="2"/>
          <c:order val="3"/>
          <c:tx>
            <c:strRef>
              <c:f>'Gestes de rénovation (2)'!$K$163</c:f>
              <c:strCache>
                <c:ptCount val="1"/>
                <c:pt idx="0">
                  <c:v>le reste (non aidé ou CEE)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(2)'!$L$163:$AM$163</c:f>
              <c:numCache>
                <c:formatCode>_-* #\ ##0.0\ _€_-;\-* #\ ##0.0\ _€_-;_-* "-"?\ _€_-;_-@_-</c:formatCode>
                <c:ptCount val="28"/>
                <c:pt idx="0">
                  <c:v>0</c:v>
                </c:pt>
                <c:pt idx="1">
                  <c:v>-929.18799999999999</c:v>
                </c:pt>
                <c:pt idx="2">
                  <c:v>435.21600000000001</c:v>
                </c:pt>
                <c:pt idx="3">
                  <c:v>624.22199999999998</c:v>
                </c:pt>
                <c:pt idx="4">
                  <c:v>673.15200000000004</c:v>
                </c:pt>
                <c:pt idx="5">
                  <c:v>685.49099999999999</c:v>
                </c:pt>
                <c:pt idx="6">
                  <c:v>664.053</c:v>
                </c:pt>
                <c:pt idx="7">
                  <c:v>710.43600000000004</c:v>
                </c:pt>
                <c:pt idx="8">
                  <c:v>934.53099999999995</c:v>
                </c:pt>
                <c:pt idx="9">
                  <c:v>880.7</c:v>
                </c:pt>
                <c:pt idx="10">
                  <c:v>852.71100000000001</c:v>
                </c:pt>
                <c:pt idx="11">
                  <c:v>866.88699999999994</c:v>
                </c:pt>
                <c:pt idx="12">
                  <c:v>831.27499999999998</c:v>
                </c:pt>
                <c:pt idx="13">
                  <c:v>828.06100000000004</c:v>
                </c:pt>
                <c:pt idx="14">
                  <c:v>1249.94</c:v>
                </c:pt>
                <c:pt idx="15">
                  <c:v>1187.1849999999999</c:v>
                </c:pt>
                <c:pt idx="16">
                  <c:v>1164.289</c:v>
                </c:pt>
                <c:pt idx="17">
                  <c:v>1411.4090000000001</c:v>
                </c:pt>
                <c:pt idx="18">
                  <c:v>1240.482</c:v>
                </c:pt>
                <c:pt idx="19">
                  <c:v>1187.8009999999999</c:v>
                </c:pt>
                <c:pt idx="20">
                  <c:v>1057.498</c:v>
                </c:pt>
                <c:pt idx="21">
                  <c:v>1059.9280000000001</c:v>
                </c:pt>
                <c:pt idx="22">
                  <c:v>1009.215</c:v>
                </c:pt>
                <c:pt idx="23">
                  <c:v>962.01300000000003</c:v>
                </c:pt>
                <c:pt idx="24">
                  <c:v>917.62599999999998</c:v>
                </c:pt>
                <c:pt idx="25">
                  <c:v>876.84199999999998</c:v>
                </c:pt>
                <c:pt idx="26">
                  <c:v>838.50099999999998</c:v>
                </c:pt>
                <c:pt idx="27">
                  <c:v>803.86300000000006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FF-4CE0-8B4E-4B025227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255615"/>
        <c:axId val="1924250623"/>
      </c:areaChart>
      <c:lineChart>
        <c:grouping val="standard"/>
        <c:varyColors val="0"/>
        <c:ser>
          <c:idx val="3"/>
          <c:order val="4"/>
          <c:tx>
            <c:strRef>
              <c:f>'Gestes de rénovation (2)'!$K$159</c:f>
              <c:strCache>
                <c:ptCount val="1"/>
                <c:pt idx="0">
                  <c:v> Total ménages gestes isolation (pas de double comptage) 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val>
            <c:numRef>
              <c:f>'Gestes de rénovation (2)'!$L$159:$AM$159</c:f>
              <c:numCache>
                <c:formatCode>_-* #\ ##0_-;\-* #\ ##0_-;_-* "-"??_-;_-@_-</c:formatCode>
                <c:ptCount val="28"/>
                <c:pt idx="0">
                  <c:v>0</c:v>
                </c:pt>
                <c:pt idx="1">
                  <c:v>600.98400000000004</c:v>
                </c:pt>
                <c:pt idx="2">
                  <c:v>435.21600000000001</c:v>
                </c:pt>
                <c:pt idx="3">
                  <c:v>624.22199999999998</c:v>
                </c:pt>
                <c:pt idx="4">
                  <c:v>673.15200000000004</c:v>
                </c:pt>
                <c:pt idx="5">
                  <c:v>685.49099999999999</c:v>
                </c:pt>
                <c:pt idx="6">
                  <c:v>664.053</c:v>
                </c:pt>
                <c:pt idx="7">
                  <c:v>710.43600000000004</c:v>
                </c:pt>
                <c:pt idx="8">
                  <c:v>934.53099999999995</c:v>
                </c:pt>
                <c:pt idx="9">
                  <c:v>880.7</c:v>
                </c:pt>
                <c:pt idx="10">
                  <c:v>852.71100000000001</c:v>
                </c:pt>
                <c:pt idx="11">
                  <c:v>866.88699999999994</c:v>
                </c:pt>
                <c:pt idx="12">
                  <c:v>831.27499999999998</c:v>
                </c:pt>
                <c:pt idx="13">
                  <c:v>828.06100000000004</c:v>
                </c:pt>
                <c:pt idx="14">
                  <c:v>1249.94</c:v>
                </c:pt>
                <c:pt idx="15">
                  <c:v>1187.1849999999999</c:v>
                </c:pt>
                <c:pt idx="16">
                  <c:v>1164.289</c:v>
                </c:pt>
                <c:pt idx="17">
                  <c:v>1411.4090000000001</c:v>
                </c:pt>
                <c:pt idx="18">
                  <c:v>1240.482</c:v>
                </c:pt>
                <c:pt idx="19">
                  <c:v>1187.8009999999999</c:v>
                </c:pt>
                <c:pt idx="20">
                  <c:v>1057.498</c:v>
                </c:pt>
                <c:pt idx="21">
                  <c:v>1059.9280000000001</c:v>
                </c:pt>
                <c:pt idx="22">
                  <c:v>1009.215</c:v>
                </c:pt>
                <c:pt idx="23">
                  <c:v>962.01300000000003</c:v>
                </c:pt>
                <c:pt idx="24">
                  <c:v>917.62599999999998</c:v>
                </c:pt>
                <c:pt idx="25">
                  <c:v>876.84199999999998</c:v>
                </c:pt>
                <c:pt idx="26">
                  <c:v>838.50099999999998</c:v>
                </c:pt>
                <c:pt idx="27">
                  <c:v>803.86300000000006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FF-4CE0-8B4E-4B025227D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55615"/>
        <c:axId val="1924250623"/>
      </c:lineChart>
      <c:catAx>
        <c:axId val="1924255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250623"/>
        <c:crosses val="autoZero"/>
        <c:auto val="1"/>
        <c:lblAlgn val="ctr"/>
        <c:lblOffset val="100"/>
        <c:noMultiLvlLbl val="0"/>
      </c:catAx>
      <c:valAx>
        <c:axId val="192425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425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ménages qui isolent (à cause des obligations)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'Gestes de rénovation (2)'!$J$54</c:f>
              <c:strCache>
                <c:ptCount val="1"/>
                <c:pt idx="0">
                  <c:v>Renovation Obligation pb (Thousand households)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(2)'!$L$54:$AM$54</c:f>
              <c:numCache>
                <c:formatCode>0.0</c:formatCode>
                <c:ptCount val="28"/>
                <c:pt idx="0">
                  <c:v>0</c:v>
                </c:pt>
                <c:pt idx="1">
                  <c:v>68.069999999999993</c:v>
                </c:pt>
                <c:pt idx="2">
                  <c:v>52.066000000000003</c:v>
                </c:pt>
                <c:pt idx="3">
                  <c:v>133.673</c:v>
                </c:pt>
                <c:pt idx="4">
                  <c:v>102.73099999999999</c:v>
                </c:pt>
                <c:pt idx="5">
                  <c:v>78.596000000000004</c:v>
                </c:pt>
                <c:pt idx="6">
                  <c:v>59.808999999999997</c:v>
                </c:pt>
                <c:pt idx="7">
                  <c:v>45.231999999999999</c:v>
                </c:pt>
                <c:pt idx="8">
                  <c:v>260.471</c:v>
                </c:pt>
                <c:pt idx="9">
                  <c:v>202.197</c:v>
                </c:pt>
                <c:pt idx="10">
                  <c:v>156.464</c:v>
                </c:pt>
                <c:pt idx="11">
                  <c:v>120.634</c:v>
                </c:pt>
                <c:pt idx="12">
                  <c:v>92.623000000000005</c:v>
                </c:pt>
                <c:pt idx="13">
                  <c:v>72.070999999999998</c:v>
                </c:pt>
                <c:pt idx="14">
                  <c:v>561.36500000000001</c:v>
                </c:pt>
                <c:pt idx="15">
                  <c:v>499.01600000000002</c:v>
                </c:pt>
                <c:pt idx="16">
                  <c:v>445.29</c:v>
                </c:pt>
                <c:pt idx="17">
                  <c:v>395.56200000000001</c:v>
                </c:pt>
                <c:pt idx="18">
                  <c:v>349.15800000000002</c:v>
                </c:pt>
                <c:pt idx="19">
                  <c:v>310.48</c:v>
                </c:pt>
                <c:pt idx="20">
                  <c:v>276.08300000000003</c:v>
                </c:pt>
                <c:pt idx="21">
                  <c:v>253.64599999999999</c:v>
                </c:pt>
                <c:pt idx="22">
                  <c:v>232.267</c:v>
                </c:pt>
                <c:pt idx="23">
                  <c:v>212.96299999999999</c:v>
                </c:pt>
                <c:pt idx="24">
                  <c:v>195.55199999999999</c:v>
                </c:pt>
                <c:pt idx="25">
                  <c:v>180.00299999999999</c:v>
                </c:pt>
                <c:pt idx="26">
                  <c:v>166.155</c:v>
                </c:pt>
                <c:pt idx="27">
                  <c:v>153.797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E-4FCD-A346-49B4386754F5}"/>
            </c:ext>
          </c:extLst>
        </c:ser>
        <c:ser>
          <c:idx val="0"/>
          <c:order val="1"/>
          <c:tx>
            <c:strRef>
              <c:f>'Gestes de rénovation (2)'!$J$55</c:f>
              <c:strCache>
                <c:ptCount val="1"/>
                <c:pt idx="0">
                  <c:v>Renovation Obligation po (Thousand households)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cat>
            <c:numRef>
              <c:f>'Gestes de rénovation (2)'!$L$1:$AM$1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'Gestes de rénovation (2)'!$L$55:$AM$55</c:f>
              <c:numCache>
                <c:formatCode>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24.707000000000001</c:v>
                </c:pt>
                <c:pt idx="4">
                  <c:v>20.923999999999999</c:v>
                </c:pt>
                <c:pt idx="5">
                  <c:v>17.504999999999999</c:v>
                </c:pt>
                <c:pt idx="6">
                  <c:v>75.299000000000007</c:v>
                </c:pt>
                <c:pt idx="7">
                  <c:v>66.143000000000001</c:v>
                </c:pt>
                <c:pt idx="8">
                  <c:v>57.332999999999998</c:v>
                </c:pt>
                <c:pt idx="9">
                  <c:v>49.33</c:v>
                </c:pt>
                <c:pt idx="10">
                  <c:v>42.107999999999997</c:v>
                </c:pt>
                <c:pt idx="11">
                  <c:v>35.631</c:v>
                </c:pt>
                <c:pt idx="12">
                  <c:v>81.546000000000006</c:v>
                </c:pt>
                <c:pt idx="13">
                  <c:v>72.396000000000001</c:v>
                </c:pt>
                <c:pt idx="14">
                  <c:v>63.95</c:v>
                </c:pt>
                <c:pt idx="15">
                  <c:v>56.435000000000002</c:v>
                </c:pt>
                <c:pt idx="16">
                  <c:v>258.66300000000001</c:v>
                </c:pt>
                <c:pt idx="17">
                  <c:v>242.97399999999999</c:v>
                </c:pt>
                <c:pt idx="18">
                  <c:v>228.185</c:v>
                </c:pt>
                <c:pt idx="19">
                  <c:v>214.53</c:v>
                </c:pt>
                <c:pt idx="20">
                  <c:v>205.82599999999999</c:v>
                </c:pt>
                <c:pt idx="21">
                  <c:v>197.29900000000001</c:v>
                </c:pt>
                <c:pt idx="22">
                  <c:v>188.40100000000001</c:v>
                </c:pt>
                <c:pt idx="23">
                  <c:v>180.327</c:v>
                </c:pt>
                <c:pt idx="24">
                  <c:v>172.49</c:v>
                </c:pt>
                <c:pt idx="25">
                  <c:v>164.87</c:v>
                </c:pt>
                <c:pt idx="26">
                  <c:v>157.227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E-4FCD-A346-49B438675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30032"/>
        <c:axId val="388330864"/>
      </c:areaChart>
      <c:catAx>
        <c:axId val="38833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864"/>
        <c:crosses val="autoZero"/>
        <c:auto val="1"/>
        <c:lblAlgn val="ctr"/>
        <c:lblOffset val="100"/>
        <c:noMultiLvlLbl val="0"/>
      </c:catAx>
      <c:valAx>
        <c:axId val="3883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330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Montant d'aide moyen par logement (€/ménage)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'Gestes de rénovation (2)'!$K$170</c:f>
              <c:strCache>
                <c:ptCount val="1"/>
                <c:pt idx="0">
                  <c:v>Prix moyen de la subvention MPR efficacité isolation (€/ménage)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'Gestes de rénovation (2)'!$O$170:$AM$170</c:f>
              <c:numCache>
                <c:formatCode>_-* #\ ##0_-;\-* #\ ##0_-;_-* "-"??_-;_-@_-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1-49B7-8414-7FA1E3F8B1CB}"/>
            </c:ext>
          </c:extLst>
        </c:ser>
        <c:ser>
          <c:idx val="1"/>
          <c:order val="1"/>
          <c:tx>
            <c:strRef>
              <c:f>'Gestes de rénovation (2)'!$K$171</c:f>
              <c:strCache>
                <c:ptCount val="1"/>
                <c:pt idx="0">
                  <c:v>Prix moyen de la subvention MPR performance (isolation) (€/ménage)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'Gestes de rénovation (2)'!$O$171:$AM$171</c:f>
              <c:numCache>
                <c:formatCode>_-* #\ ##0_-;\-* #\ ##0_-;_-* "-"??_-;_-@_-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1-49B7-8414-7FA1E3F8B1CB}"/>
            </c:ext>
          </c:extLst>
        </c:ser>
        <c:ser>
          <c:idx val="2"/>
          <c:order val="2"/>
          <c:tx>
            <c:strRef>
              <c:f>'Gestes de rénovation (2)'!$K$172</c:f>
              <c:strCache>
                <c:ptCount val="1"/>
                <c:pt idx="0">
                  <c:v>Prix moyen de la subvention MPR copro (isolation) (€/ménage)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'Gestes de rénovation (2)'!$O$1:$AM$1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'Gestes de rénovation (2)'!$O$172:$AM$172</c:f>
              <c:numCache>
                <c:formatCode>_-* #\ ##0_-;\-* #\ ##0_-;_-* "-"??_-;_-@_-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71-49B7-8414-7FA1E3F8B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3817551"/>
        <c:axId val="1813825039"/>
      </c:lineChart>
      <c:scatterChart>
        <c:scatterStyle val="lineMarker"/>
        <c:varyColors val="0"/>
        <c:ser>
          <c:idx val="3"/>
          <c:order val="3"/>
          <c:tx>
            <c:strRef>
              <c:f>'Gestes de rénovation (2)'!$K$173</c:f>
              <c:strCache>
                <c:ptCount val="1"/>
                <c:pt idx="0">
                  <c:v>ANAH 2024 - MPR performance (€/ménage)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'Gestes de rénovation (2)'!$O$173</c:f>
              <c:numCache>
                <c:formatCode>General</c:formatCode>
                <c:ptCount val="1"/>
                <c:pt idx="0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71-49B7-8414-7FA1E3F8B1CB}"/>
            </c:ext>
          </c:extLst>
        </c:ser>
        <c:ser>
          <c:idx val="4"/>
          <c:order val="4"/>
          <c:tx>
            <c:strRef>
              <c:f>'Gestes de rénovation (2)'!$K$174</c:f>
              <c:strCache>
                <c:ptCount val="1"/>
                <c:pt idx="0">
                  <c:v>ANAH 2024 - MPR copro (€/ménage)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solidFill>
                  <a:schemeClr val="accent5">
                    <a:alpha val="97000"/>
                  </a:schemeClr>
                </a:solidFill>
              </a:ln>
              <a:effectLst/>
            </c:spPr>
          </c:marker>
          <c:yVal>
            <c:numRef>
              <c:f>'Gestes de rénovation (2)'!$O$174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71-49B7-8414-7FA1E3F8B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817551"/>
        <c:axId val="1813825039"/>
      </c:scatterChart>
      <c:catAx>
        <c:axId val="181381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3825039"/>
        <c:crosses val="autoZero"/>
        <c:auto val="1"/>
        <c:lblAlgn val="ctr"/>
        <c:lblOffset val="100"/>
        <c:noMultiLvlLbl val="0"/>
      </c:catAx>
      <c:valAx>
        <c:axId val="18138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381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Montants</a:t>
            </a:r>
            <a:r>
              <a:rPr lang="fr-FR" baseline="0"/>
              <a:t> MPR pour isolation (Millards €)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'Gestes de rénovation (2)'!$K$167</c:f>
              <c:strCache>
                <c:ptCount val="1"/>
                <c:pt idx="0">
                  <c:v>Mpr efficacite insulation (Billion euro)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'Gestes de rénovation (2)'!$O$1:$AM$1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'Gestes de rénovation (2)'!$O$167:$AM$167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D-4DCD-B035-5BD258C4A17A}"/>
            </c:ext>
          </c:extLst>
        </c:ser>
        <c:ser>
          <c:idx val="2"/>
          <c:order val="1"/>
          <c:tx>
            <c:strRef>
              <c:f>'Gestes de rénovation (2)'!$K$169</c:f>
              <c:strCache>
                <c:ptCount val="1"/>
                <c:pt idx="0">
                  <c:v>Mpr multifamily deep insulation (Billion euro)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'Gestes de rénovation (2)'!$O$1:$AM$1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'Gestes de rénovation (2)'!$O$169:$AM$169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ED-4DCD-B035-5BD258C4A17A}"/>
            </c:ext>
          </c:extLst>
        </c:ser>
        <c:ser>
          <c:idx val="1"/>
          <c:order val="2"/>
          <c:tx>
            <c:strRef>
              <c:f>'Gestes de rénovation (2)'!$K$168</c:f>
              <c:strCache>
                <c:ptCount val="1"/>
                <c:pt idx="0">
                  <c:v>Mpr performance (Billion euro)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'Gestes de rénovation (2)'!$O$1:$AM$1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'Gestes de rénovation (2)'!$O$168:$AM$168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D-4DCD-B035-5BD258C4A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99087"/>
        <c:axId val="1800298671"/>
      </c:areaChart>
      <c:scatterChart>
        <c:scatterStyle val="lineMarker"/>
        <c:varyColors val="0"/>
        <c:ser>
          <c:idx val="3"/>
          <c:order val="3"/>
          <c:tx>
            <c:strRef>
              <c:f>'Gestes de rénovation (2)'!$K$164</c:f>
              <c:strCache>
                <c:ptCount val="1"/>
                <c:pt idx="0">
                  <c:v>ANAH 2024 - MPR performance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yVal>
            <c:numRef>
              <c:f>'Gestes de rénovation (2)'!$O$164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ED-4DCD-B035-5BD258C4A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299087"/>
        <c:axId val="1800298671"/>
      </c:scatterChart>
      <c:catAx>
        <c:axId val="1800299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298671"/>
        <c:crosses val="autoZero"/>
        <c:auto val="1"/>
        <c:lblAlgn val="ctr"/>
        <c:lblOffset val="100"/>
        <c:noMultiLvlLbl val="0"/>
      </c:catAx>
      <c:valAx>
        <c:axId val="18002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29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</a:t>
            </a:r>
            <a:r>
              <a:rPr lang="fr-FR" baseline="0"/>
              <a:t> ménages aidés par type d'aide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Aides!$K$59</c:f>
              <c:strCache>
                <c:ptCount val="1"/>
                <c:pt idx="0">
                  <c:v>MPR efficacité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Aides!$O$59:$AM$59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4B-4A2E-BCDD-408DE9420731}"/>
            </c:ext>
          </c:extLst>
        </c:ser>
        <c:ser>
          <c:idx val="2"/>
          <c:order val="1"/>
          <c:tx>
            <c:strRef>
              <c:f>Aides!$K$62</c:f>
              <c:strCache>
                <c:ptCount val="1"/>
                <c:pt idx="0">
                  <c:v>MPR Performance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Aides!$O$62:$AM$62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B-4A2E-BCDD-408DE9420731}"/>
            </c:ext>
          </c:extLst>
        </c:ser>
        <c:ser>
          <c:idx val="3"/>
          <c:order val="2"/>
          <c:tx>
            <c:strRef>
              <c:f>Aides!$K$66</c:f>
              <c:strCache>
                <c:ptCount val="1"/>
                <c:pt idx="0">
                  <c:v>MPR Copropriétés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Aides!$O$66:$AM$66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B-4A2E-BCDD-408DE9420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880992"/>
        <c:axId val="365876832"/>
      </c:lineChart>
      <c:catAx>
        <c:axId val="3658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76832"/>
        <c:crosses val="autoZero"/>
        <c:auto val="1"/>
        <c:lblAlgn val="ctr"/>
        <c:lblOffset val="100"/>
        <c:noMultiLvlLbl val="0"/>
      </c:catAx>
      <c:valAx>
        <c:axId val="3658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Investissement total et part des aides </a:t>
            </a:r>
          </a:p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(milliards d'euros)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338019835689512E-2"/>
          <c:y val="0.16283717486440769"/>
          <c:w val="0.86344074535288518"/>
          <c:h val="0.67705911227879889"/>
        </c:manualLayout>
      </c:layout>
      <c:areaChart>
        <c:grouping val="standard"/>
        <c:varyColors val="0"/>
        <c:ser>
          <c:idx val="0"/>
          <c:order val="0"/>
          <c:tx>
            <c:strRef>
              <c:f>Aides!$K$12</c:f>
              <c:strCache>
                <c:ptCount val="1"/>
                <c:pt idx="0">
                  <c:v>Investissement total (milliards)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Aides!$O$12:$AM$12</c:f>
              <c:numCache>
                <c:formatCode>0.0</c:formatCode>
                <c:ptCount val="25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17.324000000000002</c:v>
                </c:pt>
                <c:pt idx="4">
                  <c:v>17.885999999999999</c:v>
                </c:pt>
                <c:pt idx="5">
                  <c:v>20.459</c:v>
                </c:pt>
                <c:pt idx="6">
                  <c:v>19.163</c:v>
                </c:pt>
                <c:pt idx="7">
                  <c:v>18.896999999999998</c:v>
                </c:pt>
                <c:pt idx="8">
                  <c:v>18.943999999999999</c:v>
                </c:pt>
                <c:pt idx="9">
                  <c:v>18.638999999999999</c:v>
                </c:pt>
                <c:pt idx="10">
                  <c:v>17.137</c:v>
                </c:pt>
                <c:pt idx="11">
                  <c:v>19.902999999999999</c:v>
                </c:pt>
                <c:pt idx="12">
                  <c:v>19.579999999999998</c:v>
                </c:pt>
                <c:pt idx="13">
                  <c:v>18.219000000000001</c:v>
                </c:pt>
                <c:pt idx="14">
                  <c:v>23.565999999999999</c:v>
                </c:pt>
                <c:pt idx="15">
                  <c:v>19.158999999999999</c:v>
                </c:pt>
                <c:pt idx="16">
                  <c:v>18.637</c:v>
                </c:pt>
                <c:pt idx="17">
                  <c:v>16.905000000000001</c:v>
                </c:pt>
                <c:pt idx="18">
                  <c:v>19.658000000000001</c:v>
                </c:pt>
                <c:pt idx="19">
                  <c:v>17.600000000000001</c:v>
                </c:pt>
                <c:pt idx="20">
                  <c:v>17.931000000000001</c:v>
                </c:pt>
                <c:pt idx="21">
                  <c:v>17.331</c:v>
                </c:pt>
                <c:pt idx="22">
                  <c:v>17.039000000000001</c:v>
                </c:pt>
                <c:pt idx="23">
                  <c:v>16.78</c:v>
                </c:pt>
                <c:pt idx="24">
                  <c:v>16.524999999999999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8-4EBE-A81B-9F765E99818C}"/>
            </c:ext>
          </c:extLst>
        </c:ser>
        <c:ser>
          <c:idx val="2"/>
          <c:order val="1"/>
          <c:tx>
            <c:strRef>
              <c:f>Aides!$K$13</c:f>
              <c:strCache>
                <c:ptCount val="1"/>
                <c:pt idx="0">
                  <c:v>Soutien total (milliards)</c:v>
                </c:pt>
              </c:strCache>
            </c:strRef>
          </c:tx>
          <c:spPr>
            <a:ln w="25400">
              <a:noFill/>
            </a:ln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Aides!$O$13:$AM$13</c:f>
              <c:numCache>
                <c:formatCode>0.0</c:formatCode>
                <c:ptCount val="25"/>
                <c:pt idx="0">
                  <c:v>4.8</c:v>
                </c:pt>
                <c:pt idx="1">
                  <c:v>5.5</c:v>
                </c:pt>
                <c:pt idx="2">
                  <c:v>6</c:v>
                </c:pt>
                <c:pt idx="3">
                  <c:v>1.075</c:v>
                </c:pt>
                <c:pt idx="4">
                  <c:v>1.23</c:v>
                </c:pt>
                <c:pt idx="5">
                  <c:v>1.5229999999999999</c:v>
                </c:pt>
                <c:pt idx="6">
                  <c:v>1.462</c:v>
                </c:pt>
                <c:pt idx="7">
                  <c:v>1.3859999999999999</c:v>
                </c:pt>
                <c:pt idx="8">
                  <c:v>1.359</c:v>
                </c:pt>
                <c:pt idx="9">
                  <c:v>1.2669999999999999</c:v>
                </c:pt>
                <c:pt idx="10">
                  <c:v>1.284</c:v>
                </c:pt>
                <c:pt idx="11">
                  <c:v>1.7829999999999999</c:v>
                </c:pt>
                <c:pt idx="12">
                  <c:v>1.679</c:v>
                </c:pt>
                <c:pt idx="13">
                  <c:v>1.62</c:v>
                </c:pt>
                <c:pt idx="14">
                  <c:v>2.2850000000000001</c:v>
                </c:pt>
                <c:pt idx="15">
                  <c:v>1.7869999999999999</c:v>
                </c:pt>
                <c:pt idx="16">
                  <c:v>1.7010000000000001</c:v>
                </c:pt>
                <c:pt idx="17">
                  <c:v>1.5029999999999999</c:v>
                </c:pt>
                <c:pt idx="18">
                  <c:v>1.4930000000000001</c:v>
                </c:pt>
                <c:pt idx="19">
                  <c:v>1.4279999999999999</c:v>
                </c:pt>
                <c:pt idx="20">
                  <c:v>1.365</c:v>
                </c:pt>
                <c:pt idx="21">
                  <c:v>1.3069999999999999</c:v>
                </c:pt>
                <c:pt idx="22">
                  <c:v>1.2529999999999999</c:v>
                </c:pt>
                <c:pt idx="23">
                  <c:v>1.202</c:v>
                </c:pt>
                <c:pt idx="24">
                  <c:v>1.159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6-43A5-8741-AD724F247574}"/>
            </c:ext>
          </c:extLst>
        </c:ser>
        <c:ser>
          <c:idx val="1"/>
          <c:order val="2"/>
          <c:tx>
            <c:strRef>
              <c:f>Aides!$K$13</c:f>
              <c:strCache>
                <c:ptCount val="1"/>
                <c:pt idx="0">
                  <c:v>Soutien total (milliards)</c:v>
                </c:pt>
              </c:strCache>
            </c:strRef>
          </c:tx>
          <c:spPr>
            <a:pattFill prst="wdUpDiag">
              <a:fgClr>
                <a:schemeClr val="accent4"/>
              </a:fgClr>
              <a:bgClr>
                <a:schemeClr val="accent1"/>
              </a:bgClr>
            </a:patt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Aides!$O$13:$AM$13</c:f>
              <c:numCache>
                <c:formatCode>0.0</c:formatCode>
                <c:ptCount val="25"/>
                <c:pt idx="0">
                  <c:v>4.8</c:v>
                </c:pt>
                <c:pt idx="1">
                  <c:v>5.5</c:v>
                </c:pt>
                <c:pt idx="2">
                  <c:v>6</c:v>
                </c:pt>
                <c:pt idx="3">
                  <c:v>1.075</c:v>
                </c:pt>
                <c:pt idx="4">
                  <c:v>1.23</c:v>
                </c:pt>
                <c:pt idx="5">
                  <c:v>1.5229999999999999</c:v>
                </c:pt>
                <c:pt idx="6">
                  <c:v>1.462</c:v>
                </c:pt>
                <c:pt idx="7">
                  <c:v>1.3859999999999999</c:v>
                </c:pt>
                <c:pt idx="8">
                  <c:v>1.359</c:v>
                </c:pt>
                <c:pt idx="9">
                  <c:v>1.2669999999999999</c:v>
                </c:pt>
                <c:pt idx="10">
                  <c:v>1.284</c:v>
                </c:pt>
                <c:pt idx="11">
                  <c:v>1.7829999999999999</c:v>
                </c:pt>
                <c:pt idx="12">
                  <c:v>1.679</c:v>
                </c:pt>
                <c:pt idx="13">
                  <c:v>1.62</c:v>
                </c:pt>
                <c:pt idx="14">
                  <c:v>2.2850000000000001</c:v>
                </c:pt>
                <c:pt idx="15">
                  <c:v>1.7869999999999999</c:v>
                </c:pt>
                <c:pt idx="16">
                  <c:v>1.7010000000000001</c:v>
                </c:pt>
                <c:pt idx="17">
                  <c:v>1.5029999999999999</c:v>
                </c:pt>
                <c:pt idx="18">
                  <c:v>1.4930000000000001</c:v>
                </c:pt>
                <c:pt idx="19">
                  <c:v>1.4279999999999999</c:v>
                </c:pt>
                <c:pt idx="20">
                  <c:v>1.365</c:v>
                </c:pt>
                <c:pt idx="21">
                  <c:v>1.3069999999999999</c:v>
                </c:pt>
                <c:pt idx="22">
                  <c:v>1.2529999999999999</c:v>
                </c:pt>
                <c:pt idx="23">
                  <c:v>1.202</c:v>
                </c:pt>
                <c:pt idx="24">
                  <c:v>1.159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78-4EBE-A81B-9F765E99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96336"/>
        <c:axId val="2022996752"/>
      </c:areaChart>
      <c:catAx>
        <c:axId val="202299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752"/>
        <c:crosses val="autoZero"/>
        <c:auto val="1"/>
        <c:lblAlgn val="ctr"/>
        <c:lblOffset val="100"/>
        <c:noMultiLvlLbl val="0"/>
      </c:catAx>
      <c:valAx>
        <c:axId val="20229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299633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Aides</a:t>
            </a:r>
            <a:r>
              <a:rPr lang="fr-FR" baseline="0"/>
              <a:t> à la rénovation énergétique (milliards d'euros)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Aides!$J$45</c:f>
              <c:strCache>
                <c:ptCount val="1"/>
                <c:pt idx="0">
                  <c:v>CEE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Aides!$O$45:$AM$45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3-4A0B-8388-49DB1B1409C9}"/>
            </c:ext>
          </c:extLst>
        </c:ser>
        <c:ser>
          <c:idx val="1"/>
          <c:order val="1"/>
          <c:tx>
            <c:strRef>
              <c:f>Aides!$J$46</c:f>
              <c:strCache>
                <c:ptCount val="1"/>
                <c:pt idx="0">
                  <c:v>MPR Efficacité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Aides!$O$46:$AM$46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3-4A0B-8388-49DB1B1409C9}"/>
            </c:ext>
          </c:extLst>
        </c:ser>
        <c:ser>
          <c:idx val="3"/>
          <c:order val="2"/>
          <c:tx>
            <c:strRef>
              <c:f>Aides!$J$48</c:f>
              <c:strCache>
                <c:ptCount val="1"/>
                <c:pt idx="0">
                  <c:v>MPR Performance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Aides!$O$48:$AM$48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B3-4A0B-8388-49DB1B1409C9}"/>
            </c:ext>
          </c:extLst>
        </c:ser>
        <c:ser>
          <c:idx val="2"/>
          <c:order val="3"/>
          <c:tx>
            <c:strRef>
              <c:f>Aides!$J$47</c:f>
              <c:strCache>
                <c:ptCount val="1"/>
                <c:pt idx="0">
                  <c:v>MPR Copro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Aides!$O$47:$AM$47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B3-4A0B-8388-49DB1B1409C9}"/>
            </c:ext>
          </c:extLst>
        </c:ser>
        <c:ser>
          <c:idx val="5"/>
          <c:order val="4"/>
          <c:tx>
            <c:v>ECO PTZ</c:v>
          </c:tx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Aides!$O$50:$R$50</c:f>
              <c:numCache>
                <c:formatCode>0.0</c:formatCode>
                <c:ptCount val="4"/>
                <c:pt idx="0">
                  <c:v>1.139</c:v>
                </c:pt>
                <c:pt idx="1">
                  <c:v>1.2050000000000001</c:v>
                </c:pt>
                <c:pt idx="2">
                  <c:v>1.1539999999999999</c:v>
                </c:pt>
                <c:pt idx="3">
                  <c:v>1.075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F-4677-87F1-AC03683E6B28}"/>
            </c:ext>
          </c:extLst>
        </c:ser>
        <c:ser>
          <c:idx val="4"/>
          <c:order val="5"/>
          <c:tx>
            <c:strRef>
              <c:f>Aides!$J$51</c:f>
              <c:strCache>
                <c:ptCount val="1"/>
                <c:pt idx="0">
                  <c:v>Montant écrêté</c:v>
                </c:pt>
              </c:strCache>
            </c:strRef>
          </c:tx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Aides!$O$1:$AM$1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Aides!$O$51:$AM$51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B3-4A0B-8388-49DB1B140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973279"/>
        <c:axId val="1900974943"/>
      </c:areaChart>
      <c:catAx>
        <c:axId val="1900973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974943"/>
        <c:crosses val="autoZero"/>
        <c:auto val="1"/>
        <c:lblAlgn val="ctr"/>
        <c:lblOffset val="100"/>
        <c:tickLblSkip val="1"/>
        <c:noMultiLvlLbl val="0"/>
      </c:catAx>
      <c:valAx>
        <c:axId val="190097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97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Installations</a:t>
            </a:r>
            <a:r>
              <a:rPr lang="fr-FR" baseline="0"/>
              <a:t> de système de chauffage chaque année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'Switch heater '!$J$46</c:f>
              <c:strCache>
                <c:ptCount val="1"/>
                <c:pt idx="0">
                  <c:v>Installation de PAC air/air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'!$L$46:$AL$46</c:f>
              <c:numCache>
                <c:formatCode>0.0</c:formatCode>
                <c:ptCount val="27"/>
                <c:pt idx="0">
                  <c:v>321.32299999999998</c:v>
                </c:pt>
                <c:pt idx="1">
                  <c:v>446.85</c:v>
                </c:pt>
                <c:pt idx="2">
                  <c:v>415.19499999999999</c:v>
                </c:pt>
                <c:pt idx="3">
                  <c:v>455.91899999999998</c:v>
                </c:pt>
                <c:pt idx="4">
                  <c:v>429.78800000000001</c:v>
                </c:pt>
                <c:pt idx="5">
                  <c:v>399.298</c:v>
                </c:pt>
                <c:pt idx="6">
                  <c:v>370.16300000000001</c:v>
                </c:pt>
                <c:pt idx="7">
                  <c:v>432.85</c:v>
                </c:pt>
                <c:pt idx="8">
                  <c:v>400.22699999999998</c:v>
                </c:pt>
                <c:pt idx="9">
                  <c:v>421.19299999999998</c:v>
                </c:pt>
                <c:pt idx="10">
                  <c:v>445.66699999999997</c:v>
                </c:pt>
                <c:pt idx="11">
                  <c:v>468.815</c:v>
                </c:pt>
                <c:pt idx="12">
                  <c:v>387.40100000000001</c:v>
                </c:pt>
                <c:pt idx="13">
                  <c:v>415.74099999999999</c:v>
                </c:pt>
                <c:pt idx="14">
                  <c:v>429.72500000000002</c:v>
                </c:pt>
                <c:pt idx="15">
                  <c:v>398.53300000000002</c:v>
                </c:pt>
                <c:pt idx="16">
                  <c:v>451.92099999999999</c:v>
                </c:pt>
                <c:pt idx="17">
                  <c:v>404.214</c:v>
                </c:pt>
                <c:pt idx="18">
                  <c:v>400.43799999999999</c:v>
                </c:pt>
                <c:pt idx="19">
                  <c:v>373.363</c:v>
                </c:pt>
                <c:pt idx="20">
                  <c:v>600.35</c:v>
                </c:pt>
                <c:pt idx="21">
                  <c:v>608.10599999999999</c:v>
                </c:pt>
                <c:pt idx="22">
                  <c:v>597.33100000000002</c:v>
                </c:pt>
                <c:pt idx="23">
                  <c:v>616.90200000000004</c:v>
                </c:pt>
                <c:pt idx="24">
                  <c:v>589.54899999999998</c:v>
                </c:pt>
                <c:pt idx="25">
                  <c:v>558.75</c:v>
                </c:pt>
                <c:pt idx="26">
                  <c:v>528.52200000000005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B-4798-990D-C12FF38CE8BB}"/>
            </c:ext>
          </c:extLst>
        </c:ser>
        <c:ser>
          <c:idx val="0"/>
          <c:order val="1"/>
          <c:tx>
            <c:strRef>
              <c:f>'Switch heater '!$J$47</c:f>
              <c:strCache>
                <c:ptCount val="1"/>
                <c:pt idx="0">
                  <c:v>Installation de PAC air/eau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'!$L$47:$AL$47</c:f>
              <c:numCache>
                <c:formatCode>0.0</c:formatCode>
                <c:ptCount val="27"/>
                <c:pt idx="0">
                  <c:v>416.06099999999998</c:v>
                </c:pt>
                <c:pt idx="1">
                  <c:v>207.47300000000001</c:v>
                </c:pt>
                <c:pt idx="2">
                  <c:v>198.68299999999999</c:v>
                </c:pt>
                <c:pt idx="3">
                  <c:v>217.56399999999999</c:v>
                </c:pt>
                <c:pt idx="4">
                  <c:v>210.60499999999999</c:v>
                </c:pt>
                <c:pt idx="5">
                  <c:v>201.822</c:v>
                </c:pt>
                <c:pt idx="6">
                  <c:v>193.33199999999999</c:v>
                </c:pt>
                <c:pt idx="7">
                  <c:v>220.83600000000001</c:v>
                </c:pt>
                <c:pt idx="8">
                  <c:v>210.916</c:v>
                </c:pt>
                <c:pt idx="9">
                  <c:v>222.30600000000001</c:v>
                </c:pt>
                <c:pt idx="10">
                  <c:v>235.28100000000001</c:v>
                </c:pt>
                <c:pt idx="11">
                  <c:v>247.93</c:v>
                </c:pt>
                <c:pt idx="12">
                  <c:v>209.22300000000001</c:v>
                </c:pt>
                <c:pt idx="13">
                  <c:v>221.142</c:v>
                </c:pt>
                <c:pt idx="14">
                  <c:v>226.99100000000001</c:v>
                </c:pt>
                <c:pt idx="15">
                  <c:v>212.24</c:v>
                </c:pt>
                <c:pt idx="16">
                  <c:v>235.92500000000001</c:v>
                </c:pt>
                <c:pt idx="17">
                  <c:v>214.429</c:v>
                </c:pt>
                <c:pt idx="18">
                  <c:v>212.61099999999999</c:v>
                </c:pt>
                <c:pt idx="19">
                  <c:v>200.185</c:v>
                </c:pt>
                <c:pt idx="20">
                  <c:v>335.27</c:v>
                </c:pt>
                <c:pt idx="21">
                  <c:v>240.071</c:v>
                </c:pt>
                <c:pt idx="22">
                  <c:v>239.715</c:v>
                </c:pt>
                <c:pt idx="23">
                  <c:v>245.22900000000001</c:v>
                </c:pt>
                <c:pt idx="24">
                  <c:v>236.648</c:v>
                </c:pt>
                <c:pt idx="25">
                  <c:v>226.93100000000001</c:v>
                </c:pt>
                <c:pt idx="26">
                  <c:v>217.239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B-4798-990D-C12FF38CE8BB}"/>
            </c:ext>
          </c:extLst>
        </c:ser>
        <c:ser>
          <c:idx val="4"/>
          <c:order val="2"/>
          <c:tx>
            <c:strRef>
              <c:f>'Switch heater '!$J$53</c:f>
              <c:strCache>
                <c:ptCount val="1"/>
                <c:pt idx="0">
                  <c:v>Installation convecteurs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'!$L$53:$AL$53</c:f>
              <c:numCache>
                <c:formatCode>0.0</c:formatCode>
                <c:ptCount val="27"/>
                <c:pt idx="0">
                  <c:v>105.626</c:v>
                </c:pt>
                <c:pt idx="1">
                  <c:v>159.85499999999999</c:v>
                </c:pt>
                <c:pt idx="2">
                  <c:v>133.62200000000001</c:v>
                </c:pt>
                <c:pt idx="3">
                  <c:v>143.84100000000001</c:v>
                </c:pt>
                <c:pt idx="4">
                  <c:v>124.09</c:v>
                </c:pt>
                <c:pt idx="5">
                  <c:v>101.407</c:v>
                </c:pt>
                <c:pt idx="6">
                  <c:v>80.004999999999995</c:v>
                </c:pt>
                <c:pt idx="7">
                  <c:v>110.98399999999999</c:v>
                </c:pt>
                <c:pt idx="8">
                  <c:v>88.650999999999996</c:v>
                </c:pt>
                <c:pt idx="9">
                  <c:v>96.700999999999993</c:v>
                </c:pt>
                <c:pt idx="10">
                  <c:v>106.69</c:v>
                </c:pt>
                <c:pt idx="11">
                  <c:v>115.774</c:v>
                </c:pt>
                <c:pt idx="12">
                  <c:v>111.28400000000001</c:v>
                </c:pt>
                <c:pt idx="13">
                  <c:v>125.464</c:v>
                </c:pt>
                <c:pt idx="14">
                  <c:v>134.39400000000001</c:v>
                </c:pt>
                <c:pt idx="15">
                  <c:v>136.726</c:v>
                </c:pt>
                <c:pt idx="16">
                  <c:v>152.27799999999999</c:v>
                </c:pt>
                <c:pt idx="17">
                  <c:v>144.83099999999999</c:v>
                </c:pt>
                <c:pt idx="18">
                  <c:v>145.81200000000001</c:v>
                </c:pt>
                <c:pt idx="19">
                  <c:v>142.875</c:v>
                </c:pt>
                <c:pt idx="20">
                  <c:v>45.095999999999997</c:v>
                </c:pt>
                <c:pt idx="21">
                  <c:v>56.726999999999997</c:v>
                </c:pt>
                <c:pt idx="22">
                  <c:v>54.396999999999998</c:v>
                </c:pt>
                <c:pt idx="23">
                  <c:v>52.470999999999997</c:v>
                </c:pt>
                <c:pt idx="24">
                  <c:v>47.762999999999998</c:v>
                </c:pt>
                <c:pt idx="25">
                  <c:v>42.679000000000002</c:v>
                </c:pt>
                <c:pt idx="26">
                  <c:v>37.878999999999998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B-4798-990D-C12FF38CE8BB}"/>
            </c:ext>
          </c:extLst>
        </c:ser>
        <c:ser>
          <c:idx val="3"/>
          <c:order val="3"/>
          <c:tx>
            <c:strRef>
              <c:f>'Switch heater '!$J$52</c:f>
              <c:strCache>
                <c:ptCount val="1"/>
                <c:pt idx="0">
                  <c:v>Réseau de chaleur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'!$L$52:$AL$52</c:f>
              <c:numCache>
                <c:formatCode>0.0</c:formatCode>
                <c:ptCount val="27"/>
                <c:pt idx="0">
                  <c:v>194.01900000000001</c:v>
                </c:pt>
                <c:pt idx="1">
                  <c:v>70.945999999999998</c:v>
                </c:pt>
                <c:pt idx="2">
                  <c:v>266.69400000000002</c:v>
                </c:pt>
                <c:pt idx="3">
                  <c:v>196.60400000000001</c:v>
                </c:pt>
                <c:pt idx="4">
                  <c:v>346.495</c:v>
                </c:pt>
                <c:pt idx="5">
                  <c:v>516.37</c:v>
                </c:pt>
                <c:pt idx="6">
                  <c:v>673.29899999999998</c:v>
                </c:pt>
                <c:pt idx="7">
                  <c:v>423.09399999999999</c:v>
                </c:pt>
                <c:pt idx="8">
                  <c:v>597.82100000000003</c:v>
                </c:pt>
                <c:pt idx="9">
                  <c:v>532.50300000000004</c:v>
                </c:pt>
                <c:pt idx="10">
                  <c:v>452.11500000000001</c:v>
                </c:pt>
                <c:pt idx="11">
                  <c:v>381.79</c:v>
                </c:pt>
                <c:pt idx="12">
                  <c:v>321.40899999999999</c:v>
                </c:pt>
                <c:pt idx="13">
                  <c:v>221.06299999999999</c:v>
                </c:pt>
                <c:pt idx="14">
                  <c:v>170.749</c:v>
                </c:pt>
                <c:pt idx="15">
                  <c:v>120.506</c:v>
                </c:pt>
                <c:pt idx="16">
                  <c:v>67.393000000000001</c:v>
                </c:pt>
                <c:pt idx="17">
                  <c:v>98.825999999999993</c:v>
                </c:pt>
                <c:pt idx="18">
                  <c:v>98.748000000000005</c:v>
                </c:pt>
                <c:pt idx="19">
                  <c:v>98.75</c:v>
                </c:pt>
                <c:pt idx="20">
                  <c:v>215.20500000000001</c:v>
                </c:pt>
                <c:pt idx="21">
                  <c:v>98.850999999999999</c:v>
                </c:pt>
                <c:pt idx="22">
                  <c:v>285.11399999999998</c:v>
                </c:pt>
                <c:pt idx="23">
                  <c:v>218.958</c:v>
                </c:pt>
                <c:pt idx="24">
                  <c:v>362.53699999999998</c:v>
                </c:pt>
                <c:pt idx="25">
                  <c:v>525.41300000000001</c:v>
                </c:pt>
                <c:pt idx="26">
                  <c:v>673.58699999999999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EB-4798-990D-C12FF38CE8BB}"/>
            </c:ext>
          </c:extLst>
        </c:ser>
        <c:ser>
          <c:idx val="5"/>
          <c:order val="4"/>
          <c:tx>
            <c:strRef>
              <c:f>'Switch heater '!$J$54</c:f>
              <c:strCache>
                <c:ptCount val="1"/>
                <c:pt idx="0">
                  <c:v>Installation chaudière biomasse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'!$L$54:$AL$54</c:f>
              <c:numCache>
                <c:formatCode>0.0</c:formatCode>
                <c:ptCount val="27"/>
                <c:pt idx="0">
                  <c:v>161.881</c:v>
                </c:pt>
                <c:pt idx="1">
                  <c:v>149.1</c:v>
                </c:pt>
                <c:pt idx="2">
                  <c:v>149.08500000000001</c:v>
                </c:pt>
                <c:pt idx="3">
                  <c:v>150.327</c:v>
                </c:pt>
                <c:pt idx="4">
                  <c:v>150.38200000000001</c:v>
                </c:pt>
                <c:pt idx="5">
                  <c:v>150.565</c:v>
                </c:pt>
                <c:pt idx="6">
                  <c:v>150.75800000000001</c:v>
                </c:pt>
                <c:pt idx="7">
                  <c:v>151.251</c:v>
                </c:pt>
                <c:pt idx="8">
                  <c:v>151.429</c:v>
                </c:pt>
                <c:pt idx="9">
                  <c:v>151.71899999999999</c:v>
                </c:pt>
                <c:pt idx="10">
                  <c:v>151.90600000000001</c:v>
                </c:pt>
                <c:pt idx="11">
                  <c:v>152.11500000000001</c:v>
                </c:pt>
                <c:pt idx="12">
                  <c:v>147.9</c:v>
                </c:pt>
                <c:pt idx="13">
                  <c:v>148.261</c:v>
                </c:pt>
                <c:pt idx="14">
                  <c:v>148.44499999999999</c:v>
                </c:pt>
                <c:pt idx="15">
                  <c:v>146.87700000000001</c:v>
                </c:pt>
                <c:pt idx="16">
                  <c:v>148.21700000000001</c:v>
                </c:pt>
                <c:pt idx="17">
                  <c:v>146.584</c:v>
                </c:pt>
                <c:pt idx="18">
                  <c:v>146.16499999999999</c:v>
                </c:pt>
                <c:pt idx="19">
                  <c:v>144.851</c:v>
                </c:pt>
                <c:pt idx="20">
                  <c:v>163.74299999999999</c:v>
                </c:pt>
                <c:pt idx="21">
                  <c:v>150.71</c:v>
                </c:pt>
                <c:pt idx="22">
                  <c:v>151.11799999999999</c:v>
                </c:pt>
                <c:pt idx="23">
                  <c:v>151.05699999999999</c:v>
                </c:pt>
                <c:pt idx="24">
                  <c:v>150.68199999999999</c:v>
                </c:pt>
                <c:pt idx="25">
                  <c:v>150.46100000000001</c:v>
                </c:pt>
                <c:pt idx="26">
                  <c:v>150.155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EB-4798-990D-C12FF38CE8BB}"/>
            </c:ext>
          </c:extLst>
        </c:ser>
        <c:ser>
          <c:idx val="2"/>
          <c:order val="5"/>
          <c:tx>
            <c:strRef>
              <c:f>'Switch heater '!$J$50</c:f>
              <c:strCache>
                <c:ptCount val="1"/>
                <c:pt idx="0">
                  <c:v>Installation de chaudière 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'!$L$50:$AL$50</c:f>
              <c:numCache>
                <c:formatCode>0.0</c:formatCode>
                <c:ptCount val="27"/>
                <c:pt idx="0">
                  <c:v>608.87099999999998</c:v>
                </c:pt>
                <c:pt idx="1">
                  <c:v>769.76099999999997</c:v>
                </c:pt>
                <c:pt idx="2">
                  <c:v>636.90599999999995</c:v>
                </c:pt>
                <c:pt idx="3">
                  <c:v>632.10699999999997</c:v>
                </c:pt>
                <c:pt idx="4">
                  <c:v>531.17200000000003</c:v>
                </c:pt>
                <c:pt idx="5">
                  <c:v>419.233</c:v>
                </c:pt>
                <c:pt idx="6">
                  <c:v>317.30200000000002</c:v>
                </c:pt>
                <c:pt idx="7">
                  <c:v>443.029</c:v>
                </c:pt>
                <c:pt idx="8">
                  <c:v>331.30500000000001</c:v>
                </c:pt>
                <c:pt idx="9">
                  <c:v>353.976</c:v>
                </c:pt>
                <c:pt idx="10">
                  <c:v>384.55799999999999</c:v>
                </c:pt>
                <c:pt idx="11">
                  <c:v>408.43200000000002</c:v>
                </c:pt>
                <c:pt idx="12">
                  <c:v>350.42200000000003</c:v>
                </c:pt>
                <c:pt idx="13">
                  <c:v>394.88600000000002</c:v>
                </c:pt>
                <c:pt idx="14">
                  <c:v>415.048</c:v>
                </c:pt>
                <c:pt idx="15">
                  <c:v>333.64</c:v>
                </c:pt>
                <c:pt idx="16">
                  <c:v>448.154</c:v>
                </c:pt>
                <c:pt idx="17">
                  <c:v>360.78699999999998</c:v>
                </c:pt>
                <c:pt idx="18">
                  <c:v>357.05599999999998</c:v>
                </c:pt>
                <c:pt idx="19">
                  <c:v>297.51900000000001</c:v>
                </c:pt>
                <c:pt idx="20">
                  <c:v>225.048</c:v>
                </c:pt>
                <c:pt idx="21">
                  <c:v>167.11500000000001</c:v>
                </c:pt>
                <c:pt idx="22">
                  <c:v>235.55199999999999</c:v>
                </c:pt>
                <c:pt idx="23">
                  <c:v>171.727</c:v>
                </c:pt>
                <c:pt idx="24">
                  <c:v>182.45</c:v>
                </c:pt>
                <c:pt idx="25">
                  <c:v>197.471</c:v>
                </c:pt>
                <c:pt idx="26">
                  <c:v>209.977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EB-4798-990D-C12FF38CE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186320"/>
        <c:axId val="2143184240"/>
      </c:areaChart>
      <c:catAx>
        <c:axId val="214318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3184240"/>
        <c:crosses val="autoZero"/>
        <c:auto val="1"/>
        <c:lblAlgn val="ctr"/>
        <c:lblOffset val="100"/>
        <c:noMultiLvlLbl val="0"/>
      </c:catAx>
      <c:valAx>
        <c:axId val="21431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318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Remplacement</a:t>
            </a:r>
            <a:r>
              <a:rPr lang="fr-FR" baseline="0"/>
              <a:t> des chaudières gaz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4"/>
          <c:order val="0"/>
          <c:tx>
            <c:strRef>
              <c:f>'Switch heater '!$K$59</c:f>
              <c:strCache>
                <c:ptCount val="1"/>
                <c:pt idx="0">
                  <c:v>Gaz -&gt; RCU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'!$L$59:$AL$59</c:f>
              <c:numCache>
                <c:formatCode>0.0</c:formatCode>
                <c:ptCount val="27"/>
                <c:pt idx="0">
                  <c:v>80.271000000000001</c:v>
                </c:pt>
                <c:pt idx="1">
                  <c:v>0</c:v>
                </c:pt>
                <c:pt idx="2">
                  <c:v>127.508</c:v>
                </c:pt>
                <c:pt idx="3">
                  <c:v>81.686000000000007</c:v>
                </c:pt>
                <c:pt idx="4">
                  <c:v>178.76400000000001</c:v>
                </c:pt>
                <c:pt idx="5">
                  <c:v>288.11799999999999</c:v>
                </c:pt>
                <c:pt idx="6">
                  <c:v>387.96</c:v>
                </c:pt>
                <c:pt idx="7">
                  <c:v>225.672</c:v>
                </c:pt>
                <c:pt idx="8">
                  <c:v>336.52</c:v>
                </c:pt>
                <c:pt idx="9">
                  <c:v>293.64999999999998</c:v>
                </c:pt>
                <c:pt idx="10">
                  <c:v>241.90600000000001</c:v>
                </c:pt>
                <c:pt idx="11">
                  <c:v>196.95500000000001</c:v>
                </c:pt>
                <c:pt idx="12">
                  <c:v>172.11799999999999</c:v>
                </c:pt>
                <c:pt idx="13">
                  <c:v>104.04900000000001</c:v>
                </c:pt>
                <c:pt idx="14">
                  <c:v>70.097999999999999</c:v>
                </c:pt>
                <c:pt idx="15">
                  <c:v>33.027999999999999</c:v>
                </c:pt>
                <c:pt idx="16">
                  <c:v>0</c:v>
                </c:pt>
                <c:pt idx="17">
                  <c:v>20.146999999999998</c:v>
                </c:pt>
                <c:pt idx="18">
                  <c:v>20.14</c:v>
                </c:pt>
                <c:pt idx="19">
                  <c:v>18.898</c:v>
                </c:pt>
                <c:pt idx="20">
                  <c:v>26.012</c:v>
                </c:pt>
                <c:pt idx="21">
                  <c:v>22.178999999999998</c:v>
                </c:pt>
                <c:pt idx="22">
                  <c:v>25.236999999999998</c:v>
                </c:pt>
                <c:pt idx="23">
                  <c:v>23.263000000000002</c:v>
                </c:pt>
                <c:pt idx="24">
                  <c:v>24.57</c:v>
                </c:pt>
                <c:pt idx="25">
                  <c:v>26.058</c:v>
                </c:pt>
                <c:pt idx="26">
                  <c:v>25.954000000000001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97-4523-8251-9B3731D6F81B}"/>
            </c:ext>
          </c:extLst>
        </c:ser>
        <c:ser>
          <c:idx val="2"/>
          <c:order val="1"/>
          <c:tx>
            <c:strRef>
              <c:f>'Switch heater '!$K$61</c:f>
              <c:strCache>
                <c:ptCount val="1"/>
                <c:pt idx="0">
                  <c:v>Gaz -&gt; 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'!$L$61:$AL$61</c:f>
              <c:numCache>
                <c:formatCode>0.0</c:formatCode>
                <c:ptCount val="27"/>
                <c:pt idx="0">
                  <c:v>514.33500000000004</c:v>
                </c:pt>
                <c:pt idx="1">
                  <c:v>636.47299999999996</c:v>
                </c:pt>
                <c:pt idx="2">
                  <c:v>517.43600000000004</c:v>
                </c:pt>
                <c:pt idx="3">
                  <c:v>525.29</c:v>
                </c:pt>
                <c:pt idx="4">
                  <c:v>434.74</c:v>
                </c:pt>
                <c:pt idx="5">
                  <c:v>334.22500000000002</c:v>
                </c:pt>
                <c:pt idx="6">
                  <c:v>242.89</c:v>
                </c:pt>
                <c:pt idx="7">
                  <c:v>361.96199999999999</c:v>
                </c:pt>
                <c:pt idx="8">
                  <c:v>262.10000000000002</c:v>
                </c:pt>
                <c:pt idx="9">
                  <c:v>285.238</c:v>
                </c:pt>
                <c:pt idx="10">
                  <c:v>315.29700000000003</c:v>
                </c:pt>
                <c:pt idx="11">
                  <c:v>339.197</c:v>
                </c:pt>
                <c:pt idx="12">
                  <c:v>350.42200000000003</c:v>
                </c:pt>
                <c:pt idx="13">
                  <c:v>394.88600000000002</c:v>
                </c:pt>
                <c:pt idx="14">
                  <c:v>415.048</c:v>
                </c:pt>
                <c:pt idx="15">
                  <c:v>333.64</c:v>
                </c:pt>
                <c:pt idx="16">
                  <c:v>448.154</c:v>
                </c:pt>
                <c:pt idx="17">
                  <c:v>360.78699999999998</c:v>
                </c:pt>
                <c:pt idx="18">
                  <c:v>357.05599999999998</c:v>
                </c:pt>
                <c:pt idx="19">
                  <c:v>297.51900000000001</c:v>
                </c:pt>
                <c:pt idx="20">
                  <c:v>225.048</c:v>
                </c:pt>
                <c:pt idx="21">
                  <c:v>167.11500000000001</c:v>
                </c:pt>
                <c:pt idx="22">
                  <c:v>235.55199999999999</c:v>
                </c:pt>
                <c:pt idx="23">
                  <c:v>171.727</c:v>
                </c:pt>
                <c:pt idx="24">
                  <c:v>182.45</c:v>
                </c:pt>
                <c:pt idx="25">
                  <c:v>197.471</c:v>
                </c:pt>
                <c:pt idx="26">
                  <c:v>209.977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97-4523-8251-9B3731D6F81B}"/>
            </c:ext>
          </c:extLst>
        </c:ser>
        <c:ser>
          <c:idx val="1"/>
          <c:order val="2"/>
          <c:tx>
            <c:strRef>
              <c:f>'Switch heater '!$K$60</c:f>
              <c:strCache>
                <c:ptCount val="1"/>
                <c:pt idx="0">
                  <c:v>Gaz -&gt; PAC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'!$L$60:$AL$60</c:f>
              <c:numCache>
                <c:formatCode>0.0</c:formatCode>
                <c:ptCount val="27"/>
                <c:pt idx="0">
                  <c:v>174.619</c:v>
                </c:pt>
                <c:pt idx="1">
                  <c:v>133.69</c:v>
                </c:pt>
                <c:pt idx="2">
                  <c:v>125.655</c:v>
                </c:pt>
                <c:pt idx="3">
                  <c:v>158.42599999999999</c:v>
                </c:pt>
                <c:pt idx="4">
                  <c:v>151.721</c:v>
                </c:pt>
                <c:pt idx="5">
                  <c:v>142.83199999999999</c:v>
                </c:pt>
                <c:pt idx="6">
                  <c:v>134.17699999999999</c:v>
                </c:pt>
                <c:pt idx="7">
                  <c:v>171.322</c:v>
                </c:pt>
                <c:pt idx="8">
                  <c:v>161.572</c:v>
                </c:pt>
                <c:pt idx="9">
                  <c:v>179.059</c:v>
                </c:pt>
                <c:pt idx="10">
                  <c:v>198.381</c:v>
                </c:pt>
                <c:pt idx="11">
                  <c:v>217.12899999999999</c:v>
                </c:pt>
                <c:pt idx="12">
                  <c:v>228.785</c:v>
                </c:pt>
                <c:pt idx="13">
                  <c:v>249.29</c:v>
                </c:pt>
                <c:pt idx="14">
                  <c:v>260.67599999999999</c:v>
                </c:pt>
                <c:pt idx="15">
                  <c:v>208.41800000000001</c:v>
                </c:pt>
                <c:pt idx="16">
                  <c:v>275.66300000000001</c:v>
                </c:pt>
                <c:pt idx="17">
                  <c:v>216.58500000000001</c:v>
                </c:pt>
                <c:pt idx="18">
                  <c:v>214.316</c:v>
                </c:pt>
                <c:pt idx="19">
                  <c:v>179.24600000000001</c:v>
                </c:pt>
                <c:pt idx="20">
                  <c:v>139.40600000000001</c:v>
                </c:pt>
                <c:pt idx="21">
                  <c:v>105.514</c:v>
                </c:pt>
                <c:pt idx="22">
                  <c:v>149.63200000000001</c:v>
                </c:pt>
                <c:pt idx="23">
                  <c:v>111.46</c:v>
                </c:pt>
                <c:pt idx="24">
                  <c:v>120.236</c:v>
                </c:pt>
                <c:pt idx="25">
                  <c:v>131.83799999999999</c:v>
                </c:pt>
                <c:pt idx="26">
                  <c:v>141.38200000000001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7-4523-8251-9B3731D6F81B}"/>
            </c:ext>
          </c:extLst>
        </c:ser>
        <c:ser>
          <c:idx val="0"/>
          <c:order val="3"/>
          <c:tx>
            <c:strRef>
              <c:f>'Switch heater '!$K$58</c:f>
              <c:strCache>
                <c:ptCount val="1"/>
                <c:pt idx="0">
                  <c:v>Gaz -&gt; Joule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'Switch heater '!$L$58:$AL$58</c:f>
              <c:numCache>
                <c:formatCode>0.0</c:formatCode>
                <c:ptCount val="27"/>
                <c:pt idx="0">
                  <c:v>10.6</c:v>
                </c:pt>
                <c:pt idx="1">
                  <c:v>13.106</c:v>
                </c:pt>
                <c:pt idx="2">
                  <c:v>11.132999999999999</c:v>
                </c:pt>
                <c:pt idx="3">
                  <c:v>13.855</c:v>
                </c:pt>
                <c:pt idx="4">
                  <c:v>12.298</c:v>
                </c:pt>
                <c:pt idx="5">
                  <c:v>10.462999999999999</c:v>
                </c:pt>
                <c:pt idx="6">
                  <c:v>8.6929999999999996</c:v>
                </c:pt>
                <c:pt idx="7">
                  <c:v>12.613</c:v>
                </c:pt>
                <c:pt idx="8">
                  <c:v>10.823</c:v>
                </c:pt>
                <c:pt idx="9">
                  <c:v>12.404</c:v>
                </c:pt>
                <c:pt idx="10">
                  <c:v>14.257</c:v>
                </c:pt>
                <c:pt idx="11">
                  <c:v>16.097000000000001</c:v>
                </c:pt>
                <c:pt idx="12">
                  <c:v>17.515000000000001</c:v>
                </c:pt>
                <c:pt idx="13">
                  <c:v>20.010999999999999</c:v>
                </c:pt>
                <c:pt idx="14">
                  <c:v>21.873000000000001</c:v>
                </c:pt>
                <c:pt idx="15">
                  <c:v>18.236000000000001</c:v>
                </c:pt>
                <c:pt idx="16">
                  <c:v>25.161999999999999</c:v>
                </c:pt>
                <c:pt idx="17">
                  <c:v>21.135999999999999</c:v>
                </c:pt>
                <c:pt idx="18">
                  <c:v>21.34</c:v>
                </c:pt>
                <c:pt idx="19">
                  <c:v>18.294</c:v>
                </c:pt>
                <c:pt idx="20">
                  <c:v>14.355</c:v>
                </c:pt>
                <c:pt idx="21">
                  <c:v>10.967000000000001</c:v>
                </c:pt>
                <c:pt idx="22">
                  <c:v>15.81</c:v>
                </c:pt>
                <c:pt idx="23">
                  <c:v>11.872</c:v>
                </c:pt>
                <c:pt idx="24">
                  <c:v>12.959</c:v>
                </c:pt>
                <c:pt idx="25">
                  <c:v>14.396000000000001</c:v>
                </c:pt>
                <c:pt idx="26">
                  <c:v>15.635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97-4523-8251-9B3731D6F81B}"/>
            </c:ext>
          </c:extLst>
        </c:ser>
        <c:ser>
          <c:idx val="3"/>
          <c:order val="4"/>
          <c:tx>
            <c:strRef>
              <c:f>'Switch heater '!$K$62</c:f>
              <c:strCache>
                <c:ptCount val="1"/>
                <c:pt idx="0">
                  <c:v>Gaz -&gt; Bois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'!$L$62:$AL$62</c:f>
              <c:numCache>
                <c:formatCode>0.0</c:formatCode>
                <c:ptCount val="27"/>
                <c:pt idx="0">
                  <c:v>6.7770000000000001</c:v>
                </c:pt>
                <c:pt idx="1">
                  <c:v>1.9530000000000001</c:v>
                </c:pt>
                <c:pt idx="2">
                  <c:v>2.073</c:v>
                </c:pt>
                <c:pt idx="3">
                  <c:v>3.07</c:v>
                </c:pt>
                <c:pt idx="4">
                  <c:v>3.2749999999999999</c:v>
                </c:pt>
                <c:pt idx="5">
                  <c:v>3.5830000000000002</c:v>
                </c:pt>
                <c:pt idx="6">
                  <c:v>3.8919999999999999</c:v>
                </c:pt>
                <c:pt idx="7">
                  <c:v>4.4219999999999997</c:v>
                </c:pt>
                <c:pt idx="8">
                  <c:v>4.7080000000000002</c:v>
                </c:pt>
                <c:pt idx="9">
                  <c:v>5.0999999999999996</c:v>
                </c:pt>
                <c:pt idx="10">
                  <c:v>5.4210000000000003</c:v>
                </c:pt>
                <c:pt idx="11">
                  <c:v>5.7089999999999996</c:v>
                </c:pt>
                <c:pt idx="12">
                  <c:v>6.0709999999999997</c:v>
                </c:pt>
                <c:pt idx="13">
                  <c:v>6.4820000000000002</c:v>
                </c:pt>
                <c:pt idx="14">
                  <c:v>6.7830000000000004</c:v>
                </c:pt>
                <c:pt idx="15">
                  <c:v>5.3570000000000002</c:v>
                </c:pt>
                <c:pt idx="16">
                  <c:v>6.9390000000000001</c:v>
                </c:pt>
                <c:pt idx="17">
                  <c:v>5.6630000000000003</c:v>
                </c:pt>
                <c:pt idx="18">
                  <c:v>5.6319999999999997</c:v>
                </c:pt>
                <c:pt idx="19">
                  <c:v>4.7380000000000004</c:v>
                </c:pt>
                <c:pt idx="20">
                  <c:v>3.7549999999999999</c:v>
                </c:pt>
                <c:pt idx="21">
                  <c:v>2.8679999999999999</c:v>
                </c:pt>
                <c:pt idx="22">
                  <c:v>4.0549999999999997</c:v>
                </c:pt>
                <c:pt idx="23">
                  <c:v>3.0569999999999999</c:v>
                </c:pt>
                <c:pt idx="24">
                  <c:v>3.3130000000000002</c:v>
                </c:pt>
                <c:pt idx="25">
                  <c:v>3.637</c:v>
                </c:pt>
                <c:pt idx="26">
                  <c:v>3.8940000000000001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97-4523-8251-9B3731D6F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892287"/>
        <c:axId val="2059883135"/>
      </c:areaChart>
      <c:catAx>
        <c:axId val="2059892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883135"/>
        <c:crosses val="autoZero"/>
        <c:auto val="1"/>
        <c:lblAlgn val="ctr"/>
        <c:lblOffset val="100"/>
        <c:noMultiLvlLbl val="0"/>
      </c:catAx>
      <c:valAx>
        <c:axId val="205988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89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Remplacement</a:t>
            </a:r>
            <a:r>
              <a:rPr lang="fr-FR" baseline="0"/>
              <a:t> des chaudières à fioul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3"/>
          <c:order val="0"/>
          <c:tx>
            <c:strRef>
              <c:f>'Switch heater '!$J$68</c:f>
              <c:strCache>
                <c:ptCount val="1"/>
                <c:pt idx="0">
                  <c:v>Switch from Oil fuel to Wood fuel (Thousand households)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5400">
              <a:solidFill>
                <a:schemeClr val="accent6">
                  <a:lumMod val="75000"/>
                </a:schemeClr>
              </a:solidFill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'!$L$68:$AL$68</c:f>
              <c:numCache>
                <c:formatCode>0.0</c:formatCode>
                <c:ptCount val="27"/>
                <c:pt idx="0">
                  <c:v>7.0380000000000003</c:v>
                </c:pt>
                <c:pt idx="1">
                  <c:v>3.5990000000000002</c:v>
                </c:pt>
                <c:pt idx="2">
                  <c:v>3.645</c:v>
                </c:pt>
                <c:pt idx="3">
                  <c:v>4.0659999999999998</c:v>
                </c:pt>
                <c:pt idx="4">
                  <c:v>4.1020000000000003</c:v>
                </c:pt>
                <c:pt idx="5">
                  <c:v>4.1470000000000002</c:v>
                </c:pt>
                <c:pt idx="6">
                  <c:v>4.1820000000000004</c:v>
                </c:pt>
                <c:pt idx="7">
                  <c:v>4.2880000000000003</c:v>
                </c:pt>
                <c:pt idx="8">
                  <c:v>4.3639999999999999</c:v>
                </c:pt>
                <c:pt idx="9">
                  <c:v>4.4279999999999999</c:v>
                </c:pt>
                <c:pt idx="10">
                  <c:v>4.4770000000000003</c:v>
                </c:pt>
                <c:pt idx="11">
                  <c:v>4.5220000000000002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5-45D2-BC43-463308F34C57}"/>
            </c:ext>
          </c:extLst>
        </c:ser>
        <c:ser>
          <c:idx val="2"/>
          <c:order val="1"/>
          <c:tx>
            <c:strRef>
              <c:f>'Switch heater '!$J$67</c:f>
              <c:strCache>
                <c:ptCount val="1"/>
                <c:pt idx="0">
                  <c:v>Switch from Oil fuel to Natural gas (Thousand households)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'!$L$67:$AL$67</c:f>
              <c:numCache>
                <c:formatCode>0.0</c:formatCode>
                <c:ptCount val="27"/>
                <c:pt idx="0">
                  <c:v>94.536000000000001</c:v>
                </c:pt>
                <c:pt idx="1">
                  <c:v>133.28800000000001</c:v>
                </c:pt>
                <c:pt idx="2">
                  <c:v>119.46899999999999</c:v>
                </c:pt>
                <c:pt idx="3">
                  <c:v>106.818</c:v>
                </c:pt>
                <c:pt idx="4">
                  <c:v>96.432000000000002</c:v>
                </c:pt>
                <c:pt idx="5">
                  <c:v>85.007000000000005</c:v>
                </c:pt>
                <c:pt idx="6">
                  <c:v>74.412000000000006</c:v>
                </c:pt>
                <c:pt idx="7">
                  <c:v>81.066999999999993</c:v>
                </c:pt>
                <c:pt idx="8">
                  <c:v>69.204999999999998</c:v>
                </c:pt>
                <c:pt idx="9">
                  <c:v>68.738</c:v>
                </c:pt>
                <c:pt idx="10">
                  <c:v>69.262</c:v>
                </c:pt>
                <c:pt idx="11">
                  <c:v>69.234999999999999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5-45D2-BC43-463308F34C57}"/>
            </c:ext>
          </c:extLst>
        </c:ser>
        <c:ser>
          <c:idx val="1"/>
          <c:order val="2"/>
          <c:tx>
            <c:strRef>
              <c:f>'Switch heater '!$J$66</c:f>
              <c:strCache>
                <c:ptCount val="1"/>
                <c:pt idx="0">
                  <c:v>Switch from Oil fuel to Heat pump (Thousand households)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'!$L$66:$AL$66</c:f>
              <c:numCache>
                <c:formatCode>0.0</c:formatCode>
                <c:ptCount val="27"/>
                <c:pt idx="0">
                  <c:v>137.66499999999999</c:v>
                </c:pt>
                <c:pt idx="1">
                  <c:v>107.455</c:v>
                </c:pt>
                <c:pt idx="2">
                  <c:v>107.03400000000001</c:v>
                </c:pt>
                <c:pt idx="3">
                  <c:v>121.91200000000001</c:v>
                </c:pt>
                <c:pt idx="4">
                  <c:v>120.974</c:v>
                </c:pt>
                <c:pt idx="5">
                  <c:v>119.73</c:v>
                </c:pt>
                <c:pt idx="6">
                  <c:v>118.252</c:v>
                </c:pt>
                <c:pt idx="7">
                  <c:v>127.758</c:v>
                </c:pt>
                <c:pt idx="8">
                  <c:v>126.67100000000001</c:v>
                </c:pt>
                <c:pt idx="9">
                  <c:v>130.482</c:v>
                </c:pt>
                <c:pt idx="10">
                  <c:v>134.49299999999999</c:v>
                </c:pt>
                <c:pt idx="11">
                  <c:v>138.35900000000001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5-45D2-BC43-463308F34C57}"/>
            </c:ext>
          </c:extLst>
        </c:ser>
        <c:ser>
          <c:idx val="0"/>
          <c:order val="3"/>
          <c:tx>
            <c:strRef>
              <c:f>'Switch heater '!$J$65</c:f>
              <c:strCache>
                <c:ptCount val="1"/>
                <c:pt idx="0">
                  <c:v>Switch from Oil fuel to District heating (Thousand households)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cat>
            <c:numRef>
              <c:f>'Switch heater '!$L$1:$AL$1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'Switch heater '!$L$65:$AL$65</c:f>
              <c:numCache>
                <c:formatCode>0.0</c:formatCode>
                <c:ptCount val="27"/>
                <c:pt idx="0">
                  <c:v>8.5440000000000005</c:v>
                </c:pt>
                <c:pt idx="1">
                  <c:v>0</c:v>
                </c:pt>
                <c:pt idx="2">
                  <c:v>13.557</c:v>
                </c:pt>
                <c:pt idx="3">
                  <c:v>8.7490000000000006</c:v>
                </c:pt>
                <c:pt idx="4">
                  <c:v>19.196999999999999</c:v>
                </c:pt>
                <c:pt idx="5">
                  <c:v>31.212</c:v>
                </c:pt>
                <c:pt idx="6">
                  <c:v>42.710999999999999</c:v>
                </c:pt>
                <c:pt idx="7">
                  <c:v>25.559000000000001</c:v>
                </c:pt>
                <c:pt idx="8">
                  <c:v>38.691000000000003</c:v>
                </c:pt>
                <c:pt idx="9">
                  <c:v>34.564</c:v>
                </c:pt>
                <c:pt idx="10">
                  <c:v>29.053999999999998</c:v>
                </c:pt>
                <c:pt idx="11">
                  <c:v>24.024000000000001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5-45D2-BC43-463308F34C57}"/>
            </c:ext>
          </c:extLst>
        </c:ser>
        <c:ser>
          <c:idx val="4"/>
          <c:order val="4"/>
          <c:tx>
            <c:strRef>
              <c:f>'Switch heater '!$J$64</c:f>
              <c:strCache>
                <c:ptCount val="1"/>
                <c:pt idx="0">
                  <c:v>Switch from Oil fuel to Direct electric (Thousand households)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val>
            <c:numRef>
              <c:f>'Switch heater '!$L$64:$AL$64</c:f>
              <c:numCache>
                <c:formatCode>0.0</c:formatCode>
                <c:ptCount val="27"/>
                <c:pt idx="0">
                  <c:v>5.6660000000000004</c:v>
                </c:pt>
                <c:pt idx="1">
                  <c:v>7.8879999999999999</c:v>
                </c:pt>
                <c:pt idx="2">
                  <c:v>7.3529999999999998</c:v>
                </c:pt>
                <c:pt idx="3">
                  <c:v>8.3949999999999996</c:v>
                </c:pt>
                <c:pt idx="4">
                  <c:v>8.1769999999999996</c:v>
                </c:pt>
                <c:pt idx="5">
                  <c:v>7.8019999999999996</c:v>
                </c:pt>
                <c:pt idx="6">
                  <c:v>7.4390000000000001</c:v>
                </c:pt>
                <c:pt idx="7">
                  <c:v>8.5139999999999993</c:v>
                </c:pt>
                <c:pt idx="8">
                  <c:v>8.3000000000000007</c:v>
                </c:pt>
                <c:pt idx="9">
                  <c:v>8.8940000000000001</c:v>
                </c:pt>
                <c:pt idx="10">
                  <c:v>9.4960000000000004</c:v>
                </c:pt>
                <c:pt idx="11">
                  <c:v>10.087999999999999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B5-45D2-BC43-463308F34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652815"/>
        <c:axId val="1784651983"/>
      </c:areaChart>
      <c:catAx>
        <c:axId val="1784652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4651983"/>
        <c:crosses val="autoZero"/>
        <c:auto val="1"/>
        <c:lblAlgn val="ctr"/>
        <c:lblOffset val="100"/>
        <c:noMultiLvlLbl val="0"/>
      </c:catAx>
      <c:valAx>
        <c:axId val="178465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4652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Effet rebond du au système</a:t>
            </a:r>
            <a:r>
              <a:rPr lang="fr-FR" baseline="0"/>
              <a:t> de chauffage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'Effet rebond'!$J$5</c:f>
              <c:strCache>
                <c:ptCount val="1"/>
                <c:pt idx="0">
                  <c:v>Rebound heater Electricity (TWh/year)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rebond'!$L$5:$AM$5</c:f>
              <c:numCache>
                <c:formatCode>0.00</c:formatCode>
                <c:ptCount val="28"/>
                <c:pt idx="0">
                  <c:v>0</c:v>
                </c:pt>
                <c:pt idx="1">
                  <c:v>0.372</c:v>
                </c:pt>
                <c:pt idx="2">
                  <c:v>0.29899999999999999</c:v>
                </c:pt>
                <c:pt idx="3">
                  <c:v>0.28599999999999998</c:v>
                </c:pt>
                <c:pt idx="4">
                  <c:v>0.33300000000000002</c:v>
                </c:pt>
                <c:pt idx="5">
                  <c:v>0.32200000000000001</c:v>
                </c:pt>
                <c:pt idx="6">
                  <c:v>0.309</c:v>
                </c:pt>
                <c:pt idx="7">
                  <c:v>0.29799999999999999</c:v>
                </c:pt>
                <c:pt idx="8">
                  <c:v>0.33900000000000002</c:v>
                </c:pt>
                <c:pt idx="9">
                  <c:v>0.32700000000000001</c:v>
                </c:pt>
                <c:pt idx="10">
                  <c:v>0.34200000000000003</c:v>
                </c:pt>
                <c:pt idx="11">
                  <c:v>0.36</c:v>
                </c:pt>
                <c:pt idx="12">
                  <c:v>0.376</c:v>
                </c:pt>
                <c:pt idx="13">
                  <c:v>0.27500000000000002</c:v>
                </c:pt>
                <c:pt idx="14">
                  <c:v>0.28999999999999998</c:v>
                </c:pt>
                <c:pt idx="15">
                  <c:v>0.29599999999999999</c:v>
                </c:pt>
                <c:pt idx="16">
                  <c:v>0.26300000000000001</c:v>
                </c:pt>
                <c:pt idx="17">
                  <c:v>0.38600000000000001</c:v>
                </c:pt>
                <c:pt idx="18">
                  <c:v>0.25600000000000001</c:v>
                </c:pt>
                <c:pt idx="19">
                  <c:v>0.25</c:v>
                </c:pt>
                <c:pt idx="20">
                  <c:v>0.224</c:v>
                </c:pt>
                <c:pt idx="21">
                  <c:v>0.11</c:v>
                </c:pt>
                <c:pt idx="22">
                  <c:v>0.104</c:v>
                </c:pt>
                <c:pt idx="23">
                  <c:v>0.121</c:v>
                </c:pt>
                <c:pt idx="24">
                  <c:v>0.1</c:v>
                </c:pt>
                <c:pt idx="25">
                  <c:v>9.9000000000000005E-2</c:v>
                </c:pt>
                <c:pt idx="26">
                  <c:v>9.9000000000000005E-2</c:v>
                </c:pt>
                <c:pt idx="27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3-4808-9B25-E3D86D81E06F}"/>
            </c:ext>
          </c:extLst>
        </c:ser>
        <c:ser>
          <c:idx val="1"/>
          <c:order val="1"/>
          <c:tx>
            <c:strRef>
              <c:f>'Effet rebond'!$J$6</c:f>
              <c:strCache>
                <c:ptCount val="1"/>
                <c:pt idx="0">
                  <c:v>Rebound heater Heating (TWh/year)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rebond'!$L$6:$AM$6</c:f>
              <c:numCache>
                <c:formatCode>0.00</c:formatCode>
                <c:ptCount val="28"/>
                <c:pt idx="0">
                  <c:v>0</c:v>
                </c:pt>
                <c:pt idx="1">
                  <c:v>0.108</c:v>
                </c:pt>
                <c:pt idx="2">
                  <c:v>0</c:v>
                </c:pt>
                <c:pt idx="3">
                  <c:v>0.16900000000000001</c:v>
                </c:pt>
                <c:pt idx="4">
                  <c:v>0.121</c:v>
                </c:pt>
                <c:pt idx="5">
                  <c:v>0.26900000000000002</c:v>
                </c:pt>
                <c:pt idx="6">
                  <c:v>0.443</c:v>
                </c:pt>
                <c:pt idx="7">
                  <c:v>0.60899999999999999</c:v>
                </c:pt>
                <c:pt idx="8">
                  <c:v>0.36599999999999999</c:v>
                </c:pt>
                <c:pt idx="9">
                  <c:v>0.55500000000000005</c:v>
                </c:pt>
                <c:pt idx="10">
                  <c:v>0.49099999999999999</c:v>
                </c:pt>
                <c:pt idx="11">
                  <c:v>0.40899999999999997</c:v>
                </c:pt>
                <c:pt idx="12">
                  <c:v>0.33700000000000002</c:v>
                </c:pt>
                <c:pt idx="13">
                  <c:v>0.27100000000000002</c:v>
                </c:pt>
                <c:pt idx="14">
                  <c:v>0.16400000000000001</c:v>
                </c:pt>
                <c:pt idx="15">
                  <c:v>0.109</c:v>
                </c:pt>
                <c:pt idx="16">
                  <c:v>5.6000000000000001E-2</c:v>
                </c:pt>
                <c:pt idx="17">
                  <c:v>0</c:v>
                </c:pt>
                <c:pt idx="18">
                  <c:v>3.2000000000000001E-2</c:v>
                </c:pt>
                <c:pt idx="19">
                  <c:v>3.1E-2</c:v>
                </c:pt>
                <c:pt idx="20">
                  <c:v>3.1E-2</c:v>
                </c:pt>
                <c:pt idx="21">
                  <c:v>3.1E-2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3-4808-9B25-E3D86D81E06F}"/>
            </c:ext>
          </c:extLst>
        </c:ser>
        <c:ser>
          <c:idx val="2"/>
          <c:order val="2"/>
          <c:tx>
            <c:strRef>
              <c:f>'Effet rebond'!$J$7</c:f>
              <c:strCache>
                <c:ptCount val="1"/>
                <c:pt idx="0">
                  <c:v>Rebound heater Natural gas (TWh/year)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rebond'!$L$7:$AM$7</c:f>
              <c:numCache>
                <c:formatCode>0.00</c:formatCode>
                <c:ptCount val="28"/>
                <c:pt idx="0">
                  <c:v>0</c:v>
                </c:pt>
                <c:pt idx="1">
                  <c:v>2.4E-2</c:v>
                </c:pt>
                <c:pt idx="2">
                  <c:v>3.5000000000000003E-2</c:v>
                </c:pt>
                <c:pt idx="3">
                  <c:v>0.03</c:v>
                </c:pt>
                <c:pt idx="4">
                  <c:v>2.8000000000000001E-2</c:v>
                </c:pt>
                <c:pt idx="5">
                  <c:v>2.4E-2</c:v>
                </c:pt>
                <c:pt idx="6">
                  <c:v>2.1000000000000001E-2</c:v>
                </c:pt>
                <c:pt idx="7">
                  <c:v>1.7999999999999999E-2</c:v>
                </c:pt>
                <c:pt idx="8">
                  <c:v>1.7999999999999999E-2</c:v>
                </c:pt>
                <c:pt idx="9">
                  <c:v>1.6E-2</c:v>
                </c:pt>
                <c:pt idx="10">
                  <c:v>1.4999999999999999E-2</c:v>
                </c:pt>
                <c:pt idx="11">
                  <c:v>1.4E-2</c:v>
                </c:pt>
                <c:pt idx="12">
                  <c:v>1.4E-2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3-4808-9B25-E3D86D81E06F}"/>
            </c:ext>
          </c:extLst>
        </c:ser>
        <c:ser>
          <c:idx val="3"/>
          <c:order val="3"/>
          <c:tx>
            <c:strRef>
              <c:f>'Effet rebond'!$J$8</c:f>
              <c:strCache>
                <c:ptCount val="1"/>
                <c:pt idx="0">
                  <c:v>Rebound heater Oil fuel (TWh/year)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rebond'!$L$8:$AM$8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13-4808-9B25-E3D86D81E06F}"/>
            </c:ext>
          </c:extLst>
        </c:ser>
        <c:ser>
          <c:idx val="4"/>
          <c:order val="4"/>
          <c:tx>
            <c:strRef>
              <c:f>'Effet rebond'!$J$9</c:f>
              <c:strCache>
                <c:ptCount val="1"/>
                <c:pt idx="0">
                  <c:v>Rebound heater Wood fuel (TWh/year)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rebond'!$L$9:$AM$9</c:f>
              <c:numCache>
                <c:formatCode>0.00</c:formatCode>
                <c:ptCount val="28"/>
                <c:pt idx="0">
                  <c:v>0</c:v>
                </c:pt>
                <c:pt idx="1">
                  <c:v>7.2999999999999995E-2</c:v>
                </c:pt>
                <c:pt idx="2">
                  <c:v>4.3999999999999997E-2</c:v>
                </c:pt>
                <c:pt idx="3">
                  <c:v>4.2999999999999997E-2</c:v>
                </c:pt>
                <c:pt idx="4">
                  <c:v>4.7E-2</c:v>
                </c:pt>
                <c:pt idx="5">
                  <c:v>4.7E-2</c:v>
                </c:pt>
                <c:pt idx="6">
                  <c:v>4.7E-2</c:v>
                </c:pt>
                <c:pt idx="7">
                  <c:v>4.7E-2</c:v>
                </c:pt>
                <c:pt idx="8">
                  <c:v>4.8000000000000001E-2</c:v>
                </c:pt>
                <c:pt idx="9">
                  <c:v>4.9000000000000002E-2</c:v>
                </c:pt>
                <c:pt idx="10">
                  <c:v>4.9000000000000002E-2</c:v>
                </c:pt>
                <c:pt idx="11">
                  <c:v>0.05</c:v>
                </c:pt>
                <c:pt idx="12">
                  <c:v>5.0999999999999997E-2</c:v>
                </c:pt>
                <c:pt idx="13">
                  <c:v>3.4000000000000002E-2</c:v>
                </c:pt>
                <c:pt idx="14">
                  <c:v>3.5000000000000003E-2</c:v>
                </c:pt>
                <c:pt idx="15">
                  <c:v>3.5999999999999997E-2</c:v>
                </c:pt>
                <c:pt idx="16">
                  <c:v>3.2000000000000001E-2</c:v>
                </c:pt>
                <c:pt idx="17">
                  <c:v>4.5999999999999999E-2</c:v>
                </c:pt>
                <c:pt idx="18">
                  <c:v>3.1E-2</c:v>
                </c:pt>
                <c:pt idx="19">
                  <c:v>3.1E-2</c:v>
                </c:pt>
                <c:pt idx="20">
                  <c:v>2.8000000000000001E-2</c:v>
                </c:pt>
                <c:pt idx="21">
                  <c:v>1.4E-2</c:v>
                </c:pt>
                <c:pt idx="22">
                  <c:v>1.2999999999999999E-2</c:v>
                </c:pt>
                <c:pt idx="23">
                  <c:v>1.6E-2</c:v>
                </c:pt>
                <c:pt idx="24">
                  <c:v>1.2999999999999999E-2</c:v>
                </c:pt>
                <c:pt idx="25">
                  <c:v>1.2999999999999999E-2</c:v>
                </c:pt>
                <c:pt idx="26">
                  <c:v>1.2999999999999999E-2</c:v>
                </c:pt>
                <c:pt idx="27">
                  <c:v>1.2999999999999999E-2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13-4808-9B25-E3D86D81E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329407"/>
        <c:axId val="2113331903"/>
      </c:areaChart>
      <c:catAx>
        <c:axId val="2113329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3331903"/>
        <c:crosses val="autoZero"/>
        <c:auto val="1"/>
        <c:lblAlgn val="ctr"/>
        <c:lblOffset val="100"/>
        <c:noMultiLvlLbl val="0"/>
      </c:catAx>
      <c:valAx>
        <c:axId val="211333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3329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Effet</a:t>
            </a:r>
            <a:r>
              <a:rPr lang="fr-FR" baseline="0"/>
              <a:t> rebond dû à l'isolation selon le type de chauffage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'Effet rebond'!$J$11</c:f>
              <c:strCache>
                <c:ptCount val="1"/>
                <c:pt idx="0">
                  <c:v>Rebound insulation Electricity (TWh/year)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rebond'!$L$11:$AM$11</c:f>
              <c:numCache>
                <c:formatCode>0.00</c:formatCode>
                <c:ptCount val="28"/>
                <c:pt idx="0">
                  <c:v>0</c:v>
                </c:pt>
                <c:pt idx="1">
                  <c:v>0.108</c:v>
                </c:pt>
                <c:pt idx="2">
                  <c:v>0.06</c:v>
                </c:pt>
                <c:pt idx="3">
                  <c:v>8.5000000000000006E-2</c:v>
                </c:pt>
                <c:pt idx="4">
                  <c:v>7.9000000000000001E-2</c:v>
                </c:pt>
                <c:pt idx="5">
                  <c:v>6.6000000000000003E-2</c:v>
                </c:pt>
                <c:pt idx="6">
                  <c:v>5.5E-2</c:v>
                </c:pt>
                <c:pt idx="7">
                  <c:v>7.1999999999999995E-2</c:v>
                </c:pt>
                <c:pt idx="8">
                  <c:v>0.08</c:v>
                </c:pt>
                <c:pt idx="9">
                  <c:v>7.2999999999999995E-2</c:v>
                </c:pt>
                <c:pt idx="10">
                  <c:v>6.4000000000000001E-2</c:v>
                </c:pt>
                <c:pt idx="11">
                  <c:v>5.7000000000000002E-2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6.6000000000000003E-2</c:v>
                </c:pt>
                <c:pt idx="15">
                  <c:v>5.7000000000000002E-2</c:v>
                </c:pt>
                <c:pt idx="16">
                  <c:v>0.05</c:v>
                </c:pt>
                <c:pt idx="17">
                  <c:v>5.1999999999999998E-2</c:v>
                </c:pt>
                <c:pt idx="18">
                  <c:v>4.5999999999999999E-2</c:v>
                </c:pt>
                <c:pt idx="19">
                  <c:v>4.1000000000000002E-2</c:v>
                </c:pt>
                <c:pt idx="20">
                  <c:v>3.4000000000000002E-2</c:v>
                </c:pt>
                <c:pt idx="21">
                  <c:v>3.2000000000000001E-2</c:v>
                </c:pt>
                <c:pt idx="22">
                  <c:v>0.03</c:v>
                </c:pt>
                <c:pt idx="23">
                  <c:v>2.8000000000000001E-2</c:v>
                </c:pt>
                <c:pt idx="24">
                  <c:v>2.5999999999999999E-2</c:v>
                </c:pt>
                <c:pt idx="25">
                  <c:v>2.4E-2</c:v>
                </c:pt>
                <c:pt idx="26">
                  <c:v>2.3E-2</c:v>
                </c:pt>
                <c:pt idx="27">
                  <c:v>2.1999999999999999E-2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6-4663-A686-1C2D8074B605}"/>
            </c:ext>
          </c:extLst>
        </c:ser>
        <c:ser>
          <c:idx val="1"/>
          <c:order val="1"/>
          <c:tx>
            <c:strRef>
              <c:f>'Effet rebond'!$J$12</c:f>
              <c:strCache>
                <c:ptCount val="1"/>
                <c:pt idx="0">
                  <c:v>Rebound insulation Heating (TWh/year)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rebond'!$L$12:$AM$12</c:f>
              <c:numCache>
                <c:formatCode>0.00</c:formatCode>
                <c:ptCount val="28"/>
                <c:pt idx="0">
                  <c:v>0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1.6E-2</c:v>
                </c:pt>
                <c:pt idx="7">
                  <c:v>1.7999999999999999E-2</c:v>
                </c:pt>
                <c:pt idx="8">
                  <c:v>4.2000000000000003E-2</c:v>
                </c:pt>
                <c:pt idx="9">
                  <c:v>4.2999999999999997E-2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4.5999999999999999E-2</c:v>
                </c:pt>
                <c:pt idx="13">
                  <c:v>5.6000000000000001E-2</c:v>
                </c:pt>
                <c:pt idx="14">
                  <c:v>7.2999999999999995E-2</c:v>
                </c:pt>
                <c:pt idx="15">
                  <c:v>7.0999999999999994E-2</c:v>
                </c:pt>
                <c:pt idx="16">
                  <c:v>7.1999999999999995E-2</c:v>
                </c:pt>
                <c:pt idx="17">
                  <c:v>7.3999999999999996E-2</c:v>
                </c:pt>
                <c:pt idx="18">
                  <c:v>7.0999999999999994E-2</c:v>
                </c:pt>
                <c:pt idx="19">
                  <c:v>6.8000000000000005E-2</c:v>
                </c:pt>
                <c:pt idx="20">
                  <c:v>0.06</c:v>
                </c:pt>
                <c:pt idx="21">
                  <c:v>5.8999999999999997E-2</c:v>
                </c:pt>
                <c:pt idx="22">
                  <c:v>5.5E-2</c:v>
                </c:pt>
                <c:pt idx="23">
                  <c:v>5.0999999999999997E-2</c:v>
                </c:pt>
                <c:pt idx="24">
                  <c:v>4.8000000000000001E-2</c:v>
                </c:pt>
                <c:pt idx="25">
                  <c:v>4.4999999999999998E-2</c:v>
                </c:pt>
                <c:pt idx="26">
                  <c:v>4.2000000000000003E-2</c:v>
                </c:pt>
                <c:pt idx="27">
                  <c:v>3.9E-2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16-4663-A686-1C2D8074B605}"/>
            </c:ext>
          </c:extLst>
        </c:ser>
        <c:ser>
          <c:idx val="2"/>
          <c:order val="2"/>
          <c:tx>
            <c:strRef>
              <c:f>'Effet rebond'!$J$13</c:f>
              <c:strCache>
                <c:ptCount val="1"/>
                <c:pt idx="0">
                  <c:v>Rebound insulation Natural gas (TWh/year)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rebond'!$L$13:$AM$13</c:f>
              <c:numCache>
                <c:formatCode>0.00</c:formatCode>
                <c:ptCount val="28"/>
                <c:pt idx="0">
                  <c:v>0</c:v>
                </c:pt>
                <c:pt idx="1">
                  <c:v>0.108</c:v>
                </c:pt>
                <c:pt idx="2">
                  <c:v>7.0000000000000007E-2</c:v>
                </c:pt>
                <c:pt idx="3">
                  <c:v>0.111</c:v>
                </c:pt>
                <c:pt idx="4">
                  <c:v>0.12</c:v>
                </c:pt>
                <c:pt idx="5">
                  <c:v>0.11700000000000001</c:v>
                </c:pt>
                <c:pt idx="6">
                  <c:v>0.107</c:v>
                </c:pt>
                <c:pt idx="7">
                  <c:v>0.14000000000000001</c:v>
                </c:pt>
                <c:pt idx="8">
                  <c:v>0.20100000000000001</c:v>
                </c:pt>
                <c:pt idx="9">
                  <c:v>0.193</c:v>
                </c:pt>
                <c:pt idx="10">
                  <c:v>0.17100000000000001</c:v>
                </c:pt>
                <c:pt idx="11">
                  <c:v>0.152</c:v>
                </c:pt>
                <c:pt idx="12">
                  <c:v>0.13400000000000001</c:v>
                </c:pt>
                <c:pt idx="13">
                  <c:v>0.13200000000000001</c:v>
                </c:pt>
                <c:pt idx="14">
                  <c:v>0.156</c:v>
                </c:pt>
                <c:pt idx="15">
                  <c:v>0.13300000000000001</c:v>
                </c:pt>
                <c:pt idx="16">
                  <c:v>0.11700000000000001</c:v>
                </c:pt>
                <c:pt idx="17">
                  <c:v>0.22900000000000001</c:v>
                </c:pt>
                <c:pt idx="18">
                  <c:v>9.2999999999999999E-2</c:v>
                </c:pt>
                <c:pt idx="19">
                  <c:v>8.3000000000000004E-2</c:v>
                </c:pt>
                <c:pt idx="20">
                  <c:v>6.9000000000000006E-2</c:v>
                </c:pt>
                <c:pt idx="21">
                  <c:v>6.4000000000000001E-2</c:v>
                </c:pt>
                <c:pt idx="22">
                  <c:v>5.8000000000000003E-2</c:v>
                </c:pt>
                <c:pt idx="23">
                  <c:v>5.1999999999999998E-2</c:v>
                </c:pt>
                <c:pt idx="24">
                  <c:v>4.7E-2</c:v>
                </c:pt>
                <c:pt idx="25">
                  <c:v>4.2999999999999997E-2</c:v>
                </c:pt>
                <c:pt idx="26">
                  <c:v>3.7999999999999999E-2</c:v>
                </c:pt>
                <c:pt idx="27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16-4663-A686-1C2D8074B605}"/>
            </c:ext>
          </c:extLst>
        </c:ser>
        <c:ser>
          <c:idx val="3"/>
          <c:order val="3"/>
          <c:tx>
            <c:strRef>
              <c:f>'Effet rebond'!$J$14</c:f>
              <c:strCache>
                <c:ptCount val="1"/>
                <c:pt idx="0">
                  <c:v>Rebound insulation Oil fuel (TWh/year)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rebond'!$L$14:$AM$14</c:f>
              <c:numCache>
                <c:formatCode>0.00</c:formatCode>
                <c:ptCount val="28"/>
                <c:pt idx="0">
                  <c:v>0</c:v>
                </c:pt>
                <c:pt idx="1">
                  <c:v>0.10100000000000001</c:v>
                </c:pt>
                <c:pt idx="2">
                  <c:v>4.7E-2</c:v>
                </c:pt>
                <c:pt idx="3">
                  <c:v>5.3999999999999999E-2</c:v>
                </c:pt>
                <c:pt idx="4">
                  <c:v>7.5999999999999998E-2</c:v>
                </c:pt>
                <c:pt idx="5">
                  <c:v>6.2E-2</c:v>
                </c:pt>
                <c:pt idx="6">
                  <c:v>4.9000000000000002E-2</c:v>
                </c:pt>
                <c:pt idx="7">
                  <c:v>4.2000000000000003E-2</c:v>
                </c:pt>
                <c:pt idx="8">
                  <c:v>4.2000000000000003E-2</c:v>
                </c:pt>
                <c:pt idx="9">
                  <c:v>3.4000000000000002E-2</c:v>
                </c:pt>
                <c:pt idx="10">
                  <c:v>2.1000000000000001E-2</c:v>
                </c:pt>
                <c:pt idx="11">
                  <c:v>0.01</c:v>
                </c:pt>
                <c:pt idx="12">
                  <c:v>1E-3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16-4663-A686-1C2D8074B605}"/>
            </c:ext>
          </c:extLst>
        </c:ser>
        <c:ser>
          <c:idx val="4"/>
          <c:order val="4"/>
          <c:tx>
            <c:strRef>
              <c:f>'Effet rebond'!$J$15</c:f>
              <c:strCache>
                <c:ptCount val="1"/>
                <c:pt idx="0">
                  <c:v>Rebound insulation Wood fuel (TWh/year)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rebond'!$L$15:$AM$15</c:f>
              <c:numCache>
                <c:formatCode>0.00</c:formatCode>
                <c:ptCount val="28"/>
                <c:pt idx="0">
                  <c:v>0</c:v>
                </c:pt>
                <c:pt idx="1">
                  <c:v>0.02</c:v>
                </c:pt>
                <c:pt idx="2">
                  <c:v>1.0999999999999999E-2</c:v>
                </c:pt>
                <c:pt idx="3">
                  <c:v>1.7999999999999999E-2</c:v>
                </c:pt>
                <c:pt idx="4">
                  <c:v>1.9E-2</c:v>
                </c:pt>
                <c:pt idx="5">
                  <c:v>1.7000000000000001E-2</c:v>
                </c:pt>
                <c:pt idx="6">
                  <c:v>1.6E-2</c:v>
                </c:pt>
                <c:pt idx="7">
                  <c:v>2.8000000000000001E-2</c:v>
                </c:pt>
                <c:pt idx="8">
                  <c:v>0.03</c:v>
                </c:pt>
                <c:pt idx="9">
                  <c:v>2.8000000000000001E-2</c:v>
                </c:pt>
                <c:pt idx="10">
                  <c:v>2.7E-2</c:v>
                </c:pt>
                <c:pt idx="11">
                  <c:v>2.5000000000000001E-2</c:v>
                </c:pt>
                <c:pt idx="12">
                  <c:v>2.3E-2</c:v>
                </c:pt>
                <c:pt idx="13">
                  <c:v>2.3E-2</c:v>
                </c:pt>
                <c:pt idx="14">
                  <c:v>2.7E-2</c:v>
                </c:pt>
                <c:pt idx="15">
                  <c:v>2.5000000000000001E-2</c:v>
                </c:pt>
                <c:pt idx="16">
                  <c:v>2.4E-2</c:v>
                </c:pt>
                <c:pt idx="17">
                  <c:v>3.2000000000000001E-2</c:v>
                </c:pt>
                <c:pt idx="18">
                  <c:v>0.03</c:v>
                </c:pt>
                <c:pt idx="19">
                  <c:v>2.9000000000000001E-2</c:v>
                </c:pt>
                <c:pt idx="20">
                  <c:v>2.7E-2</c:v>
                </c:pt>
                <c:pt idx="21">
                  <c:v>2.5000000000000001E-2</c:v>
                </c:pt>
                <c:pt idx="22">
                  <c:v>2.4E-2</c:v>
                </c:pt>
                <c:pt idx="23">
                  <c:v>2.1999999999999999E-2</c:v>
                </c:pt>
                <c:pt idx="24">
                  <c:v>2.1000000000000001E-2</c:v>
                </c:pt>
                <c:pt idx="25">
                  <c:v>0.02</c:v>
                </c:pt>
                <c:pt idx="26">
                  <c:v>1.7999999999999999E-2</c:v>
                </c:pt>
                <c:pt idx="27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16-4663-A686-1C2D8074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909647"/>
        <c:axId val="1935905487"/>
      </c:areaChart>
      <c:catAx>
        <c:axId val="1935909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905487"/>
        <c:crosses val="autoZero"/>
        <c:auto val="1"/>
        <c:lblAlgn val="ctr"/>
        <c:lblOffset val="100"/>
        <c:noMultiLvlLbl val="0"/>
      </c:catAx>
      <c:valAx>
        <c:axId val="19359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909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9029825554071531"/>
          <c:w val="0.99104165928917787"/>
          <c:h val="0.18687721150104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Effet rebond global (système de chauffage + isolation)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'Effet rebond'!$J$19</c:f>
              <c:strCache>
                <c:ptCount val="1"/>
                <c:pt idx="0">
                  <c:v>Effet rebond - chauffage électrique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rebond'!$L$19:$AM$19</c:f>
              <c:numCache>
                <c:formatCode>0.00</c:formatCode>
                <c:ptCount val="28"/>
                <c:pt idx="0">
                  <c:v>0</c:v>
                </c:pt>
                <c:pt idx="1">
                  <c:v>0.48</c:v>
                </c:pt>
                <c:pt idx="2">
                  <c:v>0.35899999999999999</c:v>
                </c:pt>
                <c:pt idx="3">
                  <c:v>0.371</c:v>
                </c:pt>
                <c:pt idx="4">
                  <c:v>0.41200000000000003</c:v>
                </c:pt>
                <c:pt idx="5">
                  <c:v>0.38800000000000001</c:v>
                </c:pt>
                <c:pt idx="6">
                  <c:v>0.36399999999999999</c:v>
                </c:pt>
                <c:pt idx="7">
                  <c:v>0.37</c:v>
                </c:pt>
                <c:pt idx="8">
                  <c:v>0.41900000000000004</c:v>
                </c:pt>
                <c:pt idx="9">
                  <c:v>0.4</c:v>
                </c:pt>
                <c:pt idx="10">
                  <c:v>0.40600000000000003</c:v>
                </c:pt>
                <c:pt idx="11">
                  <c:v>0.41699999999999998</c:v>
                </c:pt>
                <c:pt idx="12">
                  <c:v>0.42399999999999999</c:v>
                </c:pt>
                <c:pt idx="13">
                  <c:v>0.32300000000000001</c:v>
                </c:pt>
                <c:pt idx="14">
                  <c:v>0.35599999999999998</c:v>
                </c:pt>
                <c:pt idx="15">
                  <c:v>0.35299999999999998</c:v>
                </c:pt>
                <c:pt idx="16">
                  <c:v>0.313</c:v>
                </c:pt>
                <c:pt idx="17">
                  <c:v>0.438</c:v>
                </c:pt>
                <c:pt idx="18">
                  <c:v>0.30199999999999999</c:v>
                </c:pt>
                <c:pt idx="19">
                  <c:v>0.29099999999999998</c:v>
                </c:pt>
                <c:pt idx="20">
                  <c:v>0.25800000000000001</c:v>
                </c:pt>
                <c:pt idx="21">
                  <c:v>0.14200000000000002</c:v>
                </c:pt>
                <c:pt idx="22">
                  <c:v>0.13400000000000001</c:v>
                </c:pt>
                <c:pt idx="23">
                  <c:v>0.14899999999999999</c:v>
                </c:pt>
                <c:pt idx="24">
                  <c:v>0.126</c:v>
                </c:pt>
                <c:pt idx="25">
                  <c:v>0.123</c:v>
                </c:pt>
                <c:pt idx="26">
                  <c:v>0.122</c:v>
                </c:pt>
                <c:pt idx="27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9-43B3-946A-7D69FD15DA76}"/>
            </c:ext>
          </c:extLst>
        </c:ser>
        <c:ser>
          <c:idx val="1"/>
          <c:order val="1"/>
          <c:tx>
            <c:strRef>
              <c:f>'Effet rebond'!$J$20</c:f>
              <c:strCache>
                <c:ptCount val="1"/>
                <c:pt idx="0">
                  <c:v>Effet rebond - réseau de chaleur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rebond'!$L$20:$AM$20</c:f>
              <c:numCache>
                <c:formatCode>0.00</c:formatCode>
                <c:ptCount val="28"/>
                <c:pt idx="0">
                  <c:v>0</c:v>
                </c:pt>
                <c:pt idx="1">
                  <c:v>0.112</c:v>
                </c:pt>
                <c:pt idx="2">
                  <c:v>6.0000000000000001E-3</c:v>
                </c:pt>
                <c:pt idx="3">
                  <c:v>0.17700000000000002</c:v>
                </c:pt>
                <c:pt idx="4">
                  <c:v>0.13100000000000001</c:v>
                </c:pt>
                <c:pt idx="5">
                  <c:v>0.28300000000000003</c:v>
                </c:pt>
                <c:pt idx="6">
                  <c:v>0.45900000000000002</c:v>
                </c:pt>
                <c:pt idx="7">
                  <c:v>0.627</c:v>
                </c:pt>
                <c:pt idx="8">
                  <c:v>0.40799999999999997</c:v>
                </c:pt>
                <c:pt idx="9">
                  <c:v>0.59800000000000009</c:v>
                </c:pt>
                <c:pt idx="10">
                  <c:v>0.53600000000000003</c:v>
                </c:pt>
                <c:pt idx="11">
                  <c:v>0.45399999999999996</c:v>
                </c:pt>
                <c:pt idx="12">
                  <c:v>0.38300000000000001</c:v>
                </c:pt>
                <c:pt idx="13">
                  <c:v>0.32700000000000001</c:v>
                </c:pt>
                <c:pt idx="14">
                  <c:v>0.23699999999999999</c:v>
                </c:pt>
                <c:pt idx="15">
                  <c:v>0.18</c:v>
                </c:pt>
                <c:pt idx="16">
                  <c:v>0.128</c:v>
                </c:pt>
                <c:pt idx="17">
                  <c:v>7.3999999999999996E-2</c:v>
                </c:pt>
                <c:pt idx="18">
                  <c:v>0.10299999999999999</c:v>
                </c:pt>
                <c:pt idx="19">
                  <c:v>9.9000000000000005E-2</c:v>
                </c:pt>
                <c:pt idx="20">
                  <c:v>9.0999999999999998E-2</c:v>
                </c:pt>
                <c:pt idx="21">
                  <c:v>0.09</c:v>
                </c:pt>
                <c:pt idx="22">
                  <c:v>8.4999999999999992E-2</c:v>
                </c:pt>
                <c:pt idx="23">
                  <c:v>8.0999999999999989E-2</c:v>
                </c:pt>
                <c:pt idx="24">
                  <c:v>7.8E-2</c:v>
                </c:pt>
                <c:pt idx="25">
                  <c:v>7.4999999999999997E-2</c:v>
                </c:pt>
                <c:pt idx="26">
                  <c:v>7.2000000000000008E-2</c:v>
                </c:pt>
                <c:pt idx="27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9-43B3-946A-7D69FD15DA76}"/>
            </c:ext>
          </c:extLst>
        </c:ser>
        <c:ser>
          <c:idx val="2"/>
          <c:order val="2"/>
          <c:tx>
            <c:strRef>
              <c:f>'Effet rebond'!$J$21</c:f>
              <c:strCache>
                <c:ptCount val="1"/>
                <c:pt idx="0">
                  <c:v>Effet rebond - gaz naturel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rebond'!$L$21:$AM$21</c:f>
              <c:numCache>
                <c:formatCode>0.00</c:formatCode>
                <c:ptCount val="28"/>
                <c:pt idx="0">
                  <c:v>0</c:v>
                </c:pt>
                <c:pt idx="1">
                  <c:v>0.13200000000000001</c:v>
                </c:pt>
                <c:pt idx="2">
                  <c:v>0.10500000000000001</c:v>
                </c:pt>
                <c:pt idx="3">
                  <c:v>0.14100000000000001</c:v>
                </c:pt>
                <c:pt idx="4">
                  <c:v>0.14799999999999999</c:v>
                </c:pt>
                <c:pt idx="5">
                  <c:v>0.14100000000000001</c:v>
                </c:pt>
                <c:pt idx="6">
                  <c:v>0.128</c:v>
                </c:pt>
                <c:pt idx="7">
                  <c:v>0.158</c:v>
                </c:pt>
                <c:pt idx="8">
                  <c:v>0.219</c:v>
                </c:pt>
                <c:pt idx="9">
                  <c:v>0.20900000000000002</c:v>
                </c:pt>
                <c:pt idx="10">
                  <c:v>0.186</c:v>
                </c:pt>
                <c:pt idx="11">
                  <c:v>0.16600000000000001</c:v>
                </c:pt>
                <c:pt idx="12">
                  <c:v>0.14800000000000002</c:v>
                </c:pt>
                <c:pt idx="13">
                  <c:v>0.13200000000000001</c:v>
                </c:pt>
                <c:pt idx="14">
                  <c:v>0.156</c:v>
                </c:pt>
                <c:pt idx="15">
                  <c:v>0.13300000000000001</c:v>
                </c:pt>
                <c:pt idx="16">
                  <c:v>0.11700000000000001</c:v>
                </c:pt>
                <c:pt idx="17">
                  <c:v>0.22900000000000001</c:v>
                </c:pt>
                <c:pt idx="18">
                  <c:v>9.2999999999999999E-2</c:v>
                </c:pt>
                <c:pt idx="19">
                  <c:v>8.3000000000000004E-2</c:v>
                </c:pt>
                <c:pt idx="20">
                  <c:v>6.9000000000000006E-2</c:v>
                </c:pt>
                <c:pt idx="21">
                  <c:v>6.4000000000000001E-2</c:v>
                </c:pt>
                <c:pt idx="22">
                  <c:v>5.8000000000000003E-2</c:v>
                </c:pt>
                <c:pt idx="23">
                  <c:v>5.1999999999999998E-2</c:v>
                </c:pt>
                <c:pt idx="24">
                  <c:v>4.7E-2</c:v>
                </c:pt>
                <c:pt idx="25">
                  <c:v>4.2999999999999997E-2</c:v>
                </c:pt>
                <c:pt idx="26">
                  <c:v>3.7999999999999999E-2</c:v>
                </c:pt>
                <c:pt idx="27">
                  <c:v>3.4000000000000002E-2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9-43B3-946A-7D69FD15DA76}"/>
            </c:ext>
          </c:extLst>
        </c:ser>
        <c:ser>
          <c:idx val="3"/>
          <c:order val="3"/>
          <c:tx>
            <c:strRef>
              <c:f>'Effet rebond'!$J$22</c:f>
              <c:strCache>
                <c:ptCount val="1"/>
                <c:pt idx="0">
                  <c:v>Effet rebond - fioul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rebond'!$L$22:$AM$22</c:f>
              <c:numCache>
                <c:formatCode>0.00</c:formatCode>
                <c:ptCount val="28"/>
                <c:pt idx="0">
                  <c:v>0</c:v>
                </c:pt>
                <c:pt idx="1">
                  <c:v>0.10100000000000001</c:v>
                </c:pt>
                <c:pt idx="2">
                  <c:v>4.7E-2</c:v>
                </c:pt>
                <c:pt idx="3">
                  <c:v>5.3999999999999999E-2</c:v>
                </c:pt>
                <c:pt idx="4">
                  <c:v>7.5999999999999998E-2</c:v>
                </c:pt>
                <c:pt idx="5">
                  <c:v>6.2E-2</c:v>
                </c:pt>
                <c:pt idx="6">
                  <c:v>4.9000000000000002E-2</c:v>
                </c:pt>
                <c:pt idx="7">
                  <c:v>4.2000000000000003E-2</c:v>
                </c:pt>
                <c:pt idx="8">
                  <c:v>4.2000000000000003E-2</c:v>
                </c:pt>
                <c:pt idx="9">
                  <c:v>3.4000000000000002E-2</c:v>
                </c:pt>
                <c:pt idx="10">
                  <c:v>2.1000000000000001E-2</c:v>
                </c:pt>
                <c:pt idx="11">
                  <c:v>0.01</c:v>
                </c:pt>
                <c:pt idx="12">
                  <c:v>1E-3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49-43B3-946A-7D69FD15DA76}"/>
            </c:ext>
          </c:extLst>
        </c:ser>
        <c:ser>
          <c:idx val="4"/>
          <c:order val="4"/>
          <c:tx>
            <c:strRef>
              <c:f>'Effet rebond'!$J$23</c:f>
              <c:strCache>
                <c:ptCount val="1"/>
                <c:pt idx="0">
                  <c:v>Effet rebond - biomasse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rebond'!$L$23:$AM$23</c:f>
              <c:numCache>
                <c:formatCode>0.00</c:formatCode>
                <c:ptCount val="28"/>
                <c:pt idx="0">
                  <c:v>0</c:v>
                </c:pt>
                <c:pt idx="1">
                  <c:v>9.2999999999999999E-2</c:v>
                </c:pt>
                <c:pt idx="2">
                  <c:v>5.4999999999999993E-2</c:v>
                </c:pt>
                <c:pt idx="3">
                  <c:v>6.0999999999999999E-2</c:v>
                </c:pt>
                <c:pt idx="4">
                  <c:v>6.6000000000000003E-2</c:v>
                </c:pt>
                <c:pt idx="5">
                  <c:v>6.4000000000000001E-2</c:v>
                </c:pt>
                <c:pt idx="6">
                  <c:v>6.3E-2</c:v>
                </c:pt>
                <c:pt idx="7">
                  <c:v>7.4999999999999997E-2</c:v>
                </c:pt>
                <c:pt idx="8">
                  <c:v>7.8E-2</c:v>
                </c:pt>
                <c:pt idx="9">
                  <c:v>7.6999999999999999E-2</c:v>
                </c:pt>
                <c:pt idx="10">
                  <c:v>7.5999999999999998E-2</c:v>
                </c:pt>
                <c:pt idx="11">
                  <c:v>7.5000000000000011E-2</c:v>
                </c:pt>
                <c:pt idx="12">
                  <c:v>7.3999999999999996E-2</c:v>
                </c:pt>
                <c:pt idx="13">
                  <c:v>5.7000000000000002E-2</c:v>
                </c:pt>
                <c:pt idx="14">
                  <c:v>6.2E-2</c:v>
                </c:pt>
                <c:pt idx="15">
                  <c:v>6.0999999999999999E-2</c:v>
                </c:pt>
                <c:pt idx="16">
                  <c:v>5.6000000000000001E-2</c:v>
                </c:pt>
                <c:pt idx="17">
                  <c:v>7.8E-2</c:v>
                </c:pt>
                <c:pt idx="18">
                  <c:v>6.0999999999999999E-2</c:v>
                </c:pt>
                <c:pt idx="19">
                  <c:v>0.06</c:v>
                </c:pt>
                <c:pt idx="20">
                  <c:v>5.5E-2</c:v>
                </c:pt>
                <c:pt idx="21">
                  <c:v>3.9E-2</c:v>
                </c:pt>
                <c:pt idx="22">
                  <c:v>3.6999999999999998E-2</c:v>
                </c:pt>
                <c:pt idx="23">
                  <c:v>3.7999999999999999E-2</c:v>
                </c:pt>
                <c:pt idx="24">
                  <c:v>3.4000000000000002E-2</c:v>
                </c:pt>
                <c:pt idx="25">
                  <c:v>3.3000000000000002E-2</c:v>
                </c:pt>
                <c:pt idx="26">
                  <c:v>3.1E-2</c:v>
                </c:pt>
                <c:pt idx="2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49-43B3-946A-7D69FD15D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342431"/>
        <c:axId val="1831334943"/>
      </c:areaChart>
      <c:catAx>
        <c:axId val="1831342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1334943"/>
        <c:crosses val="autoZero"/>
        <c:auto val="1"/>
        <c:lblAlgn val="ctr"/>
        <c:lblOffset val="100"/>
        <c:noMultiLvlLbl val="0"/>
      </c:catAx>
      <c:valAx>
        <c:axId val="18313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1342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</a:t>
            </a:r>
            <a:r>
              <a:rPr lang="fr-FR" baseline="0"/>
              <a:t> des leviers isolation et système de chauffage sur la consommation et sur les émissions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'Effet rebond'!$J$50</c:f>
              <c:strCache>
                <c:ptCount val="1"/>
                <c:pt idx="0">
                  <c:v>Consumption saving heater (TWh/year)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rebond'!$L$50:$AM$50</c:f>
              <c:numCache>
                <c:formatCode>0.00</c:formatCode>
                <c:ptCount val="28"/>
                <c:pt idx="0">
                  <c:v>0</c:v>
                </c:pt>
                <c:pt idx="1">
                  <c:v>4.0599999999999996</c:v>
                </c:pt>
                <c:pt idx="2">
                  <c:v>3.4630000000000001</c:v>
                </c:pt>
                <c:pt idx="3">
                  <c:v>3.0880000000000001</c:v>
                </c:pt>
                <c:pt idx="4">
                  <c:v>3.5209999999999999</c:v>
                </c:pt>
                <c:pt idx="5">
                  <c:v>3.1739999999999999</c:v>
                </c:pt>
                <c:pt idx="6">
                  <c:v>2.7839999999999998</c:v>
                </c:pt>
                <c:pt idx="7">
                  <c:v>2.419</c:v>
                </c:pt>
                <c:pt idx="8">
                  <c:v>3.073</c:v>
                </c:pt>
                <c:pt idx="9">
                  <c:v>2.6509999999999998</c:v>
                </c:pt>
                <c:pt idx="10">
                  <c:v>2.8210000000000002</c:v>
                </c:pt>
                <c:pt idx="11">
                  <c:v>3.024</c:v>
                </c:pt>
                <c:pt idx="12">
                  <c:v>3.2010000000000001</c:v>
                </c:pt>
                <c:pt idx="13">
                  <c:v>2.1749999999999998</c:v>
                </c:pt>
                <c:pt idx="14">
                  <c:v>2.4129999999999998</c:v>
                </c:pt>
                <c:pt idx="15">
                  <c:v>2.4990000000000001</c:v>
                </c:pt>
                <c:pt idx="16">
                  <c:v>2.1379999999999999</c:v>
                </c:pt>
                <c:pt idx="17">
                  <c:v>2.2719999999999998</c:v>
                </c:pt>
                <c:pt idx="18">
                  <c:v>2.0659999999999998</c:v>
                </c:pt>
                <c:pt idx="19">
                  <c:v>1.9930000000000001</c:v>
                </c:pt>
                <c:pt idx="20">
                  <c:v>1.7210000000000001</c:v>
                </c:pt>
                <c:pt idx="21">
                  <c:v>0.94799999999999995</c:v>
                </c:pt>
                <c:pt idx="22">
                  <c:v>0.81</c:v>
                </c:pt>
                <c:pt idx="23">
                  <c:v>1</c:v>
                </c:pt>
                <c:pt idx="24">
                  <c:v>0.77900000000000003</c:v>
                </c:pt>
                <c:pt idx="25">
                  <c:v>0.78</c:v>
                </c:pt>
                <c:pt idx="26">
                  <c:v>0.79100000000000004</c:v>
                </c:pt>
                <c:pt idx="27">
                  <c:v>0.79300000000000004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C-4DCF-B04A-FE088E9C9367}"/>
            </c:ext>
          </c:extLst>
        </c:ser>
        <c:ser>
          <c:idx val="1"/>
          <c:order val="1"/>
          <c:tx>
            <c:strRef>
              <c:f>'Effet rebond'!$J$51</c:f>
              <c:strCache>
                <c:ptCount val="1"/>
                <c:pt idx="0">
                  <c:v>Consumption saving insulation (TWh/year)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rebond'!$L$51:$AM$51</c:f>
              <c:numCache>
                <c:formatCode>0.00</c:formatCode>
                <c:ptCount val="28"/>
                <c:pt idx="0">
                  <c:v>0</c:v>
                </c:pt>
                <c:pt idx="1">
                  <c:v>1.921</c:v>
                </c:pt>
                <c:pt idx="2">
                  <c:v>1.0389999999999999</c:v>
                </c:pt>
                <c:pt idx="3">
                  <c:v>1.49</c:v>
                </c:pt>
                <c:pt idx="4">
                  <c:v>1.6779999999999999</c:v>
                </c:pt>
                <c:pt idx="5">
                  <c:v>1.484</c:v>
                </c:pt>
                <c:pt idx="6">
                  <c:v>1.2829999999999999</c:v>
                </c:pt>
                <c:pt idx="7">
                  <c:v>1.6140000000000001</c:v>
                </c:pt>
                <c:pt idx="8">
                  <c:v>2.0939999999999999</c:v>
                </c:pt>
                <c:pt idx="9">
                  <c:v>1.996</c:v>
                </c:pt>
                <c:pt idx="10">
                  <c:v>1.7470000000000001</c:v>
                </c:pt>
                <c:pt idx="11">
                  <c:v>1.5229999999999999</c:v>
                </c:pt>
                <c:pt idx="12">
                  <c:v>1.3149999999999999</c:v>
                </c:pt>
                <c:pt idx="13">
                  <c:v>1.353</c:v>
                </c:pt>
                <c:pt idx="14">
                  <c:v>1.627</c:v>
                </c:pt>
                <c:pt idx="15">
                  <c:v>1.452</c:v>
                </c:pt>
                <c:pt idx="16">
                  <c:v>1.3220000000000001</c:v>
                </c:pt>
                <c:pt idx="17">
                  <c:v>2.0579999999999998</c:v>
                </c:pt>
                <c:pt idx="18">
                  <c:v>1.157</c:v>
                </c:pt>
                <c:pt idx="19">
                  <c:v>1.0589999999999999</c:v>
                </c:pt>
                <c:pt idx="20">
                  <c:v>0.90100000000000002</c:v>
                </c:pt>
                <c:pt idx="21">
                  <c:v>0.85499999999999998</c:v>
                </c:pt>
                <c:pt idx="22">
                  <c:v>0.78900000000000003</c:v>
                </c:pt>
                <c:pt idx="23">
                  <c:v>0.72599999999999998</c:v>
                </c:pt>
                <c:pt idx="24">
                  <c:v>0.67100000000000004</c:v>
                </c:pt>
                <c:pt idx="25">
                  <c:v>0.62</c:v>
                </c:pt>
                <c:pt idx="26">
                  <c:v>0.57299999999999995</c:v>
                </c:pt>
                <c:pt idx="27">
                  <c:v>0.52900000000000003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C-4DCF-B04A-FE088E9C9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079823"/>
        <c:axId val="2005085231"/>
      </c:areaChart>
      <c:areaChart>
        <c:grouping val="stacked"/>
        <c:varyColors val="0"/>
        <c:ser>
          <c:idx val="2"/>
          <c:order val="2"/>
          <c:tx>
            <c:strRef>
              <c:f>'Effet rebond'!$J$65</c:f>
              <c:strCache>
                <c:ptCount val="1"/>
                <c:pt idx="0">
                  <c:v>Emission saving heater (MtCO2/year)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rebond'!$L$65:$AM$65</c:f>
              <c:numCache>
                <c:formatCode>0.00</c:formatCode>
                <c:ptCount val="28"/>
                <c:pt idx="0">
                  <c:v>0</c:v>
                </c:pt>
                <c:pt idx="1">
                  <c:v>1.1040000000000001</c:v>
                </c:pt>
                <c:pt idx="2">
                  <c:v>0.89200000000000002</c:v>
                </c:pt>
                <c:pt idx="3">
                  <c:v>0.92</c:v>
                </c:pt>
                <c:pt idx="4">
                  <c:v>0.97499999999999998</c:v>
                </c:pt>
                <c:pt idx="5">
                  <c:v>0.97899999999999998</c:v>
                </c:pt>
                <c:pt idx="6">
                  <c:v>0.98399999999999999</c:v>
                </c:pt>
                <c:pt idx="7">
                  <c:v>0.98399999999999999</c:v>
                </c:pt>
                <c:pt idx="8">
                  <c:v>0.99399999999999999</c:v>
                </c:pt>
                <c:pt idx="9">
                  <c:v>1.0069999999999999</c:v>
                </c:pt>
                <c:pt idx="10">
                  <c:v>1.0069999999999999</c:v>
                </c:pt>
                <c:pt idx="11">
                  <c:v>1.0069999999999999</c:v>
                </c:pt>
                <c:pt idx="12">
                  <c:v>1.0029999999999999</c:v>
                </c:pt>
                <c:pt idx="13">
                  <c:v>0.53900000000000003</c:v>
                </c:pt>
                <c:pt idx="14">
                  <c:v>0.53500000000000003</c:v>
                </c:pt>
                <c:pt idx="15">
                  <c:v>0.52600000000000002</c:v>
                </c:pt>
                <c:pt idx="16">
                  <c:v>0.41099999999999998</c:v>
                </c:pt>
                <c:pt idx="17">
                  <c:v>0.432</c:v>
                </c:pt>
                <c:pt idx="18">
                  <c:v>0.39</c:v>
                </c:pt>
                <c:pt idx="19">
                  <c:v>0.378</c:v>
                </c:pt>
                <c:pt idx="20">
                  <c:v>0.317</c:v>
                </c:pt>
                <c:pt idx="21">
                  <c:v>0.222</c:v>
                </c:pt>
                <c:pt idx="22">
                  <c:v>0.17499999999999999</c:v>
                </c:pt>
                <c:pt idx="23">
                  <c:v>0.23</c:v>
                </c:pt>
                <c:pt idx="24">
                  <c:v>0.17499999999999999</c:v>
                </c:pt>
                <c:pt idx="25">
                  <c:v>0.182</c:v>
                </c:pt>
                <c:pt idx="26">
                  <c:v>0.191</c:v>
                </c:pt>
                <c:pt idx="27">
                  <c:v>0.19700000000000001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0EC-4DCF-B04A-FE088E9C9367}"/>
            </c:ext>
          </c:extLst>
        </c:ser>
        <c:ser>
          <c:idx val="3"/>
          <c:order val="3"/>
          <c:tx>
            <c:strRef>
              <c:f>'Effet rebond'!$J$66</c:f>
              <c:strCache>
                <c:ptCount val="1"/>
                <c:pt idx="0">
                  <c:v>Emission saving insulation (MtCO2/year)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rebond'!$L$66:$AM$66</c:f>
              <c:numCache>
                <c:formatCode>0.00</c:formatCode>
                <c:ptCount val="28"/>
                <c:pt idx="0">
                  <c:v>0</c:v>
                </c:pt>
                <c:pt idx="1">
                  <c:v>0.30299999999999999</c:v>
                </c:pt>
                <c:pt idx="2">
                  <c:v>0.159</c:v>
                </c:pt>
                <c:pt idx="3">
                  <c:v>0.224</c:v>
                </c:pt>
                <c:pt idx="4">
                  <c:v>0.27100000000000002</c:v>
                </c:pt>
                <c:pt idx="5">
                  <c:v>0.23799999999999999</c:v>
                </c:pt>
                <c:pt idx="6">
                  <c:v>0.20399999999999999</c:v>
                </c:pt>
                <c:pt idx="7">
                  <c:v>0.24099999999999999</c:v>
                </c:pt>
                <c:pt idx="8">
                  <c:v>0.312</c:v>
                </c:pt>
                <c:pt idx="9">
                  <c:v>0.29499999999999998</c:v>
                </c:pt>
                <c:pt idx="10">
                  <c:v>0.25</c:v>
                </c:pt>
                <c:pt idx="11">
                  <c:v>0.20899999999999999</c:v>
                </c:pt>
                <c:pt idx="12">
                  <c:v>0.17199999999999999</c:v>
                </c:pt>
                <c:pt idx="13">
                  <c:v>0.17399999999999999</c:v>
                </c:pt>
                <c:pt idx="14">
                  <c:v>0.20300000000000001</c:v>
                </c:pt>
                <c:pt idx="15">
                  <c:v>0.17699999999999999</c:v>
                </c:pt>
                <c:pt idx="16">
                  <c:v>0.157</c:v>
                </c:pt>
                <c:pt idx="17">
                  <c:v>0.28199999999999997</c:v>
                </c:pt>
                <c:pt idx="18">
                  <c:v>0.124</c:v>
                </c:pt>
                <c:pt idx="19">
                  <c:v>0.111</c:v>
                </c:pt>
                <c:pt idx="20">
                  <c:v>9.1999999999999998E-2</c:v>
                </c:pt>
                <c:pt idx="21">
                  <c:v>8.5000000000000006E-2</c:v>
                </c:pt>
                <c:pt idx="22">
                  <c:v>7.6999999999999999E-2</c:v>
                </c:pt>
                <c:pt idx="23">
                  <c:v>6.9000000000000006E-2</c:v>
                </c:pt>
                <c:pt idx="24">
                  <c:v>6.3E-2</c:v>
                </c:pt>
                <c:pt idx="25">
                  <c:v>5.6000000000000001E-2</c:v>
                </c:pt>
                <c:pt idx="26">
                  <c:v>5.0999999999999997E-2</c:v>
                </c:pt>
                <c:pt idx="27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0EC-4DCF-B04A-FE088E9C9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59823"/>
        <c:axId val="2117566479"/>
      </c:areaChart>
      <c:catAx>
        <c:axId val="20050798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5085231"/>
        <c:crosses val="autoZero"/>
        <c:auto val="1"/>
        <c:lblAlgn val="ctr"/>
        <c:lblOffset val="100"/>
        <c:noMultiLvlLbl val="0"/>
      </c:catAx>
      <c:valAx>
        <c:axId val="2005085231"/>
        <c:scaling>
          <c:orientation val="minMax"/>
          <c:max val="7"/>
          <c:min val="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5079823"/>
        <c:crosses val="autoZero"/>
        <c:crossBetween val="midCat"/>
      </c:valAx>
      <c:valAx>
        <c:axId val="2117566479"/>
        <c:scaling>
          <c:orientation val="minMax"/>
          <c:max val="2"/>
          <c:min val="-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MTCO2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7559823"/>
        <c:crosses val="max"/>
        <c:crossBetween val="midCat"/>
      </c:valAx>
      <c:catAx>
        <c:axId val="211755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7566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Economie d'énergie</a:t>
            </a:r>
            <a:r>
              <a:rPr lang="fr-FR" baseline="0"/>
              <a:t> 2050/2017 (297TWh en 2017)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'Effet rebond'!$J$75</c:f>
              <c:strCache>
                <c:ptCount val="1"/>
                <c:pt idx="0">
                  <c:v>Consumption saving EE</c:v>
                </c:pt>
              </c:strCache>
            </c:strRef>
          </c:tx>
          <c:spPr>
            <a:solidFill>
              <a:srgbClr val="FF9E5B"/>
            </a:solidFill>
            <a:ln>
              <a:noFill/>
            </a:ln>
            <a:effectLst/>
          </c:spPr>
          <c:invertIfNegative val="0"/>
          <c:val>
            <c:numRef>
              <c:f>'Effet rebond'!$M$75</c:f>
              <c:numCache>
                <c:formatCode>0%</c:formatCode>
                <c:ptCount val="1"/>
                <c:pt idx="0">
                  <c:v>0.3660206252063673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7-4D6B-8C6E-AE14A9EF0F91}"/>
            </c:ext>
          </c:extLst>
        </c:ser>
        <c:ser>
          <c:idx val="1"/>
          <c:order val="1"/>
          <c:tx>
            <c:strRef>
              <c:f>'Effet rebond'!$J$76</c:f>
              <c:strCache>
                <c:ptCount val="1"/>
                <c:pt idx="0">
                  <c:v>Consumption saving prices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'Effet rebond'!$M$76</c:f>
              <c:numCache>
                <c:formatCode>0%</c:formatCode>
                <c:ptCount val="1"/>
                <c:pt idx="0">
                  <c:v>0.10674657718326948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17-4D6B-8C6E-AE14A9EF0F91}"/>
            </c:ext>
          </c:extLst>
        </c:ser>
        <c:ser>
          <c:idx val="2"/>
          <c:order val="2"/>
          <c:tx>
            <c:strRef>
              <c:f>'Effet rebond'!$J$77</c:f>
              <c:strCache>
                <c:ptCount val="1"/>
                <c:pt idx="0">
                  <c:v>Consumption saving natural replacement</c:v>
                </c:pt>
              </c:strCache>
            </c:strRef>
          </c:tx>
          <c:spPr>
            <a:solidFill>
              <a:srgbClr val="00A08F"/>
            </a:solidFill>
            <a:ln>
              <a:noFill/>
            </a:ln>
            <a:effectLst/>
          </c:spPr>
          <c:invertIfNegative val="0"/>
          <c:val>
            <c:numRef>
              <c:f>'Effet rebond'!$M$77</c:f>
              <c:numCache>
                <c:formatCode>0%</c:formatCode>
                <c:ptCount val="1"/>
                <c:pt idx="0">
                  <c:v>-1.5503459290941345E-2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17-4D6B-8C6E-AE14A9EF0F91}"/>
            </c:ext>
          </c:extLst>
        </c:ser>
        <c:ser>
          <c:idx val="3"/>
          <c:order val="3"/>
          <c:tx>
            <c:strRef>
              <c:f>'Effet rebond'!$J$78</c:f>
              <c:strCache>
                <c:ptCount val="1"/>
                <c:pt idx="0">
                  <c:v>Consumption saving no rebound effect</c:v>
                </c:pt>
              </c:strCache>
            </c:strRef>
          </c:tx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'Effet rebond'!$M$78</c:f>
              <c:numCache>
                <c:formatCode>0%</c:formatCode>
                <c:ptCount val="1"/>
                <c:pt idx="0">
                  <c:v>61.777538029164027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17-4D6B-8C6E-AE14A9EF0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9653679"/>
        <c:axId val="2059656175"/>
      </c:barChart>
      <c:catAx>
        <c:axId val="20596536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9656175"/>
        <c:crosses val="autoZero"/>
        <c:auto val="1"/>
        <c:lblAlgn val="ctr"/>
        <c:lblOffset val="100"/>
        <c:noMultiLvlLbl val="0"/>
      </c:catAx>
      <c:valAx>
        <c:axId val="205965617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6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Consumption</a:t>
            </a:r>
            <a:r>
              <a:rPr lang="fr-FR" baseline="0"/>
              <a:t> saving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'Effet rebond'!$K$49</c:f>
              <c:strCache>
                <c:ptCount val="1"/>
                <c:pt idx="0">
                  <c:v>Consumption saving EE (TWh/year)</c:v>
                </c:pt>
              </c:strCache>
            </c:strRef>
          </c:tx>
          <c:spPr>
            <a:solidFill>
              <a:srgbClr val="FF9E5B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rebond'!$L$49:$AM$49</c:f>
              <c:numCache>
                <c:formatCode>0.00</c:formatCode>
                <c:ptCount val="28"/>
                <c:pt idx="0">
                  <c:v>0</c:v>
                </c:pt>
                <c:pt idx="1">
                  <c:v>7.181</c:v>
                </c:pt>
                <c:pt idx="2">
                  <c:v>4.4820000000000002</c:v>
                </c:pt>
                <c:pt idx="3">
                  <c:v>6.0919999999999996</c:v>
                </c:pt>
                <c:pt idx="4">
                  <c:v>8.8460000000000001</c:v>
                </c:pt>
                <c:pt idx="5">
                  <c:v>6.1020000000000003</c:v>
                </c:pt>
                <c:pt idx="6">
                  <c:v>5.4820000000000002</c:v>
                </c:pt>
                <c:pt idx="7">
                  <c:v>5.3529999999999998</c:v>
                </c:pt>
                <c:pt idx="8">
                  <c:v>6.6630000000000003</c:v>
                </c:pt>
                <c:pt idx="9">
                  <c:v>6.0229999999999997</c:v>
                </c:pt>
                <c:pt idx="10">
                  <c:v>5.8150000000000004</c:v>
                </c:pt>
                <c:pt idx="11">
                  <c:v>5.6849999999999996</c:v>
                </c:pt>
                <c:pt idx="12">
                  <c:v>5.5910000000000002</c:v>
                </c:pt>
                <c:pt idx="13">
                  <c:v>4.4859999999999998</c:v>
                </c:pt>
                <c:pt idx="14">
                  <c:v>4.9880000000000004</c:v>
                </c:pt>
                <c:pt idx="15">
                  <c:v>4.8109999999999999</c:v>
                </c:pt>
                <c:pt idx="16">
                  <c:v>4.2709999999999999</c:v>
                </c:pt>
                <c:pt idx="17">
                  <c:v>10.698</c:v>
                </c:pt>
                <c:pt idx="18">
                  <c:v>-1.149</c:v>
                </c:pt>
                <c:pt idx="19">
                  <c:v>3.7269999999999999</c:v>
                </c:pt>
                <c:pt idx="20">
                  <c:v>3.2850000000000001</c:v>
                </c:pt>
                <c:pt idx="21">
                  <c:v>2.4430000000000001</c:v>
                </c:pt>
                <c:pt idx="22">
                  <c:v>2.2280000000000002</c:v>
                </c:pt>
                <c:pt idx="23">
                  <c:v>2.2989999999999999</c:v>
                </c:pt>
                <c:pt idx="24">
                  <c:v>2.0129999999999999</c:v>
                </c:pt>
                <c:pt idx="25">
                  <c:v>1.954</c:v>
                </c:pt>
                <c:pt idx="26">
                  <c:v>1.909</c:v>
                </c:pt>
                <c:pt idx="27">
                  <c:v>1.857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5-4D39-810F-D725E80F1500}"/>
            </c:ext>
          </c:extLst>
        </c:ser>
        <c:ser>
          <c:idx val="1"/>
          <c:order val="1"/>
          <c:tx>
            <c:strRef>
              <c:f>'Effet rebond'!$J$53</c:f>
              <c:strCache>
                <c:ptCount val="1"/>
                <c:pt idx="0">
                  <c:v>Consumption saving natural replacement (TWh/year) - positif</c:v>
                </c:pt>
              </c:strCache>
            </c:strRef>
          </c:tx>
          <c:spPr>
            <a:solidFill>
              <a:srgbClr val="00A08F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rebond'!$L$53:$AM$53</c:f>
              <c:numCache>
                <c:formatCode>0.00</c:formatCode>
                <c:ptCount val="28"/>
                <c:pt idx="0">
                  <c:v>0</c:v>
                </c:pt>
                <c:pt idx="1">
                  <c:v>-0.56799999999999995</c:v>
                </c:pt>
                <c:pt idx="2">
                  <c:v>-0.58799999999999997</c:v>
                </c:pt>
                <c:pt idx="3">
                  <c:v>-0.57499999999999996</c:v>
                </c:pt>
                <c:pt idx="4">
                  <c:v>-0.55900000000000005</c:v>
                </c:pt>
                <c:pt idx="5">
                  <c:v>-0.54600000000000004</c:v>
                </c:pt>
                <c:pt idx="6">
                  <c:v>-0.53300000000000003</c:v>
                </c:pt>
                <c:pt idx="7">
                  <c:v>-0.372</c:v>
                </c:pt>
                <c:pt idx="8">
                  <c:v>-0.36099999999999999</c:v>
                </c:pt>
                <c:pt idx="9">
                  <c:v>-0.34499999999999997</c:v>
                </c:pt>
                <c:pt idx="10">
                  <c:v>-0.32900000000000001</c:v>
                </c:pt>
                <c:pt idx="11">
                  <c:v>-0.315</c:v>
                </c:pt>
                <c:pt idx="12">
                  <c:v>-0.30099999999999999</c:v>
                </c:pt>
                <c:pt idx="13">
                  <c:v>-0.28799999999999998</c:v>
                </c:pt>
                <c:pt idx="14">
                  <c:v>-0.27200000000000002</c:v>
                </c:pt>
                <c:pt idx="15">
                  <c:v>-0.26100000000000001</c:v>
                </c:pt>
                <c:pt idx="16">
                  <c:v>-0.247</c:v>
                </c:pt>
                <c:pt idx="17">
                  <c:v>0.17</c:v>
                </c:pt>
                <c:pt idx="18">
                  <c:v>0.14299999999999999</c:v>
                </c:pt>
                <c:pt idx="19">
                  <c:v>0.17899999999999999</c:v>
                </c:pt>
                <c:pt idx="20">
                  <c:v>0.19500000000000001</c:v>
                </c:pt>
                <c:pt idx="21">
                  <c:v>0.21099999999999999</c:v>
                </c:pt>
                <c:pt idx="22">
                  <c:v>0.219</c:v>
                </c:pt>
                <c:pt idx="23">
                  <c:v>0.22800000000000001</c:v>
                </c:pt>
                <c:pt idx="24">
                  <c:v>0.23599999999999999</c:v>
                </c:pt>
                <c:pt idx="25">
                  <c:v>0.24399999999999999</c:v>
                </c:pt>
                <c:pt idx="26">
                  <c:v>0.251</c:v>
                </c:pt>
                <c:pt idx="27">
                  <c:v>0.34599999999999997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5-4D39-810F-D725E80F1500}"/>
            </c:ext>
          </c:extLst>
        </c:ser>
        <c:ser>
          <c:idx val="2"/>
          <c:order val="2"/>
          <c:tx>
            <c:strRef>
              <c:f>'Effet rebond'!$J$56</c:f>
              <c:strCache>
                <c:ptCount val="1"/>
                <c:pt idx="0">
                  <c:v>Consumption saving prices effect (TWh/year)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rebond'!$L$56:$AM$56</c:f>
              <c:numCache>
                <c:formatCode>0.00</c:formatCode>
                <c:ptCount val="28"/>
                <c:pt idx="0">
                  <c:v>0</c:v>
                </c:pt>
                <c:pt idx="1">
                  <c:v>1.1990000000000001</c:v>
                </c:pt>
                <c:pt idx="2">
                  <c:v>-0.02</c:v>
                </c:pt>
                <c:pt idx="3">
                  <c:v>1.514</c:v>
                </c:pt>
                <c:pt idx="4">
                  <c:v>3.6480000000000001</c:v>
                </c:pt>
                <c:pt idx="5">
                  <c:v>1.444</c:v>
                </c:pt>
                <c:pt idx="6">
                  <c:v>1.415</c:v>
                </c:pt>
                <c:pt idx="7">
                  <c:v>1.32</c:v>
                </c:pt>
                <c:pt idx="8">
                  <c:v>1.496</c:v>
                </c:pt>
                <c:pt idx="9">
                  <c:v>1.375</c:v>
                </c:pt>
                <c:pt idx="10">
                  <c:v>1.2470000000000001</c:v>
                </c:pt>
                <c:pt idx="11">
                  <c:v>1.139</c:v>
                </c:pt>
                <c:pt idx="12">
                  <c:v>1.0760000000000001</c:v>
                </c:pt>
                <c:pt idx="13">
                  <c:v>0.95799999999999996</c:v>
                </c:pt>
                <c:pt idx="14">
                  <c:v>0.94799999999999995</c:v>
                </c:pt>
                <c:pt idx="15">
                  <c:v>0.86</c:v>
                </c:pt>
                <c:pt idx="16">
                  <c:v>0.81</c:v>
                </c:pt>
                <c:pt idx="17">
                  <c:v>6.3680000000000003</c:v>
                </c:pt>
                <c:pt idx="18">
                  <c:v>-4.3719999999999999</c:v>
                </c:pt>
                <c:pt idx="19">
                  <c:v>0.67500000000000004</c:v>
                </c:pt>
                <c:pt idx="20">
                  <c:v>0.66400000000000003</c:v>
                </c:pt>
                <c:pt idx="21">
                  <c:v>0.63900000000000001</c:v>
                </c:pt>
                <c:pt idx="22">
                  <c:v>0.63</c:v>
                </c:pt>
                <c:pt idx="23">
                  <c:v>0.57299999999999995</c:v>
                </c:pt>
                <c:pt idx="24">
                  <c:v>0.56299999999999994</c:v>
                </c:pt>
                <c:pt idx="25">
                  <c:v>0.55400000000000005</c:v>
                </c:pt>
                <c:pt idx="26">
                  <c:v>0.54500000000000004</c:v>
                </c:pt>
                <c:pt idx="27">
                  <c:v>0.53500000000000003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5-4D39-810F-D725E80F1500}"/>
            </c:ext>
          </c:extLst>
        </c:ser>
        <c:ser>
          <c:idx val="3"/>
          <c:order val="3"/>
          <c:tx>
            <c:strRef>
              <c:f>'Effet rebond'!$J$59</c:f>
              <c:strCache>
                <c:ptCount val="1"/>
                <c:pt idx="0">
                  <c:v>Saving no rebound (TWh/year)</c:v>
                </c:pt>
              </c:strCache>
            </c:strRef>
          </c:tx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'Effet rebond'!$L$1:$AM$1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'Effet rebond'!$L$59:$AM$59</c:f>
              <c:numCache>
                <c:formatCode>0.00</c:formatCode>
                <c:ptCount val="28"/>
                <c:pt idx="0">
                  <c:v>0</c:v>
                </c:pt>
                <c:pt idx="1">
                  <c:v>1159.749</c:v>
                </c:pt>
                <c:pt idx="2">
                  <c:v>639.08699999999999</c:v>
                </c:pt>
                <c:pt idx="3">
                  <c:v>402.43799999999999</c:v>
                </c:pt>
                <c:pt idx="4">
                  <c:v>397.97</c:v>
                </c:pt>
                <c:pt idx="5">
                  <c:v>315.46800000000002</c:v>
                </c:pt>
                <c:pt idx="6">
                  <c:v>239.13</c:v>
                </c:pt>
                <c:pt idx="7">
                  <c:v>251.96199999999999</c:v>
                </c:pt>
                <c:pt idx="8">
                  <c:v>264.12599999999998</c:v>
                </c:pt>
                <c:pt idx="9">
                  <c:v>334.56799999999998</c:v>
                </c:pt>
                <c:pt idx="10">
                  <c:v>358.41399999999999</c:v>
                </c:pt>
                <c:pt idx="11">
                  <c:v>335.25599999999997</c:v>
                </c:pt>
                <c:pt idx="12">
                  <c:v>274.87099999999998</c:v>
                </c:pt>
                <c:pt idx="13">
                  <c:v>299.96199999999999</c:v>
                </c:pt>
                <c:pt idx="14">
                  <c:v>308.98399999999998</c:v>
                </c:pt>
                <c:pt idx="15">
                  <c:v>285.404</c:v>
                </c:pt>
                <c:pt idx="16">
                  <c:v>255.4</c:v>
                </c:pt>
                <c:pt idx="17">
                  <c:v>356.25200000000001</c:v>
                </c:pt>
                <c:pt idx="18">
                  <c:v>224.589</c:v>
                </c:pt>
                <c:pt idx="19">
                  <c:v>214.273</c:v>
                </c:pt>
                <c:pt idx="20">
                  <c:v>134.19999999999999</c:v>
                </c:pt>
                <c:pt idx="21">
                  <c:v>136.29300000000001</c:v>
                </c:pt>
                <c:pt idx="22">
                  <c:v>138.36600000000001</c:v>
                </c:pt>
                <c:pt idx="23">
                  <c:v>140.041</c:v>
                </c:pt>
                <c:pt idx="24">
                  <c:v>141.88200000000001</c:v>
                </c:pt>
                <c:pt idx="25">
                  <c:v>143.71600000000001</c:v>
                </c:pt>
                <c:pt idx="26">
                  <c:v>145.52199999999999</c:v>
                </c:pt>
                <c:pt idx="27">
                  <c:v>147.304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C5-4D39-810F-D725E80F1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30687"/>
        <c:axId val="23132767"/>
      </c:areaChart>
      <c:catAx>
        <c:axId val="23130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132767"/>
        <c:crosses val="autoZero"/>
        <c:auto val="1"/>
        <c:lblAlgn val="ctr"/>
        <c:lblOffset val="100"/>
        <c:noMultiLvlLbl val="0"/>
      </c:catAx>
      <c:valAx>
        <c:axId val="2313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13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Economie d'énergie </a:t>
            </a:r>
            <a:r>
              <a:rPr lang="fr-FR" baseline="0"/>
              <a:t>2050/2017 incluant CC + sobriété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'Effet rebond'!$J$75</c:f>
              <c:strCache>
                <c:ptCount val="1"/>
                <c:pt idx="0">
                  <c:v>Consumption saving EE</c:v>
                </c:pt>
              </c:strCache>
            </c:strRef>
          </c:tx>
          <c:spPr>
            <a:solidFill>
              <a:srgbClr val="FF9E5B"/>
            </a:solidFill>
            <a:ln>
              <a:noFill/>
            </a:ln>
            <a:effectLst/>
          </c:spPr>
          <c:invertIfNegative val="0"/>
          <c:val>
            <c:numRef>
              <c:f>'Effet rebond'!$M$75</c:f>
              <c:numCache>
                <c:formatCode>0%</c:formatCode>
                <c:ptCount val="1"/>
                <c:pt idx="0">
                  <c:v>0.3660206252063673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F-4853-BEC3-8C4A1EFA3CC2}"/>
            </c:ext>
          </c:extLst>
        </c:ser>
        <c:ser>
          <c:idx val="1"/>
          <c:order val="1"/>
          <c:tx>
            <c:strRef>
              <c:f>'Effet rebond'!$J$76</c:f>
              <c:strCache>
                <c:ptCount val="1"/>
                <c:pt idx="0">
                  <c:v>Consumption saving prices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'Effet rebond'!$M$76</c:f>
              <c:numCache>
                <c:formatCode>0%</c:formatCode>
                <c:ptCount val="1"/>
                <c:pt idx="0">
                  <c:v>0.10674657718326948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F-4853-BEC3-8C4A1EFA3CC2}"/>
            </c:ext>
          </c:extLst>
        </c:ser>
        <c:ser>
          <c:idx val="2"/>
          <c:order val="2"/>
          <c:tx>
            <c:strRef>
              <c:f>'Effet rebond'!$J$77</c:f>
              <c:strCache>
                <c:ptCount val="1"/>
                <c:pt idx="0">
                  <c:v>Consumption saving natural replacement</c:v>
                </c:pt>
              </c:strCache>
            </c:strRef>
          </c:tx>
          <c:spPr>
            <a:solidFill>
              <a:srgbClr val="00A08F"/>
            </a:solidFill>
            <a:ln>
              <a:noFill/>
            </a:ln>
            <a:effectLst/>
          </c:spPr>
          <c:invertIfNegative val="0"/>
          <c:val>
            <c:numRef>
              <c:f>'Effet rebond'!$M$77</c:f>
              <c:numCache>
                <c:formatCode>0%</c:formatCode>
                <c:ptCount val="1"/>
                <c:pt idx="0">
                  <c:v>-1.5503459290941345E-2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DF-4853-BEC3-8C4A1EFA3CC2}"/>
            </c:ext>
          </c:extLst>
        </c:ser>
        <c:ser>
          <c:idx val="3"/>
          <c:order val="3"/>
          <c:tx>
            <c:strRef>
              <c:f>'Effet rebond'!$J$80</c:f>
              <c:strCache>
                <c:ptCount val="1"/>
                <c:pt idx="0">
                  <c:v>Consumption saving sufficiency + CC 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'Effet rebond'!$M$80</c:f>
              <c:numCache>
                <c:formatCode>0%</c:formatCode>
                <c:ptCount val="1"/>
                <c:pt idx="0">
                  <c:v>-0.24377058873215648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DF-4853-BEC3-8C4A1EFA3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9653679"/>
        <c:axId val="2059656175"/>
      </c:barChart>
      <c:catAx>
        <c:axId val="20596536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9656175"/>
        <c:crosses val="autoZero"/>
        <c:auto val="1"/>
        <c:lblAlgn val="ctr"/>
        <c:lblOffset val="100"/>
        <c:noMultiLvlLbl val="0"/>
      </c:catAx>
      <c:valAx>
        <c:axId val="205965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96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7" Type="http://schemas.openxmlformats.org/officeDocument/2006/relationships/chart" Target="../charts/chart62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388471</xdr:colOff>
      <xdr:row>18</xdr:row>
      <xdr:rowOff>22412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433294</xdr:colOff>
      <xdr:row>1</xdr:row>
      <xdr:rowOff>0</xdr:rowOff>
    </xdr:from>
    <xdr:to>
      <xdr:col>6</xdr:col>
      <xdr:colOff>4430059</xdr:colOff>
      <xdr:row>17</xdr:row>
      <xdr:rowOff>83991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170543</xdr:rowOff>
    </xdr:from>
    <xdr:to>
      <xdr:col>5</xdr:col>
      <xdr:colOff>644072</xdr:colOff>
      <xdr:row>36</xdr:row>
      <xdr:rowOff>117928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634999</xdr:colOff>
      <xdr:row>19</xdr:row>
      <xdr:rowOff>12700</xdr:rowOff>
    </xdr:from>
    <xdr:to>
      <xdr:col>6</xdr:col>
      <xdr:colOff>4394200</xdr:colOff>
      <xdr:row>37</xdr:row>
      <xdr:rowOff>163285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6349</xdr:colOff>
      <xdr:row>33</xdr:row>
      <xdr:rowOff>14941</xdr:rowOff>
    </xdr:from>
    <xdr:to>
      <xdr:col>5</xdr:col>
      <xdr:colOff>687294</xdr:colOff>
      <xdr:row>55</xdr:row>
      <xdr:rowOff>12700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672299</xdr:colOff>
      <xdr:row>36</xdr:row>
      <xdr:rowOff>173850</xdr:rowOff>
    </xdr:from>
    <xdr:to>
      <xdr:col>7</xdr:col>
      <xdr:colOff>137460</xdr:colOff>
      <xdr:row>60</xdr:row>
      <xdr:rowOff>25187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703156</xdr:colOff>
      <xdr:row>93</xdr:row>
      <xdr:rowOff>36287</xdr:rowOff>
    </xdr:from>
    <xdr:to>
      <xdr:col>6</xdr:col>
      <xdr:colOff>1500909</xdr:colOff>
      <xdr:row>115</xdr:row>
      <xdr:rowOff>169787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222129</xdr:colOff>
      <xdr:row>58</xdr:row>
      <xdr:rowOff>72572</xdr:rowOff>
    </xdr:from>
    <xdr:to>
      <xdr:col>6</xdr:col>
      <xdr:colOff>4308929</xdr:colOff>
      <xdr:row>77</xdr:row>
      <xdr:rowOff>180654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399338</xdr:colOff>
      <xdr:row>152</xdr:row>
      <xdr:rowOff>164353</xdr:rowOff>
    </xdr:from>
    <xdr:to>
      <xdr:col>6</xdr:col>
      <xdr:colOff>2771589</xdr:colOff>
      <xdr:row>179</xdr:row>
      <xdr:rowOff>56097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58</xdr:row>
      <xdr:rowOff>81643</xdr:rowOff>
    </xdr:from>
    <xdr:to>
      <xdr:col>5</xdr:col>
      <xdr:colOff>290286</xdr:colOff>
      <xdr:row>78</xdr:row>
      <xdr:rowOff>57728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571500</xdr:colOff>
      <xdr:row>23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569366</xdr:colOff>
      <xdr:row>0</xdr:row>
      <xdr:rowOff>163286</xdr:rowOff>
    </xdr:from>
    <xdr:to>
      <xdr:col>6</xdr:col>
      <xdr:colOff>4566131</xdr:colOff>
      <xdr:row>23</xdr:row>
      <xdr:rowOff>49092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72571</xdr:colOff>
      <xdr:row>26</xdr:row>
      <xdr:rowOff>88901</xdr:rowOff>
    </xdr:from>
    <xdr:to>
      <xdr:col>5</xdr:col>
      <xdr:colOff>716643</xdr:colOff>
      <xdr:row>50</xdr:row>
      <xdr:rowOff>172358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36820</xdr:colOff>
      <xdr:row>26</xdr:row>
      <xdr:rowOff>130202</xdr:rowOff>
    </xdr:from>
    <xdr:to>
      <xdr:col>6</xdr:col>
      <xdr:colOff>4558021</xdr:colOff>
      <xdr:row>50</xdr:row>
      <xdr:rowOff>112060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56</xdr:row>
      <xdr:rowOff>14942</xdr:rowOff>
    </xdr:from>
    <xdr:to>
      <xdr:col>5</xdr:col>
      <xdr:colOff>680945</xdr:colOff>
      <xdr:row>79</xdr:row>
      <xdr:rowOff>12701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526088</xdr:colOff>
      <xdr:row>56</xdr:row>
      <xdr:rowOff>156883</xdr:rowOff>
    </xdr:from>
    <xdr:to>
      <xdr:col>6</xdr:col>
      <xdr:colOff>4608073</xdr:colOff>
      <xdr:row>79</xdr:row>
      <xdr:rowOff>32657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163792</xdr:colOff>
      <xdr:row>80</xdr:row>
      <xdr:rowOff>30924</xdr:rowOff>
    </xdr:from>
    <xdr:to>
      <xdr:col>6</xdr:col>
      <xdr:colOff>4465170</xdr:colOff>
      <xdr:row>99</xdr:row>
      <xdr:rowOff>135831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194235</xdr:colOff>
      <xdr:row>79</xdr:row>
      <xdr:rowOff>156349</xdr:rowOff>
    </xdr:from>
    <xdr:to>
      <xdr:col>5</xdr:col>
      <xdr:colOff>739587</xdr:colOff>
      <xdr:row>99</xdr:row>
      <xdr:rowOff>132434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607843</xdr:colOff>
      <xdr:row>124</xdr:row>
      <xdr:rowOff>97951</xdr:rowOff>
    </xdr:from>
    <xdr:to>
      <xdr:col>6</xdr:col>
      <xdr:colOff>2946374</xdr:colOff>
      <xdr:row>161</xdr:row>
      <xdr:rowOff>40965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25131</xdr:colOff>
      <xdr:row>189</xdr:row>
      <xdr:rowOff>123291</xdr:rowOff>
    </xdr:from>
    <xdr:to>
      <xdr:col>6</xdr:col>
      <xdr:colOff>1657536</xdr:colOff>
      <xdr:row>214</xdr:row>
      <xdr:rowOff>56163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5B33BCB9-9B98-41E9-AFDF-E08E6B25B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337157</xdr:colOff>
      <xdr:row>225</xdr:row>
      <xdr:rowOff>51629</xdr:rowOff>
    </xdr:from>
    <xdr:to>
      <xdr:col>6</xdr:col>
      <xdr:colOff>4495271</xdr:colOff>
      <xdr:row>243</xdr:row>
      <xdr:rowOff>165490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25D791A2-1FC8-4E11-A9DF-5B55E4843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144930</xdr:colOff>
      <xdr:row>164</xdr:row>
      <xdr:rowOff>67236</xdr:rowOff>
    </xdr:from>
    <xdr:to>
      <xdr:col>6</xdr:col>
      <xdr:colOff>3709147</xdr:colOff>
      <xdr:row>189</xdr:row>
      <xdr:rowOff>10086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48DA6FB6-6D7B-49B1-ADF3-97700BE60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33123</xdr:colOff>
      <xdr:row>243</xdr:row>
      <xdr:rowOff>158432</xdr:rowOff>
    </xdr:from>
    <xdr:to>
      <xdr:col>6</xdr:col>
      <xdr:colOff>4260810</xdr:colOff>
      <xdr:row>265</xdr:row>
      <xdr:rowOff>163663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4B49599-2FD1-42ED-A413-12BF44AB2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4239691</xdr:colOff>
      <xdr:row>244</xdr:row>
      <xdr:rowOff>164687</xdr:rowOff>
    </xdr:from>
    <xdr:to>
      <xdr:col>8</xdr:col>
      <xdr:colOff>850408</xdr:colOff>
      <xdr:row>268</xdr:row>
      <xdr:rowOff>122169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C9CA5007-EBF8-42A1-8E79-D4ACF17BF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0</xdr:rowOff>
    </xdr:from>
    <xdr:to>
      <xdr:col>4</xdr:col>
      <xdr:colOff>173181</xdr:colOff>
      <xdr:row>26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0677399-03AD-4A07-B37D-42659DF89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530369</xdr:colOff>
      <xdr:row>0</xdr:row>
      <xdr:rowOff>184006</xdr:rowOff>
    </xdr:from>
    <xdr:to>
      <xdr:col>6</xdr:col>
      <xdr:colOff>3621393</xdr:colOff>
      <xdr:row>26</xdr:row>
      <xdr:rowOff>165062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0661212-0F8B-47E3-8995-60F5B9E19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1407103</xdr:colOff>
      <xdr:row>28</xdr:row>
      <xdr:rowOff>10823</xdr:rowOff>
    </xdr:from>
    <xdr:to>
      <xdr:col>6</xdr:col>
      <xdr:colOff>1298864</xdr:colOff>
      <xdr:row>49</xdr:row>
      <xdr:rowOff>137822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49FBF3E-20EF-4013-9370-84C999C74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644072</xdr:colOff>
      <xdr:row>29</xdr:row>
      <xdr:rowOff>83457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5440A4-D0D7-4474-B82F-4CAD6E2BE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676776</xdr:colOff>
      <xdr:row>0</xdr:row>
      <xdr:rowOff>150394</xdr:rowOff>
    </xdr:from>
    <xdr:to>
      <xdr:col>8</xdr:col>
      <xdr:colOff>3516563</xdr:colOff>
      <xdr:row>29</xdr:row>
      <xdr:rowOff>4416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2CCB5AD-0392-4C86-BE65-58DFA04F6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501316</xdr:colOff>
      <xdr:row>37</xdr:row>
      <xdr:rowOff>58796</xdr:rowOff>
    </xdr:from>
    <xdr:to>
      <xdr:col>8</xdr:col>
      <xdr:colOff>3220954</xdr:colOff>
      <xdr:row>55</xdr:row>
      <xdr:rowOff>11780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6373BB1-B668-4278-B57F-31AA2BF6D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561974</xdr:colOff>
      <xdr:row>60</xdr:row>
      <xdr:rowOff>33336</xdr:rowOff>
    </xdr:from>
    <xdr:to>
      <xdr:col>8</xdr:col>
      <xdr:colOff>3429000</xdr:colOff>
      <xdr:row>90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DF16F9C-49B1-43AA-A78B-1C8C24334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1731307</xdr:colOff>
      <xdr:row>99</xdr:row>
      <xdr:rowOff>6</xdr:rowOff>
    </xdr:from>
    <xdr:to>
      <xdr:col>18</xdr:col>
      <xdr:colOff>582706</xdr:colOff>
      <xdr:row>124</xdr:row>
      <xdr:rowOff>112058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F0906E4-331B-4100-B16E-989C05F5D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535118</xdr:colOff>
      <xdr:row>144</xdr:row>
      <xdr:rowOff>158821</xdr:rowOff>
    </xdr:from>
    <xdr:to>
      <xdr:col>19</xdr:col>
      <xdr:colOff>695646</xdr:colOff>
      <xdr:row>177</xdr:row>
      <xdr:rowOff>85617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B565767-8ABC-4E4B-AAA7-2F765E6C6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702593</xdr:colOff>
      <xdr:row>27</xdr:row>
      <xdr:rowOff>75691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4C7890-2F35-436A-835B-270D4333D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8</xdr:col>
      <xdr:colOff>3128619</xdr:colOff>
      <xdr:row>29</xdr:row>
      <xdr:rowOff>148535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B7D0F3-259D-4C8C-A87C-50B2A5582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138265</xdr:colOff>
      <xdr:row>33</xdr:row>
      <xdr:rowOff>403412</xdr:rowOff>
    </xdr:from>
    <xdr:to>
      <xdr:col>7</xdr:col>
      <xdr:colOff>728382</xdr:colOff>
      <xdr:row>68</xdr:row>
      <xdr:rowOff>17277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DDC6159-680D-476A-BD67-2A0B4A0C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375162</xdr:colOff>
      <xdr:row>55</xdr:row>
      <xdr:rowOff>160390</xdr:rowOff>
    </xdr:from>
    <xdr:to>
      <xdr:col>9</xdr:col>
      <xdr:colOff>2409825</xdr:colOff>
      <xdr:row>69</xdr:row>
      <xdr:rowOff>28576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A1AF03E-19B7-470A-BA56-87F0C5CC7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414337</xdr:colOff>
      <xdr:row>70</xdr:row>
      <xdr:rowOff>157161</xdr:rowOff>
    </xdr:from>
    <xdr:to>
      <xdr:col>8</xdr:col>
      <xdr:colOff>3457575</xdr:colOff>
      <xdr:row>88</xdr:row>
      <xdr:rowOff>180974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3BB0655-BF59-4CA9-B169-CA64CAF30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319086</xdr:colOff>
      <xdr:row>125</xdr:row>
      <xdr:rowOff>157162</xdr:rowOff>
    </xdr:from>
    <xdr:to>
      <xdr:col>8</xdr:col>
      <xdr:colOff>2952749</xdr:colOff>
      <xdr:row>146</xdr:row>
      <xdr:rowOff>76200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FA41854-3782-4ED9-A82B-C08FAF489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702593</xdr:colOff>
      <xdr:row>27</xdr:row>
      <xdr:rowOff>75691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5BA71B-B5AD-473E-8392-4DA06C8E0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8</xdr:col>
      <xdr:colOff>3128619</xdr:colOff>
      <xdr:row>29</xdr:row>
      <xdr:rowOff>148535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761D190-EB3D-4436-AB46-EAF0CB515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138265</xdr:colOff>
      <xdr:row>33</xdr:row>
      <xdr:rowOff>403412</xdr:rowOff>
    </xdr:from>
    <xdr:to>
      <xdr:col>7</xdr:col>
      <xdr:colOff>728382</xdr:colOff>
      <xdr:row>68</xdr:row>
      <xdr:rowOff>17277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A8F110-861B-476C-B878-B91BD422D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375162</xdr:colOff>
      <xdr:row>55</xdr:row>
      <xdr:rowOff>160390</xdr:rowOff>
    </xdr:from>
    <xdr:to>
      <xdr:col>9</xdr:col>
      <xdr:colOff>2409825</xdr:colOff>
      <xdr:row>69</xdr:row>
      <xdr:rowOff>28576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D3716C2-43BC-401A-9C08-87FFB5828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414337</xdr:colOff>
      <xdr:row>70</xdr:row>
      <xdr:rowOff>157161</xdr:rowOff>
    </xdr:from>
    <xdr:to>
      <xdr:col>8</xdr:col>
      <xdr:colOff>3457575</xdr:colOff>
      <xdr:row>88</xdr:row>
      <xdr:rowOff>180974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0A9D0C3-03BD-48F9-889C-8E0D7123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319086</xdr:colOff>
      <xdr:row>125</xdr:row>
      <xdr:rowOff>157162</xdr:rowOff>
    </xdr:from>
    <xdr:to>
      <xdr:col>8</xdr:col>
      <xdr:colOff>2952749</xdr:colOff>
      <xdr:row>146</xdr:row>
      <xdr:rowOff>76200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EF28BE3-C0C2-4E83-90F5-07BB14DF2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412750</xdr:colOff>
      <xdr:row>151</xdr:row>
      <xdr:rowOff>131233</xdr:rowOff>
    </xdr:from>
    <xdr:to>
      <xdr:col>8</xdr:col>
      <xdr:colOff>2857499</xdr:colOff>
      <xdr:row>178</xdr:row>
      <xdr:rowOff>42333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6CFCDABA-A579-4C94-BADB-409758432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433917</xdr:colOff>
      <xdr:row>178</xdr:row>
      <xdr:rowOff>190499</xdr:rowOff>
    </xdr:from>
    <xdr:to>
      <xdr:col>8</xdr:col>
      <xdr:colOff>2910417</xdr:colOff>
      <xdr:row>199</xdr:row>
      <xdr:rowOff>116416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D91B1CAD-30FD-4380-9882-CD7906243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719665</xdr:colOff>
      <xdr:row>178</xdr:row>
      <xdr:rowOff>4234</xdr:rowOff>
    </xdr:from>
    <xdr:to>
      <xdr:col>22</xdr:col>
      <xdr:colOff>550332</xdr:colOff>
      <xdr:row>199</xdr:row>
      <xdr:rowOff>95250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8C341B05-7F6D-4E8B-8D3F-D0D6C5406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3566583</xdr:colOff>
      <xdr:row>176</xdr:row>
      <xdr:rowOff>184150</xdr:rowOff>
    </xdr:from>
    <xdr:to>
      <xdr:col>12</xdr:col>
      <xdr:colOff>666750</xdr:colOff>
      <xdr:row>199</xdr:row>
      <xdr:rowOff>63500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7D52AA6-200E-4CF2-8ACC-B077FF9DF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17320</xdr:colOff>
      <xdr:row>52</xdr:row>
      <xdr:rowOff>0</xdr:rowOff>
    </xdr:from>
    <xdr:to>
      <xdr:col>8</xdr:col>
      <xdr:colOff>398320</xdr:colOff>
      <xdr:row>71</xdr:row>
      <xdr:rowOff>155863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6250DD-F8E2-4E6E-B36E-60BE3E1BA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190500</xdr:colOff>
      <xdr:row>1</xdr:row>
      <xdr:rowOff>22412</xdr:rowOff>
    </xdr:from>
    <xdr:to>
      <xdr:col>6</xdr:col>
      <xdr:colOff>735852</xdr:colOff>
      <xdr:row>20</xdr:row>
      <xdr:rowOff>188997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B8BB52A-5F07-4B3A-9D1D-C75F09EB0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207308</xdr:colOff>
      <xdr:row>21</xdr:row>
      <xdr:rowOff>174812</xdr:rowOff>
    </xdr:from>
    <xdr:to>
      <xdr:col>7</xdr:col>
      <xdr:colOff>33618</xdr:colOff>
      <xdr:row>41</xdr:row>
      <xdr:rowOff>33618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8F7B41B-D324-4294-981C-62ACA8475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142875</xdr:rowOff>
    </xdr:from>
    <xdr:to>
      <xdr:col>7</xdr:col>
      <xdr:colOff>527505</xdr:colOff>
      <xdr:row>26</xdr:row>
      <xdr:rowOff>75747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F3CCB4D-F2D8-43E0-BF85-AB622D1F1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</xdr:colOff>
      <xdr:row>41</xdr:row>
      <xdr:rowOff>142875</xdr:rowOff>
    </xdr:from>
    <xdr:to>
      <xdr:col>8</xdr:col>
      <xdr:colOff>228600</xdr:colOff>
      <xdr:row>63</xdr:row>
      <xdr:rowOff>52388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20AE994-FA9D-469B-9D40-B096951FCF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8</xdr:col>
      <xdr:colOff>523876</xdr:colOff>
      <xdr:row>88</xdr:row>
      <xdr:rowOff>61914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9CC0F07-084A-4373-8519-030D9EC57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</xdr:row>
      <xdr:rowOff>100011</xdr:rowOff>
    </xdr:from>
    <xdr:to>
      <xdr:col>8</xdr:col>
      <xdr:colOff>1057275</xdr:colOff>
      <xdr:row>20</xdr:row>
      <xdr:rowOff>47624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9F4CC0A-C728-435B-8AFA-AE3A4D01E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328611</xdr:colOff>
      <xdr:row>20</xdr:row>
      <xdr:rowOff>166686</xdr:rowOff>
    </xdr:from>
    <xdr:to>
      <xdr:col>8</xdr:col>
      <xdr:colOff>1038224</xdr:colOff>
      <xdr:row>40</xdr:row>
      <xdr:rowOff>123825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21FC994-9939-4E75-8D77-6F57FD6EC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1143000</xdr:colOff>
      <xdr:row>24</xdr:row>
      <xdr:rowOff>147636</xdr:rowOff>
    </xdr:from>
    <xdr:to>
      <xdr:col>17</xdr:col>
      <xdr:colOff>123825</xdr:colOff>
      <xdr:row>43</xdr:row>
      <xdr:rowOff>57149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502B56E-7393-443A-AF73-CF8D9325A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504825</xdr:colOff>
      <xdr:row>47</xdr:row>
      <xdr:rowOff>52386</xdr:rowOff>
    </xdr:from>
    <xdr:to>
      <xdr:col>8</xdr:col>
      <xdr:colOff>981075</xdr:colOff>
      <xdr:row>76</xdr:row>
      <xdr:rowOff>95249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8A1266F-F994-4770-825E-95BEBC635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18448</xdr:colOff>
      <xdr:row>81</xdr:row>
      <xdr:rowOff>8844</xdr:rowOff>
    </xdr:from>
    <xdr:to>
      <xdr:col>10</xdr:col>
      <xdr:colOff>1523999</xdr:colOff>
      <xdr:row>101</xdr:row>
      <xdr:rowOff>33618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FFA5215-2A98-4C5F-A6F9-376F64EDB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50424</xdr:colOff>
      <xdr:row>81</xdr:row>
      <xdr:rowOff>17930</xdr:rowOff>
    </xdr:from>
    <xdr:to>
      <xdr:col>23</xdr:col>
      <xdr:colOff>549087</xdr:colOff>
      <xdr:row>101</xdr:row>
      <xdr:rowOff>33618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CA42C49-954C-4D85-AC79-8436906DF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717177</xdr:colOff>
      <xdr:row>81</xdr:row>
      <xdr:rowOff>11207</xdr:rowOff>
    </xdr:from>
    <xdr:to>
      <xdr:col>8</xdr:col>
      <xdr:colOff>1348669</xdr:colOff>
      <xdr:row>101</xdr:row>
      <xdr:rowOff>35981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5952934A-892A-4F0C-AABC-428FE4A65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31"/>
  <sheetViews>
    <sheetView topLeftCell="O1" zoomScale="106" zoomScaleNormal="106" workbookViewId="0">
      <pane ySplit="2" topLeftCell="A514" activePane="bottomLeft" state="frozen"/>
      <selection pane="bottomLeft" activeCell="A528" sqref="A521:AC528"/>
    </sheetView>
  </sheetViews>
  <sheetFormatPr baseColWidth="10" defaultRowHeight="15" x14ac:dyDescent="0.25"/>
  <cols>
    <col min="1" max="1" width="73.140625" customWidth="1"/>
  </cols>
  <sheetData>
    <row r="1" spans="1:35" x14ac:dyDescent="0.25">
      <c r="A1" s="115" t="s">
        <v>729</v>
      </c>
      <c r="B1" s="115"/>
      <c r="C1" s="115">
        <v>1.0269999999999999</v>
      </c>
      <c r="D1" s="115">
        <v>0.95899999999999996</v>
      </c>
      <c r="E1" s="115">
        <v>0.88400000000000001</v>
      </c>
      <c r="F1" s="115">
        <v>0.91200000000000003</v>
      </c>
      <c r="G1" s="115">
        <v>0.85399999999999998</v>
      </c>
      <c r="H1" s="115">
        <v>0.78900000000000003</v>
      </c>
      <c r="I1" s="115">
        <v>0.72799999999999998</v>
      </c>
      <c r="J1" s="115">
        <v>0.81499999999999995</v>
      </c>
      <c r="K1" s="115">
        <v>0.75</v>
      </c>
      <c r="L1" s="115">
        <v>0.77</v>
      </c>
      <c r="M1" s="115">
        <v>0.79500000000000004</v>
      </c>
      <c r="N1" s="115">
        <v>0.81599999999999995</v>
      </c>
      <c r="O1" s="115">
        <v>0.70799999999999996</v>
      </c>
      <c r="P1" s="115">
        <v>0.74399999999999999</v>
      </c>
      <c r="Q1" s="115">
        <v>0.76200000000000001</v>
      </c>
      <c r="R1" s="115">
        <v>0.69299999999999995</v>
      </c>
      <c r="S1" s="115">
        <v>0.78700000000000003</v>
      </c>
      <c r="T1" s="115">
        <v>0.70899999999999996</v>
      </c>
      <c r="U1" s="115">
        <v>0.70399999999999996</v>
      </c>
      <c r="V1" s="115">
        <v>0.65300000000000002</v>
      </c>
      <c r="W1" s="115">
        <v>0.84599999999999997</v>
      </c>
      <c r="X1" s="115">
        <v>0.72699999999999998</v>
      </c>
      <c r="Y1" s="115">
        <v>0.77100000000000002</v>
      </c>
      <c r="Z1" s="115">
        <v>0.75</v>
      </c>
      <c r="AA1" s="115">
        <v>0.748</v>
      </c>
      <c r="AB1" s="115">
        <v>0.747</v>
      </c>
      <c r="AC1" s="115">
        <v>0.745</v>
      </c>
      <c r="AD1" s="43"/>
      <c r="AE1" s="43"/>
      <c r="AF1" s="43"/>
      <c r="AG1" s="43"/>
      <c r="AH1" s="43"/>
      <c r="AI1" s="43"/>
    </row>
    <row r="2" spans="1:35" x14ac:dyDescent="0.25">
      <c r="A2" s="115" t="s">
        <v>760</v>
      </c>
      <c r="B2" s="115"/>
      <c r="C2" s="115">
        <v>1.5609999999999999</v>
      </c>
      <c r="D2" s="115">
        <v>1.8140000000000001</v>
      </c>
      <c r="E2" s="115">
        <v>1.673</v>
      </c>
      <c r="F2" s="115">
        <v>1.726</v>
      </c>
      <c r="G2" s="115">
        <v>1.615</v>
      </c>
      <c r="H2" s="115">
        <v>1.492</v>
      </c>
      <c r="I2" s="115">
        <v>1.3779999999999999</v>
      </c>
      <c r="J2" s="115">
        <v>1.542</v>
      </c>
      <c r="K2" s="115">
        <v>1.4179999999999999</v>
      </c>
      <c r="L2" s="115">
        <v>1.456</v>
      </c>
      <c r="M2" s="115">
        <v>1.5029999999999999</v>
      </c>
      <c r="N2" s="115">
        <v>1.544</v>
      </c>
      <c r="O2" s="115">
        <v>1.34</v>
      </c>
      <c r="P2" s="115">
        <v>1.4079999999999999</v>
      </c>
      <c r="Q2" s="115">
        <v>1.4410000000000001</v>
      </c>
      <c r="R2" s="115">
        <v>1.3109999999999999</v>
      </c>
      <c r="S2" s="115">
        <v>1.4890000000000001</v>
      </c>
      <c r="T2" s="115">
        <v>1.341</v>
      </c>
      <c r="U2" s="115">
        <v>1.331</v>
      </c>
      <c r="V2" s="115">
        <v>1.234</v>
      </c>
      <c r="W2" s="115">
        <v>1.6</v>
      </c>
      <c r="X2" s="115">
        <v>1.375</v>
      </c>
      <c r="Y2" s="115">
        <v>1.458</v>
      </c>
      <c r="Z2" s="115">
        <v>1.4179999999999999</v>
      </c>
      <c r="AA2" s="115">
        <v>1.415</v>
      </c>
      <c r="AB2" s="115">
        <v>1.4139999999999999</v>
      </c>
      <c r="AC2" s="115">
        <v>1.409</v>
      </c>
      <c r="AD2" s="43"/>
      <c r="AE2" s="43"/>
      <c r="AF2" s="43"/>
      <c r="AG2" s="43"/>
      <c r="AH2" s="43"/>
      <c r="AI2" s="43"/>
    </row>
    <row r="3" spans="1:35" x14ac:dyDescent="0.25">
      <c r="A3" s="115" t="s">
        <v>725</v>
      </c>
      <c r="B3" s="115"/>
      <c r="C3" s="115">
        <v>0.38600000000000001</v>
      </c>
      <c r="D3" s="115">
        <v>0.216</v>
      </c>
      <c r="E3" s="115">
        <v>0.32900000000000001</v>
      </c>
      <c r="F3" s="115">
        <v>0.35699999999999998</v>
      </c>
      <c r="G3" s="115">
        <v>0.33300000000000002</v>
      </c>
      <c r="H3" s="115">
        <v>0.30399999999999999</v>
      </c>
      <c r="I3" s="115">
        <v>0.379</v>
      </c>
      <c r="J3" s="115">
        <v>0.44800000000000001</v>
      </c>
      <c r="K3" s="115">
        <v>0.43</v>
      </c>
      <c r="L3" s="115">
        <v>0.40100000000000002</v>
      </c>
      <c r="M3" s="115">
        <v>0.38400000000000001</v>
      </c>
      <c r="N3" s="115">
        <v>0.35199999999999998</v>
      </c>
      <c r="O3" s="115">
        <v>0.35499999999999998</v>
      </c>
      <c r="P3" s="115">
        <v>0.47299999999999998</v>
      </c>
      <c r="Q3" s="115">
        <v>0.443</v>
      </c>
      <c r="R3" s="115">
        <v>0.42399999999999999</v>
      </c>
      <c r="S3" s="115">
        <v>0.63200000000000001</v>
      </c>
      <c r="T3" s="115">
        <v>0.46100000000000002</v>
      </c>
      <c r="U3" s="115">
        <v>0.438</v>
      </c>
      <c r="V3" s="115">
        <v>0.38600000000000001</v>
      </c>
      <c r="W3" s="115">
        <v>0.38200000000000001</v>
      </c>
      <c r="X3" s="115">
        <v>0.36599999999999999</v>
      </c>
      <c r="Y3" s="115">
        <v>0.34899999999999998</v>
      </c>
      <c r="Z3" s="115">
        <v>0.33400000000000002</v>
      </c>
      <c r="AA3" s="115">
        <v>0.32</v>
      </c>
      <c r="AB3" s="115">
        <v>0.307</v>
      </c>
      <c r="AC3" s="115">
        <v>0.29599999999999999</v>
      </c>
      <c r="AD3" s="43"/>
      <c r="AE3" s="43"/>
      <c r="AF3" s="43"/>
      <c r="AG3" s="43"/>
      <c r="AH3" s="43"/>
      <c r="AI3" s="43"/>
    </row>
    <row r="4" spans="1:35" x14ac:dyDescent="0.25">
      <c r="A4" s="115" t="s">
        <v>738</v>
      </c>
      <c r="B4" s="115"/>
      <c r="C4" s="115">
        <v>0.55400000000000005</v>
      </c>
      <c r="D4" s="115">
        <v>0.42499999999999999</v>
      </c>
      <c r="E4" s="115">
        <v>0.64800000000000002</v>
      </c>
      <c r="F4" s="115">
        <v>0.70799999999999996</v>
      </c>
      <c r="G4" s="115">
        <v>0.65800000000000003</v>
      </c>
      <c r="H4" s="115">
        <v>0.59799999999999998</v>
      </c>
      <c r="I4" s="115">
        <v>0.75600000000000001</v>
      </c>
      <c r="J4" s="115">
        <v>0.88600000000000001</v>
      </c>
      <c r="K4" s="115">
        <v>0.85099999999999998</v>
      </c>
      <c r="L4" s="115">
        <v>0.79100000000000004</v>
      </c>
      <c r="M4" s="115">
        <v>0.75600000000000001</v>
      </c>
      <c r="N4" s="115">
        <v>0.69</v>
      </c>
      <c r="O4" s="115">
        <v>0.69799999999999995</v>
      </c>
      <c r="P4" s="115">
        <v>0.92200000000000004</v>
      </c>
      <c r="Q4" s="115">
        <v>0.86299999999999999</v>
      </c>
      <c r="R4" s="115">
        <v>0.82499999999999996</v>
      </c>
      <c r="S4" s="115">
        <v>1.238</v>
      </c>
      <c r="T4" s="115">
        <v>0.89500000000000002</v>
      </c>
      <c r="U4" s="115">
        <v>0.84899999999999998</v>
      </c>
      <c r="V4" s="115">
        <v>0.749</v>
      </c>
      <c r="W4" s="115">
        <v>0.74199999999999999</v>
      </c>
      <c r="X4" s="115">
        <v>0.70899999999999996</v>
      </c>
      <c r="Y4" s="115">
        <v>0.67700000000000005</v>
      </c>
      <c r="Z4" s="115">
        <v>0.64800000000000002</v>
      </c>
      <c r="AA4" s="115">
        <v>0.621</v>
      </c>
      <c r="AB4" s="115">
        <v>0.59499999999999997</v>
      </c>
      <c r="AC4" s="115">
        <v>0.57299999999999995</v>
      </c>
      <c r="AD4" s="43"/>
      <c r="AE4" s="43"/>
      <c r="AF4" s="43"/>
      <c r="AG4" s="43"/>
      <c r="AH4" s="43"/>
      <c r="AI4" s="43"/>
    </row>
    <row r="5" spans="1:35" x14ac:dyDescent="0.25">
      <c r="A5" s="115" t="s">
        <v>1248</v>
      </c>
      <c r="B5" s="115"/>
      <c r="C5" s="115">
        <v>315.14600000000002</v>
      </c>
      <c r="D5" s="115">
        <v>192.26900000000001</v>
      </c>
      <c r="E5" s="115">
        <v>657.03899999999999</v>
      </c>
      <c r="F5" s="115">
        <v>1150.5350000000001</v>
      </c>
      <c r="G5" s="115">
        <v>1102.32</v>
      </c>
      <c r="H5" s="115">
        <v>1054.903</v>
      </c>
      <c r="I5" s="115">
        <v>1738.001</v>
      </c>
      <c r="J5" s="115">
        <v>1686.557</v>
      </c>
      <c r="K5" s="115">
        <v>1629.9190000000001</v>
      </c>
      <c r="L5" s="115">
        <v>1575.4490000000001</v>
      </c>
      <c r="M5" s="115">
        <v>1519.2449999999999</v>
      </c>
      <c r="N5" s="115">
        <v>1461.2739999999999</v>
      </c>
      <c r="O5" s="115">
        <v>1319</v>
      </c>
      <c r="P5" s="115">
        <v>1280.992</v>
      </c>
      <c r="Q5" s="115">
        <v>1244.559</v>
      </c>
      <c r="R5" s="115">
        <v>1208.3499999999999</v>
      </c>
      <c r="S5" s="115">
        <v>1011.9930000000001</v>
      </c>
      <c r="T5" s="115">
        <v>980.38499999999999</v>
      </c>
      <c r="U5" s="115">
        <v>958.41600000000005</v>
      </c>
      <c r="V5" s="115">
        <v>937.11599999999999</v>
      </c>
      <c r="W5" s="115">
        <v>922.09299999999996</v>
      </c>
      <c r="X5" s="115">
        <v>905.90200000000004</v>
      </c>
      <c r="Y5" s="115">
        <v>890.52599999999995</v>
      </c>
      <c r="Z5" s="115">
        <v>875.09799999999996</v>
      </c>
      <c r="AA5" s="115">
        <v>860.13300000000004</v>
      </c>
      <c r="AB5" s="115">
        <v>845.54300000000001</v>
      </c>
      <c r="AC5" s="115">
        <v>829.33100000000002</v>
      </c>
      <c r="AD5" s="43"/>
      <c r="AE5" s="43"/>
      <c r="AF5" s="43"/>
      <c r="AG5" s="43"/>
      <c r="AH5" s="43"/>
      <c r="AI5" s="43"/>
    </row>
    <row r="6" spans="1:35" x14ac:dyDescent="0.25">
      <c r="A6" s="115" t="s">
        <v>1249</v>
      </c>
      <c r="B6" s="115"/>
      <c r="C6" s="115">
        <v>439.59300000000002</v>
      </c>
      <c r="D6" s="115">
        <v>706.91499999999996</v>
      </c>
      <c r="E6" s="115">
        <v>706.81100000000004</v>
      </c>
      <c r="F6" s="115">
        <v>1102.271</v>
      </c>
      <c r="G6" s="115">
        <v>1056.133</v>
      </c>
      <c r="H6" s="115">
        <v>1011.3440000000001</v>
      </c>
      <c r="I6" s="115">
        <v>1578.806</v>
      </c>
      <c r="J6" s="115">
        <v>1520.42</v>
      </c>
      <c r="K6" s="115">
        <v>1455.0719999999999</v>
      </c>
      <c r="L6" s="115">
        <v>1395.4780000000001</v>
      </c>
      <c r="M6" s="115">
        <v>1335.212</v>
      </c>
      <c r="N6" s="115">
        <v>1274.442</v>
      </c>
      <c r="O6" s="115">
        <v>1204.806</v>
      </c>
      <c r="P6" s="115">
        <v>1169.087</v>
      </c>
      <c r="Q6" s="115">
        <v>1133.6279999999999</v>
      </c>
      <c r="R6" s="115">
        <v>1099.9190000000001</v>
      </c>
      <c r="S6" s="115">
        <v>1001.562</v>
      </c>
      <c r="T6" s="115">
        <v>961.78099999999995</v>
      </c>
      <c r="U6" s="115">
        <v>945.26</v>
      </c>
      <c r="V6" s="115">
        <v>929.85199999999998</v>
      </c>
      <c r="W6" s="115">
        <v>920.05100000000004</v>
      </c>
      <c r="X6" s="115">
        <v>909.51599999999996</v>
      </c>
      <c r="Y6" s="115">
        <v>899.24</v>
      </c>
      <c r="Z6" s="115">
        <v>889.37699999999995</v>
      </c>
      <c r="AA6" s="115">
        <v>879.85799999999995</v>
      </c>
      <c r="AB6" s="115">
        <v>870.6</v>
      </c>
      <c r="AC6" s="115">
        <v>882.95</v>
      </c>
      <c r="AD6" s="43"/>
      <c r="AE6" s="43"/>
      <c r="AF6" s="43"/>
      <c r="AG6" s="43"/>
      <c r="AH6" s="43"/>
      <c r="AI6" s="43"/>
    </row>
    <row r="7" spans="1:35" x14ac:dyDescent="0.25">
      <c r="A7" s="115" t="s">
        <v>1250</v>
      </c>
      <c r="B7" s="115"/>
      <c r="C7" s="115">
        <v>964.91200000000003</v>
      </c>
      <c r="D7" s="115">
        <v>888.48</v>
      </c>
      <c r="E7" s="115">
        <v>890.1</v>
      </c>
      <c r="F7" s="115">
        <v>1105.174</v>
      </c>
      <c r="G7" s="115">
        <v>1077.5360000000001</v>
      </c>
      <c r="H7" s="115">
        <v>1051.473</v>
      </c>
      <c r="I7" s="115">
        <v>1423.0730000000001</v>
      </c>
      <c r="J7" s="115">
        <v>1374.62</v>
      </c>
      <c r="K7" s="115">
        <v>1344.66</v>
      </c>
      <c r="L7" s="115">
        <v>1297.1030000000001</v>
      </c>
      <c r="M7" s="115">
        <v>1248.914</v>
      </c>
      <c r="N7" s="115">
        <v>1200.1500000000001</v>
      </c>
      <c r="O7" s="115">
        <v>1170.1020000000001</v>
      </c>
      <c r="P7" s="115">
        <v>1145.097</v>
      </c>
      <c r="Q7" s="115">
        <v>1120.354</v>
      </c>
      <c r="R7" s="115">
        <v>1097.9449999999999</v>
      </c>
      <c r="S7" s="115">
        <v>1292.586</v>
      </c>
      <c r="T7" s="115">
        <v>991.75800000000004</v>
      </c>
      <c r="U7" s="115">
        <v>984.56600000000003</v>
      </c>
      <c r="V7" s="115">
        <v>978.57799999999997</v>
      </c>
      <c r="W7" s="115">
        <v>976.91899999999998</v>
      </c>
      <c r="X7" s="115">
        <v>974.95500000000004</v>
      </c>
      <c r="Y7" s="115">
        <v>972.26199999999994</v>
      </c>
      <c r="Z7" s="115">
        <v>970.39099999999996</v>
      </c>
      <c r="AA7" s="115">
        <v>969.15</v>
      </c>
      <c r="AB7" s="115">
        <v>967.72799999999995</v>
      </c>
      <c r="AC7" s="115">
        <v>965.99800000000005</v>
      </c>
      <c r="AD7" s="43"/>
      <c r="AE7" s="43"/>
      <c r="AF7" s="43"/>
      <c r="AG7" s="43"/>
      <c r="AH7" s="43"/>
      <c r="AI7" s="43"/>
    </row>
    <row r="8" spans="1:35" x14ac:dyDescent="0.25">
      <c r="A8" s="115" t="s">
        <v>1251</v>
      </c>
      <c r="B8" s="115"/>
      <c r="C8" s="115">
        <v>931</v>
      </c>
      <c r="D8" s="115">
        <v>933.07799999999997</v>
      </c>
      <c r="E8" s="115">
        <v>932.87199999999996</v>
      </c>
      <c r="F8" s="115">
        <v>1119.797</v>
      </c>
      <c r="G8" s="115">
        <v>1094.433</v>
      </c>
      <c r="H8" s="115">
        <v>1070.8800000000001</v>
      </c>
      <c r="I8" s="115">
        <v>1418.202</v>
      </c>
      <c r="J8" s="115">
        <v>1373.1469999999999</v>
      </c>
      <c r="K8" s="115">
        <v>1363.8219999999999</v>
      </c>
      <c r="L8" s="115">
        <v>1316.2660000000001</v>
      </c>
      <c r="M8" s="115">
        <v>1267.9380000000001</v>
      </c>
      <c r="N8" s="115">
        <v>1219.5830000000001</v>
      </c>
      <c r="O8" s="115">
        <v>1174.8620000000001</v>
      </c>
      <c r="P8" s="115">
        <v>1151.8409999999999</v>
      </c>
      <c r="Q8" s="115">
        <v>1131.279</v>
      </c>
      <c r="R8" s="115">
        <v>1110.723</v>
      </c>
      <c r="S8" s="115">
        <v>1329.547</v>
      </c>
      <c r="T8" s="115">
        <v>989.58799999999997</v>
      </c>
      <c r="U8" s="115">
        <v>983.47799999999995</v>
      </c>
      <c r="V8" s="115">
        <v>978.53</v>
      </c>
      <c r="W8" s="115">
        <v>981.98199999999997</v>
      </c>
      <c r="X8" s="115">
        <v>980.71199999999999</v>
      </c>
      <c r="Y8" s="115">
        <v>978.553</v>
      </c>
      <c r="Z8" s="115">
        <v>977.33600000000001</v>
      </c>
      <c r="AA8" s="115">
        <v>976.39700000000005</v>
      </c>
      <c r="AB8" s="115">
        <v>975.65700000000004</v>
      </c>
      <c r="AC8" s="115">
        <v>974.59199999999998</v>
      </c>
      <c r="AD8" s="43"/>
      <c r="AE8" s="43"/>
      <c r="AF8" s="43"/>
      <c r="AG8" s="43"/>
      <c r="AH8" s="43"/>
      <c r="AI8" s="43"/>
    </row>
    <row r="9" spans="1:35" x14ac:dyDescent="0.25">
      <c r="A9" s="115" t="s">
        <v>1252</v>
      </c>
      <c r="B9" s="115"/>
      <c r="C9" s="115">
        <v>1179.05</v>
      </c>
      <c r="D9" s="115">
        <v>1140.559</v>
      </c>
      <c r="E9" s="115">
        <v>1116.5419999999999</v>
      </c>
      <c r="F9" s="115">
        <v>1248.8969999999999</v>
      </c>
      <c r="G9" s="115">
        <v>1211.6320000000001</v>
      </c>
      <c r="H9" s="115">
        <v>1180.796</v>
      </c>
      <c r="I9" s="115">
        <v>1391.221</v>
      </c>
      <c r="J9" s="115">
        <v>1350.9549999999999</v>
      </c>
      <c r="K9" s="115">
        <v>1430.1679999999999</v>
      </c>
      <c r="L9" s="115">
        <v>1369.1320000000001</v>
      </c>
      <c r="M9" s="115">
        <v>1310.163</v>
      </c>
      <c r="N9" s="115">
        <v>1253.9010000000001</v>
      </c>
      <c r="O9" s="115">
        <v>1186.8679999999999</v>
      </c>
      <c r="P9" s="115">
        <v>1155.482</v>
      </c>
      <c r="Q9" s="115">
        <v>1120.8779999999999</v>
      </c>
      <c r="R9" s="115">
        <v>1088.413</v>
      </c>
      <c r="S9" s="115">
        <v>1332.8389999999999</v>
      </c>
      <c r="T9" s="115">
        <v>1010.196</v>
      </c>
      <c r="U9" s="115">
        <v>1009.614</v>
      </c>
      <c r="V9" s="115">
        <v>1010.5359999999999</v>
      </c>
      <c r="W9" s="115">
        <v>1014.769</v>
      </c>
      <c r="X9" s="115">
        <v>1019.405</v>
      </c>
      <c r="Y9" s="115">
        <v>1021.857</v>
      </c>
      <c r="Z9" s="115">
        <v>1025.829</v>
      </c>
      <c r="AA9" s="115">
        <v>1029.7260000000001</v>
      </c>
      <c r="AB9" s="115">
        <v>1033.4349999999999</v>
      </c>
      <c r="AC9" s="115">
        <v>1036.771</v>
      </c>
      <c r="AD9" s="43"/>
      <c r="AE9" s="43"/>
      <c r="AF9" s="43"/>
      <c r="AG9" s="43"/>
      <c r="AH9" s="43"/>
      <c r="AI9" s="43"/>
    </row>
    <row r="10" spans="1:35" x14ac:dyDescent="0.25">
      <c r="A10" s="115" t="s">
        <v>1253</v>
      </c>
      <c r="B10" s="115"/>
      <c r="C10" s="115">
        <v>815.73800000000006</v>
      </c>
      <c r="D10" s="115">
        <v>1540.5219999999999</v>
      </c>
      <c r="E10" s="115">
        <v>1820.0050000000001</v>
      </c>
      <c r="F10" s="115">
        <v>1779.634</v>
      </c>
      <c r="G10" s="115">
        <v>1732.7049999999999</v>
      </c>
      <c r="H10" s="115">
        <v>1678.654</v>
      </c>
      <c r="I10" s="115">
        <v>1616.6110000000001</v>
      </c>
      <c r="J10" s="115">
        <v>961.85</v>
      </c>
      <c r="K10" s="115">
        <v>939.01800000000003</v>
      </c>
      <c r="L10" s="115">
        <v>910.05700000000002</v>
      </c>
      <c r="M10" s="115">
        <v>877.93499999999995</v>
      </c>
      <c r="N10" s="115">
        <v>842.87400000000002</v>
      </c>
      <c r="O10" s="115">
        <v>822.21500000000003</v>
      </c>
      <c r="P10" s="115">
        <v>570.49199999999996</v>
      </c>
      <c r="Q10" s="115">
        <v>567.46600000000001</v>
      </c>
      <c r="R10" s="115">
        <v>564.84199999999998</v>
      </c>
      <c r="S10" s="115">
        <v>575.24800000000005</v>
      </c>
      <c r="T10" s="115">
        <v>561.30899999999997</v>
      </c>
      <c r="U10" s="115">
        <v>560.83299999999997</v>
      </c>
      <c r="V10" s="115">
        <v>560.65700000000004</v>
      </c>
      <c r="W10" s="115">
        <v>560.92600000000004</v>
      </c>
      <c r="X10" s="115">
        <v>561.18399999999997</v>
      </c>
      <c r="Y10" s="115">
        <v>562.07100000000003</v>
      </c>
      <c r="Z10" s="115">
        <v>562.82500000000005</v>
      </c>
      <c r="AA10" s="115">
        <v>563.89</v>
      </c>
      <c r="AB10" s="115">
        <v>565.17700000000002</v>
      </c>
      <c r="AC10" s="115">
        <v>566.33500000000004</v>
      </c>
      <c r="AD10" s="43"/>
      <c r="AE10" s="43"/>
      <c r="AF10" s="43"/>
      <c r="AG10" s="43"/>
      <c r="AH10" s="43"/>
      <c r="AI10" s="43"/>
    </row>
    <row r="11" spans="1:35" x14ac:dyDescent="0.25">
      <c r="A11" s="115" t="s">
        <v>1254</v>
      </c>
      <c r="B11" s="115"/>
      <c r="C11" s="115">
        <v>947.65499999999997</v>
      </c>
      <c r="D11" s="115">
        <v>1587.5250000000001</v>
      </c>
      <c r="E11" s="115">
        <v>1867.1669999999999</v>
      </c>
      <c r="F11" s="115">
        <v>1814.3720000000001</v>
      </c>
      <c r="G11" s="115">
        <v>1753.16</v>
      </c>
      <c r="H11" s="115">
        <v>1682.8409999999999</v>
      </c>
      <c r="I11" s="115">
        <v>1603.1389999999999</v>
      </c>
      <c r="J11" s="115">
        <v>1023.619</v>
      </c>
      <c r="K11" s="115">
        <v>995.43799999999999</v>
      </c>
      <c r="L11" s="115">
        <v>957.41200000000003</v>
      </c>
      <c r="M11" s="115">
        <v>915.23599999999999</v>
      </c>
      <c r="N11" s="115">
        <v>869.39499999999998</v>
      </c>
      <c r="O11" s="115">
        <v>843.46900000000005</v>
      </c>
      <c r="P11" s="115">
        <v>619.28</v>
      </c>
      <c r="Q11" s="115">
        <v>618.16499999999996</v>
      </c>
      <c r="R11" s="115">
        <v>617.78700000000003</v>
      </c>
      <c r="S11" s="115">
        <v>645.99400000000003</v>
      </c>
      <c r="T11" s="115">
        <v>617.60699999999997</v>
      </c>
      <c r="U11" s="115">
        <v>618.13099999999997</v>
      </c>
      <c r="V11" s="115">
        <v>619.23</v>
      </c>
      <c r="W11" s="115">
        <v>621.44399999999996</v>
      </c>
      <c r="X11" s="115">
        <v>623.45000000000005</v>
      </c>
      <c r="Y11" s="115">
        <v>625.45100000000002</v>
      </c>
      <c r="Z11" s="115">
        <v>627.48900000000003</v>
      </c>
      <c r="AA11" s="115">
        <v>629.62199999999996</v>
      </c>
      <c r="AB11" s="115">
        <v>631.73500000000001</v>
      </c>
      <c r="AC11" s="115">
        <v>636.62300000000005</v>
      </c>
      <c r="AD11" s="43"/>
      <c r="AE11" s="43"/>
      <c r="AF11" s="43"/>
      <c r="AG11" s="43"/>
      <c r="AH11" s="43"/>
      <c r="AI11" s="43"/>
    </row>
    <row r="12" spans="1:35" x14ac:dyDescent="0.25">
      <c r="A12" s="115" t="s">
        <v>1255</v>
      </c>
      <c r="B12" s="115"/>
      <c r="C12" s="115">
        <v>1133.7280000000001</v>
      </c>
      <c r="D12" s="115">
        <v>1524.941</v>
      </c>
      <c r="E12" s="115">
        <v>1871.5429999999999</v>
      </c>
      <c r="F12" s="115">
        <v>1803.4280000000001</v>
      </c>
      <c r="G12" s="115">
        <v>1725.665</v>
      </c>
      <c r="H12" s="115">
        <v>1638.0160000000001</v>
      </c>
      <c r="I12" s="115">
        <v>1541.5139999999999</v>
      </c>
      <c r="J12" s="115">
        <v>1084.4469999999999</v>
      </c>
      <c r="K12" s="115">
        <v>1051.9169999999999</v>
      </c>
      <c r="L12" s="115">
        <v>1002.633</v>
      </c>
      <c r="M12" s="115">
        <v>949.05100000000004</v>
      </c>
      <c r="N12" s="115">
        <v>892.08299999999997</v>
      </c>
      <c r="O12" s="115">
        <v>862.03399999999999</v>
      </c>
      <c r="P12" s="115">
        <v>648.79700000000003</v>
      </c>
      <c r="Q12" s="115">
        <v>651.56600000000003</v>
      </c>
      <c r="R12" s="115">
        <v>654.72500000000002</v>
      </c>
      <c r="S12" s="115">
        <v>720.745</v>
      </c>
      <c r="T12" s="115">
        <v>659.55399999999997</v>
      </c>
      <c r="U12" s="115">
        <v>663.077</v>
      </c>
      <c r="V12" s="115">
        <v>667.13499999999999</v>
      </c>
      <c r="W12" s="115">
        <v>671.61599999999999</v>
      </c>
      <c r="X12" s="115">
        <v>676.90099999999995</v>
      </c>
      <c r="Y12" s="115">
        <v>680.63</v>
      </c>
      <c r="Z12" s="115">
        <v>684.69</v>
      </c>
      <c r="AA12" s="115">
        <v>688.47299999999996</v>
      </c>
      <c r="AB12" s="115">
        <v>691.822</v>
      </c>
      <c r="AC12" s="115">
        <v>694.60500000000002</v>
      </c>
      <c r="AD12" s="43"/>
      <c r="AE12" s="43"/>
      <c r="AF12" s="43"/>
      <c r="AG12" s="43"/>
      <c r="AH12" s="43"/>
      <c r="AI12" s="43"/>
    </row>
    <row r="13" spans="1:35" x14ac:dyDescent="0.25">
      <c r="A13" s="115" t="s">
        <v>1256</v>
      </c>
      <c r="B13" s="115"/>
      <c r="C13" s="115">
        <v>1166.07</v>
      </c>
      <c r="D13" s="115">
        <v>1396.62</v>
      </c>
      <c r="E13" s="115">
        <v>1808.932</v>
      </c>
      <c r="F13" s="115">
        <v>1735.2840000000001</v>
      </c>
      <c r="G13" s="115">
        <v>1652.1020000000001</v>
      </c>
      <c r="H13" s="115">
        <v>1559.635</v>
      </c>
      <c r="I13" s="115">
        <v>1460.2280000000001</v>
      </c>
      <c r="J13" s="115">
        <v>955.23199999999997</v>
      </c>
      <c r="K13" s="115">
        <v>931.90800000000002</v>
      </c>
      <c r="L13" s="115">
        <v>892.16700000000003</v>
      </c>
      <c r="M13" s="115">
        <v>850.04</v>
      </c>
      <c r="N13" s="115">
        <v>806.22299999999996</v>
      </c>
      <c r="O13" s="115">
        <v>783.13499999999999</v>
      </c>
      <c r="P13" s="115">
        <v>621.678</v>
      </c>
      <c r="Q13" s="115">
        <v>624.76</v>
      </c>
      <c r="R13" s="115">
        <v>628.25800000000004</v>
      </c>
      <c r="S13" s="115">
        <v>695.351</v>
      </c>
      <c r="T13" s="115">
        <v>633.23900000000003</v>
      </c>
      <c r="U13" s="115">
        <v>636.84500000000003</v>
      </c>
      <c r="V13" s="115">
        <v>640.92499999999995</v>
      </c>
      <c r="W13" s="115">
        <v>645.47400000000005</v>
      </c>
      <c r="X13" s="115">
        <v>650.28200000000004</v>
      </c>
      <c r="Y13" s="115">
        <v>653.94600000000003</v>
      </c>
      <c r="Z13" s="115">
        <v>658.49300000000005</v>
      </c>
      <c r="AA13" s="115">
        <v>662.18299999999999</v>
      </c>
      <c r="AB13" s="115">
        <v>665.4</v>
      </c>
      <c r="AC13" s="115">
        <v>668.02300000000002</v>
      </c>
      <c r="AD13" s="43"/>
      <c r="AE13" s="43"/>
      <c r="AF13" s="43"/>
      <c r="AG13" s="43"/>
      <c r="AH13" s="43"/>
      <c r="AI13" s="43"/>
    </row>
    <row r="14" spans="1:35" x14ac:dyDescent="0.25">
      <c r="A14" s="115" t="s">
        <v>1257</v>
      </c>
      <c r="B14" s="115"/>
      <c r="C14" s="115">
        <v>994.40800000000002</v>
      </c>
      <c r="D14" s="115">
        <v>1123.2190000000001</v>
      </c>
      <c r="E14" s="115">
        <v>1470.2809999999999</v>
      </c>
      <c r="F14" s="115">
        <v>1398.202</v>
      </c>
      <c r="G14" s="115">
        <v>1318.2529999999999</v>
      </c>
      <c r="H14" s="115">
        <v>1232.566</v>
      </c>
      <c r="I14" s="115">
        <v>1143.434</v>
      </c>
      <c r="J14" s="115">
        <v>785.07299999999998</v>
      </c>
      <c r="K14" s="115">
        <v>781.178</v>
      </c>
      <c r="L14" s="115">
        <v>753.59299999999996</v>
      </c>
      <c r="M14" s="115">
        <v>724.98299999999995</v>
      </c>
      <c r="N14" s="115">
        <v>695.90700000000004</v>
      </c>
      <c r="O14" s="115">
        <v>679.28899999999999</v>
      </c>
      <c r="P14" s="115">
        <v>590.12400000000002</v>
      </c>
      <c r="Q14" s="115">
        <v>595.09400000000005</v>
      </c>
      <c r="R14" s="115">
        <v>600.27499999999998</v>
      </c>
      <c r="S14" s="115">
        <v>681.245</v>
      </c>
      <c r="T14" s="115">
        <v>605.71500000000003</v>
      </c>
      <c r="U14" s="115">
        <v>609.79300000000001</v>
      </c>
      <c r="V14" s="115">
        <v>614.07000000000005</v>
      </c>
      <c r="W14" s="115">
        <v>618.59199999999998</v>
      </c>
      <c r="X14" s="115">
        <v>623.16899999999998</v>
      </c>
      <c r="Y14" s="115">
        <v>626.12</v>
      </c>
      <c r="Z14" s="115">
        <v>629.32500000000005</v>
      </c>
      <c r="AA14" s="115">
        <v>631.96500000000003</v>
      </c>
      <c r="AB14" s="115">
        <v>633.94500000000005</v>
      </c>
      <c r="AC14" s="115">
        <v>635.25199999999995</v>
      </c>
      <c r="AD14" s="43"/>
      <c r="AE14" s="43"/>
      <c r="AF14" s="43"/>
      <c r="AG14" s="43"/>
      <c r="AH14" s="43"/>
      <c r="AI14" s="43"/>
    </row>
    <row r="15" spans="1:35" x14ac:dyDescent="0.25">
      <c r="A15" s="115" t="s">
        <v>1258</v>
      </c>
      <c r="B15" s="115"/>
      <c r="C15" s="115">
        <v>911.18899999999996</v>
      </c>
      <c r="D15" s="115">
        <v>705.13199999999995</v>
      </c>
      <c r="E15" s="115">
        <v>606.1</v>
      </c>
      <c r="F15" s="115">
        <v>606.33000000000004</v>
      </c>
      <c r="G15" s="115">
        <v>572.38099999999997</v>
      </c>
      <c r="H15" s="115">
        <v>545.02200000000005</v>
      </c>
      <c r="I15" s="115">
        <v>553.524</v>
      </c>
      <c r="J15" s="115">
        <v>560.95100000000002</v>
      </c>
      <c r="K15" s="115">
        <v>604.30399999999997</v>
      </c>
      <c r="L15" s="115">
        <v>614.08299999999997</v>
      </c>
      <c r="M15" s="115">
        <v>603.14</v>
      </c>
      <c r="N15" s="115">
        <v>580.16499999999996</v>
      </c>
      <c r="O15" s="115">
        <v>596.44299999999998</v>
      </c>
      <c r="P15" s="115">
        <v>599.822</v>
      </c>
      <c r="Q15" s="115">
        <v>579.803</v>
      </c>
      <c r="R15" s="115">
        <v>556.40899999999999</v>
      </c>
      <c r="S15" s="115">
        <v>602.36400000000003</v>
      </c>
      <c r="T15" s="115">
        <v>534.38699999999994</v>
      </c>
      <c r="U15" s="115">
        <v>527.01900000000001</v>
      </c>
      <c r="V15" s="115">
        <v>474.75900000000001</v>
      </c>
      <c r="W15" s="115">
        <v>476.952</v>
      </c>
      <c r="X15" s="115">
        <v>479.05799999999999</v>
      </c>
      <c r="Y15" s="115">
        <v>480.73200000000003</v>
      </c>
      <c r="Z15" s="115">
        <v>482.49900000000002</v>
      </c>
      <c r="AA15" s="115">
        <v>484.22800000000001</v>
      </c>
      <c r="AB15" s="115">
        <v>485.87900000000002</v>
      </c>
      <c r="AC15" s="115">
        <v>487.45800000000003</v>
      </c>
      <c r="AD15" s="43"/>
      <c r="AE15" s="43"/>
      <c r="AF15" s="43"/>
      <c r="AG15" s="43"/>
      <c r="AH15" s="43"/>
      <c r="AI15" s="43"/>
    </row>
    <row r="16" spans="1:35" x14ac:dyDescent="0.25">
      <c r="A16" s="115" t="s">
        <v>838</v>
      </c>
      <c r="B16" s="115"/>
      <c r="C16" s="115">
        <v>13017926.506999999</v>
      </c>
      <c r="D16" s="115">
        <v>29355934.245999999</v>
      </c>
      <c r="E16" s="115">
        <v>45658620.618000001</v>
      </c>
      <c r="F16" s="115">
        <v>61687448.453000002</v>
      </c>
      <c r="G16" s="115">
        <v>74952718.533999994</v>
      </c>
      <c r="H16" s="115">
        <v>85300962.466999993</v>
      </c>
      <c r="I16" s="115">
        <v>92945658.930000007</v>
      </c>
      <c r="J16" s="115">
        <v>108762072.999</v>
      </c>
      <c r="K16" s="115">
        <v>120707113.337</v>
      </c>
      <c r="L16" s="115">
        <v>131999034.044</v>
      </c>
      <c r="M16" s="115">
        <v>130121655.98199999</v>
      </c>
      <c r="N16" s="115">
        <v>124923775.792</v>
      </c>
      <c r="O16" s="115">
        <v>119043955.398</v>
      </c>
      <c r="P16" s="115">
        <v>121358426.781</v>
      </c>
      <c r="Q16" s="115">
        <v>126373861.89300001</v>
      </c>
      <c r="R16" s="115">
        <v>133171992.359</v>
      </c>
      <c r="S16" s="115">
        <v>144328852.18599999</v>
      </c>
      <c r="T16" s="115">
        <v>145416503.05599999</v>
      </c>
      <c r="U16" s="115">
        <v>150108401.01699999</v>
      </c>
      <c r="V16" s="115">
        <v>154468857.77900001</v>
      </c>
      <c r="W16" s="115">
        <v>158783302.30500001</v>
      </c>
      <c r="X16" s="115">
        <v>161129754.63100001</v>
      </c>
      <c r="Y16" s="115">
        <v>165080948.57300001</v>
      </c>
      <c r="Z16" s="115">
        <v>160279429.31200001</v>
      </c>
      <c r="AA16" s="115">
        <v>155627869.71599999</v>
      </c>
      <c r="AB16" s="115">
        <v>152289742.132</v>
      </c>
      <c r="AC16" s="115">
        <v>147449343.87</v>
      </c>
      <c r="AD16" s="43"/>
      <c r="AE16" s="43"/>
      <c r="AF16" s="43"/>
      <c r="AG16" s="43"/>
      <c r="AH16" s="43"/>
      <c r="AI16" s="43"/>
    </row>
    <row r="17" spans="1:35" x14ac:dyDescent="0.25">
      <c r="A17" s="115" t="s">
        <v>839</v>
      </c>
      <c r="B17" s="115"/>
      <c r="C17" s="115">
        <v>13722121.856000001</v>
      </c>
      <c r="D17" s="115">
        <v>30388422.182</v>
      </c>
      <c r="E17" s="115">
        <v>47216247.111000001</v>
      </c>
      <c r="F17" s="115">
        <v>63827585.925999999</v>
      </c>
      <c r="G17" s="115">
        <v>77524758.508000001</v>
      </c>
      <c r="H17" s="115">
        <v>88150553.106999993</v>
      </c>
      <c r="I17" s="115">
        <v>95937111.716000006</v>
      </c>
      <c r="J17" s="115">
        <v>112019488.949</v>
      </c>
      <c r="K17" s="115">
        <v>124133967.60600001</v>
      </c>
      <c r="L17" s="115">
        <v>135648290.54300001</v>
      </c>
      <c r="M17" s="115">
        <v>133349342.02599999</v>
      </c>
      <c r="N17" s="115">
        <v>128155459.06900001</v>
      </c>
      <c r="O17" s="115">
        <v>121939939.772</v>
      </c>
      <c r="P17" s="115">
        <v>124079265.57700001</v>
      </c>
      <c r="Q17" s="115">
        <v>128977458.17200001</v>
      </c>
      <c r="R17" s="115">
        <v>135693808.294</v>
      </c>
      <c r="S17" s="115">
        <v>147068234.86899999</v>
      </c>
      <c r="T17" s="115">
        <v>147850904.16499999</v>
      </c>
      <c r="U17" s="115">
        <v>152193795.25400001</v>
      </c>
      <c r="V17" s="115">
        <v>156044666.72</v>
      </c>
      <c r="W17" s="115">
        <v>159952623.83700001</v>
      </c>
      <c r="X17" s="115">
        <v>161855328.007</v>
      </c>
      <c r="Y17" s="115">
        <v>165490928.69800001</v>
      </c>
      <c r="Z17" s="115">
        <v>160131034.53299999</v>
      </c>
      <c r="AA17" s="115">
        <v>154991702.33399999</v>
      </c>
      <c r="AB17" s="115">
        <v>151265530.928</v>
      </c>
      <c r="AC17" s="115">
        <v>145892444.50099999</v>
      </c>
      <c r="AD17" s="43"/>
      <c r="AE17" s="43"/>
      <c r="AF17" s="43"/>
      <c r="AG17" s="43"/>
      <c r="AH17" s="43"/>
      <c r="AI17" s="43"/>
    </row>
    <row r="18" spans="1:35" x14ac:dyDescent="0.25">
      <c r="A18" s="115" t="s">
        <v>840</v>
      </c>
      <c r="B18" s="115"/>
      <c r="C18" s="115">
        <v>24942592.392000001</v>
      </c>
      <c r="D18" s="115">
        <v>53829958.197999999</v>
      </c>
      <c r="E18" s="115">
        <v>80467327.090000004</v>
      </c>
      <c r="F18" s="115">
        <v>107198473.15800001</v>
      </c>
      <c r="G18" s="115">
        <v>129247540.70299999</v>
      </c>
      <c r="H18" s="115">
        <v>146303952.38800001</v>
      </c>
      <c r="I18" s="115">
        <v>158729079.52599999</v>
      </c>
      <c r="J18" s="115">
        <v>184209087.37900001</v>
      </c>
      <c r="K18" s="115">
        <v>203391960.97099999</v>
      </c>
      <c r="L18" s="115">
        <v>221860222.13800001</v>
      </c>
      <c r="M18" s="115">
        <v>215457802.579</v>
      </c>
      <c r="N18" s="115">
        <v>205352386.80899999</v>
      </c>
      <c r="O18" s="115">
        <v>196317245.507</v>
      </c>
      <c r="P18" s="115">
        <v>201740427.80199999</v>
      </c>
      <c r="Q18" s="115">
        <v>211236519.866</v>
      </c>
      <c r="R18" s="115">
        <v>223295343.32100001</v>
      </c>
      <c r="S18" s="115">
        <v>243135466.08399999</v>
      </c>
      <c r="T18" s="115">
        <v>245283598.05199999</v>
      </c>
      <c r="U18" s="115">
        <v>252779179.31</v>
      </c>
      <c r="V18" s="115">
        <v>258940007.023</v>
      </c>
      <c r="W18" s="115">
        <v>265686270.06099999</v>
      </c>
      <c r="X18" s="115">
        <v>268832578.43800002</v>
      </c>
      <c r="Y18" s="115">
        <v>274435067.56199998</v>
      </c>
      <c r="Z18" s="115">
        <v>264117588.77599999</v>
      </c>
      <c r="AA18" s="115">
        <v>254419897.66499999</v>
      </c>
      <c r="AB18" s="115">
        <v>247317980.78299999</v>
      </c>
      <c r="AC18" s="115">
        <v>237204239.01300001</v>
      </c>
      <c r="AD18" s="43"/>
      <c r="AE18" s="43"/>
      <c r="AF18" s="43"/>
      <c r="AG18" s="43"/>
      <c r="AH18" s="43"/>
      <c r="AI18" s="43"/>
    </row>
    <row r="19" spans="1:35" x14ac:dyDescent="0.25">
      <c r="A19" s="115" t="s">
        <v>841</v>
      </c>
      <c r="B19" s="115"/>
      <c r="C19" s="115">
        <v>51062687.193000004</v>
      </c>
      <c r="D19" s="115">
        <v>109585105.67299999</v>
      </c>
      <c r="E19" s="115">
        <v>162446344.581</v>
      </c>
      <c r="F19" s="115">
        <v>216004341.48300001</v>
      </c>
      <c r="G19" s="115">
        <v>260213175.59999999</v>
      </c>
      <c r="H19" s="115">
        <v>294337232.45700002</v>
      </c>
      <c r="I19" s="115">
        <v>319061510.08399999</v>
      </c>
      <c r="J19" s="115">
        <v>372822682.542</v>
      </c>
      <c r="K19" s="115">
        <v>413426410.43900001</v>
      </c>
      <c r="L19" s="115">
        <v>452412622.81400001</v>
      </c>
      <c r="M19" s="115">
        <v>440357967.148</v>
      </c>
      <c r="N19" s="115">
        <v>421225022.29900002</v>
      </c>
      <c r="O19" s="115">
        <v>405476088.31400001</v>
      </c>
      <c r="P19" s="115">
        <v>418488539.67199999</v>
      </c>
      <c r="Q19" s="115">
        <v>439675232.52999997</v>
      </c>
      <c r="R19" s="115">
        <v>465812643.27100003</v>
      </c>
      <c r="S19" s="115">
        <v>508008251.16600001</v>
      </c>
      <c r="T19" s="115">
        <v>511536420.74900001</v>
      </c>
      <c r="U19" s="115">
        <v>526268180.35500002</v>
      </c>
      <c r="V19" s="115">
        <v>538276940.56500006</v>
      </c>
      <c r="W19" s="115">
        <v>551052483.37199998</v>
      </c>
      <c r="X19" s="115">
        <v>556614222.11899996</v>
      </c>
      <c r="Y19" s="115">
        <v>567371575.54900002</v>
      </c>
      <c r="Z19" s="115">
        <v>545645626.42700005</v>
      </c>
      <c r="AA19" s="115">
        <v>525249302.36000001</v>
      </c>
      <c r="AB19" s="115">
        <v>510489616.92500001</v>
      </c>
      <c r="AC19" s="115">
        <v>489507770.87800002</v>
      </c>
      <c r="AD19" s="43"/>
      <c r="AE19" s="43"/>
      <c r="AF19" s="43"/>
      <c r="AG19" s="43"/>
      <c r="AH19" s="43"/>
      <c r="AI19" s="43"/>
    </row>
    <row r="20" spans="1:35" x14ac:dyDescent="0.25">
      <c r="A20" s="115" t="s">
        <v>842</v>
      </c>
      <c r="B20" s="115"/>
      <c r="C20" s="115">
        <v>374779882.292</v>
      </c>
      <c r="D20" s="115">
        <v>819579488.5</v>
      </c>
      <c r="E20" s="115">
        <v>1242117948.9619999</v>
      </c>
      <c r="F20" s="115">
        <v>1700168937.2969999</v>
      </c>
      <c r="G20" s="115">
        <v>2111375193.5239999</v>
      </c>
      <c r="H20" s="115">
        <v>2453219827.9780002</v>
      </c>
      <c r="I20" s="115">
        <v>2728590813.1960001</v>
      </c>
      <c r="J20" s="115">
        <v>3162694651.7270002</v>
      </c>
      <c r="K20" s="115">
        <v>3516881336.7270002</v>
      </c>
      <c r="L20" s="115">
        <v>3884836731.967</v>
      </c>
      <c r="M20" s="115">
        <v>3911598748.9860001</v>
      </c>
      <c r="N20" s="115">
        <v>3886618860.0619998</v>
      </c>
      <c r="O20" s="115">
        <v>3864003588.5939999</v>
      </c>
      <c r="P20" s="115">
        <v>3912226265.0479999</v>
      </c>
      <c r="Q20" s="115">
        <v>4018099740.79</v>
      </c>
      <c r="R20" s="115">
        <v>4174311981.368</v>
      </c>
      <c r="S20" s="115">
        <v>4478215744.9980001</v>
      </c>
      <c r="T20" s="115">
        <v>4545432359.6459999</v>
      </c>
      <c r="U20" s="115">
        <v>4689561742.585</v>
      </c>
      <c r="V20" s="115">
        <v>4765169474.4239998</v>
      </c>
      <c r="W20" s="115">
        <v>4827955925.8920002</v>
      </c>
      <c r="X20" s="115">
        <v>4815043521.9499998</v>
      </c>
      <c r="Y20" s="115">
        <v>4859785458.618</v>
      </c>
      <c r="Z20" s="115">
        <v>4761687603.1730003</v>
      </c>
      <c r="AA20" s="115">
        <v>4660569549.927</v>
      </c>
      <c r="AB20" s="115">
        <v>4590342636.8739996</v>
      </c>
      <c r="AC20" s="115">
        <v>4449432038.7510004</v>
      </c>
      <c r="AD20" s="43"/>
      <c r="AE20" s="43"/>
      <c r="AF20" s="43"/>
      <c r="AG20" s="43"/>
      <c r="AH20" s="43"/>
      <c r="AI20" s="43"/>
    </row>
    <row r="21" spans="1:35" x14ac:dyDescent="0.25">
      <c r="A21" s="115" t="s">
        <v>808</v>
      </c>
      <c r="B21" s="115"/>
      <c r="C21" s="115">
        <v>16382787.345000001</v>
      </c>
      <c r="D21" s="115">
        <v>37145381.879000001</v>
      </c>
      <c r="E21" s="115">
        <v>54174157.478</v>
      </c>
      <c r="F21" s="115">
        <v>73129591.768000007</v>
      </c>
      <c r="G21" s="115">
        <v>89081257.378000006</v>
      </c>
      <c r="H21" s="115">
        <v>101553823.664</v>
      </c>
      <c r="I21" s="115">
        <v>111635115.521</v>
      </c>
      <c r="J21" s="115">
        <v>125794857.20200001</v>
      </c>
      <c r="K21" s="115">
        <v>136248819.77500001</v>
      </c>
      <c r="L21" s="115">
        <v>147379670.743</v>
      </c>
      <c r="M21" s="115">
        <v>143144257.954</v>
      </c>
      <c r="N21" s="115">
        <v>135445418.08899999</v>
      </c>
      <c r="O21" s="115">
        <v>133500412.759</v>
      </c>
      <c r="P21" s="115">
        <v>131254093.918</v>
      </c>
      <c r="Q21" s="115">
        <v>132728788.25399999</v>
      </c>
      <c r="R21" s="115">
        <v>136352157.62</v>
      </c>
      <c r="S21" s="115">
        <v>147289948.454</v>
      </c>
      <c r="T21" s="115">
        <v>151627934.15900001</v>
      </c>
      <c r="U21" s="115">
        <v>159417123.627</v>
      </c>
      <c r="V21" s="115">
        <v>165102765.007</v>
      </c>
      <c r="W21" s="115">
        <v>170521447.83500001</v>
      </c>
      <c r="X21" s="115">
        <v>172250239.66600001</v>
      </c>
      <c r="Y21" s="115">
        <v>173481741.41100001</v>
      </c>
      <c r="Z21" s="115">
        <v>171815954.56999999</v>
      </c>
      <c r="AA21" s="115">
        <v>169638529.53600001</v>
      </c>
      <c r="AB21" s="115">
        <v>169073617.382</v>
      </c>
      <c r="AC21" s="115">
        <v>163720372.067</v>
      </c>
      <c r="AD21" s="43"/>
      <c r="AE21" s="43"/>
      <c r="AF21" s="43"/>
      <c r="AG21" s="43"/>
      <c r="AH21" s="43"/>
      <c r="AI21" s="43"/>
    </row>
    <row r="22" spans="1:35" x14ac:dyDescent="0.25">
      <c r="A22" s="115" t="s">
        <v>809</v>
      </c>
      <c r="B22" s="115"/>
      <c r="C22" s="115">
        <v>23938534.785</v>
      </c>
      <c r="D22" s="115">
        <v>52789938.627999999</v>
      </c>
      <c r="E22" s="115">
        <v>76579319.341999993</v>
      </c>
      <c r="F22" s="115">
        <v>102716602.729</v>
      </c>
      <c r="G22" s="115">
        <v>124792570.287</v>
      </c>
      <c r="H22" s="115">
        <v>142186669.38800001</v>
      </c>
      <c r="I22" s="115">
        <v>155731166.55000001</v>
      </c>
      <c r="J22" s="115">
        <v>174878382.16499999</v>
      </c>
      <c r="K22" s="115">
        <v>189244068.99000001</v>
      </c>
      <c r="L22" s="115">
        <v>204617783.29699999</v>
      </c>
      <c r="M22" s="115">
        <v>197501242.41499999</v>
      </c>
      <c r="N22" s="115">
        <v>186764408.39500001</v>
      </c>
      <c r="O22" s="115">
        <v>183730525.31099999</v>
      </c>
      <c r="P22" s="115">
        <v>180387966.412</v>
      </c>
      <c r="Q22" s="115">
        <v>182042556.36000001</v>
      </c>
      <c r="R22" s="115">
        <v>186450832.03200001</v>
      </c>
      <c r="S22" s="115">
        <v>202119190.89199999</v>
      </c>
      <c r="T22" s="115">
        <v>207787377.65700001</v>
      </c>
      <c r="U22" s="115">
        <v>217799023.04800001</v>
      </c>
      <c r="V22" s="115">
        <v>224768509.572</v>
      </c>
      <c r="W22" s="115">
        <v>231951340.84799999</v>
      </c>
      <c r="X22" s="115">
        <v>234199719.13100001</v>
      </c>
      <c r="Y22" s="115">
        <v>235970580.866</v>
      </c>
      <c r="Z22" s="115">
        <v>233989202.84900001</v>
      </c>
      <c r="AA22" s="115">
        <v>231442661.83899999</v>
      </c>
      <c r="AB22" s="115">
        <v>231323096.38600001</v>
      </c>
      <c r="AC22" s="115">
        <v>224240021.537</v>
      </c>
      <c r="AD22" s="43"/>
      <c r="AE22" s="43"/>
      <c r="AF22" s="43"/>
      <c r="AG22" s="43"/>
      <c r="AH22" s="43"/>
      <c r="AI22" s="43"/>
    </row>
    <row r="23" spans="1:35" x14ac:dyDescent="0.25">
      <c r="A23" s="115" t="s">
        <v>810</v>
      </c>
      <c r="B23" s="115"/>
      <c r="C23" s="115">
        <v>39020192.019000001</v>
      </c>
      <c r="D23" s="115">
        <v>82657020.957000002</v>
      </c>
      <c r="E23" s="115">
        <v>118755596.539</v>
      </c>
      <c r="F23" s="115">
        <v>158456179.83399999</v>
      </c>
      <c r="G23" s="115">
        <v>192074217.82300001</v>
      </c>
      <c r="H23" s="115">
        <v>218739018.88100001</v>
      </c>
      <c r="I23" s="115">
        <v>239535648.82300001</v>
      </c>
      <c r="J23" s="115">
        <v>268599496.43000001</v>
      </c>
      <c r="K23" s="115">
        <v>291061785.62599999</v>
      </c>
      <c r="L23" s="115">
        <v>314975222.921</v>
      </c>
      <c r="M23" s="115">
        <v>301946830.815</v>
      </c>
      <c r="N23" s="115">
        <v>286115060.59399998</v>
      </c>
      <c r="O23" s="115">
        <v>281169572.12800002</v>
      </c>
      <c r="P23" s="115">
        <v>275403417.903</v>
      </c>
      <c r="Q23" s="115">
        <v>276822757.72899997</v>
      </c>
      <c r="R23" s="115">
        <v>282286079.574</v>
      </c>
      <c r="S23" s="115">
        <v>309970047.051</v>
      </c>
      <c r="T23" s="115">
        <v>316449684.19400001</v>
      </c>
      <c r="U23" s="115">
        <v>328636110.78299999</v>
      </c>
      <c r="V23" s="115">
        <v>336363115.977</v>
      </c>
      <c r="W23" s="115">
        <v>345960360.68099999</v>
      </c>
      <c r="X23" s="115">
        <v>348599766.52100003</v>
      </c>
      <c r="Y23" s="115">
        <v>350650403.50599998</v>
      </c>
      <c r="Z23" s="115">
        <v>347736781.93400002</v>
      </c>
      <c r="AA23" s="115">
        <v>344128429.20599997</v>
      </c>
      <c r="AB23" s="115">
        <v>344016692.81999999</v>
      </c>
      <c r="AC23" s="115">
        <v>327944802.02200001</v>
      </c>
      <c r="AD23" s="43"/>
      <c r="AE23" s="43"/>
      <c r="AF23" s="43"/>
      <c r="AG23" s="43"/>
      <c r="AH23" s="43"/>
      <c r="AI23" s="43"/>
    </row>
    <row r="24" spans="1:35" x14ac:dyDescent="0.25">
      <c r="A24" s="115" t="s">
        <v>811</v>
      </c>
      <c r="B24" s="115"/>
      <c r="C24" s="115">
        <v>51716648.876000002</v>
      </c>
      <c r="D24" s="115">
        <v>108997007.98100001</v>
      </c>
      <c r="E24" s="115">
        <v>156333021.61500001</v>
      </c>
      <c r="F24" s="115">
        <v>208143077.84099999</v>
      </c>
      <c r="G24" s="115">
        <v>251974440.176</v>
      </c>
      <c r="H24" s="115">
        <v>286661424.81599998</v>
      </c>
      <c r="I24" s="115">
        <v>313847100.245</v>
      </c>
      <c r="J24" s="115">
        <v>352007018.00099999</v>
      </c>
      <c r="K24" s="115">
        <v>381438887.43699998</v>
      </c>
      <c r="L24" s="115">
        <v>412828448.39600003</v>
      </c>
      <c r="M24" s="115">
        <v>395288347.97899997</v>
      </c>
      <c r="N24" s="115">
        <v>374619690.69499999</v>
      </c>
      <c r="O24" s="115">
        <v>368525771.667</v>
      </c>
      <c r="P24" s="115">
        <v>361681055.81999999</v>
      </c>
      <c r="Q24" s="115">
        <v>364309289.16900003</v>
      </c>
      <c r="R24" s="115">
        <v>372093287.27700001</v>
      </c>
      <c r="S24" s="115">
        <v>409140194.59799999</v>
      </c>
      <c r="T24" s="115">
        <v>417925170.46799999</v>
      </c>
      <c r="U24" s="115">
        <v>434281898.005</v>
      </c>
      <c r="V24" s="115">
        <v>444620596.13999999</v>
      </c>
      <c r="W24" s="115">
        <v>456868245.259</v>
      </c>
      <c r="X24" s="115">
        <v>459944187.59500003</v>
      </c>
      <c r="Y24" s="115">
        <v>462319391.01599997</v>
      </c>
      <c r="Z24" s="115">
        <v>457872876.18800002</v>
      </c>
      <c r="AA24" s="115">
        <v>452601686.07300001</v>
      </c>
      <c r="AB24" s="115">
        <v>452247751.43000001</v>
      </c>
      <c r="AC24" s="115">
        <v>430787158.68300003</v>
      </c>
      <c r="AD24" s="43"/>
      <c r="AE24" s="43"/>
      <c r="AF24" s="43"/>
      <c r="AG24" s="43"/>
      <c r="AH24" s="43"/>
      <c r="AI24" s="43"/>
    </row>
    <row r="25" spans="1:35" x14ac:dyDescent="0.25">
      <c r="A25" s="115" t="s">
        <v>812</v>
      </c>
      <c r="B25" s="115"/>
      <c r="C25" s="115">
        <v>83740544.568000004</v>
      </c>
      <c r="D25" s="115">
        <v>172411909.21000001</v>
      </c>
      <c r="E25" s="115">
        <v>245898936.02900001</v>
      </c>
      <c r="F25" s="115">
        <v>326458612.93800002</v>
      </c>
      <c r="G25" s="115">
        <v>394789283.96899998</v>
      </c>
      <c r="H25" s="115">
        <v>449171315.10799998</v>
      </c>
      <c r="I25" s="115">
        <v>492604608.25300002</v>
      </c>
      <c r="J25" s="115">
        <v>552634963.75899994</v>
      </c>
      <c r="K25" s="115">
        <v>600872900.51199996</v>
      </c>
      <c r="L25" s="115">
        <v>651897896.70099998</v>
      </c>
      <c r="M25" s="115">
        <v>623165094.24699998</v>
      </c>
      <c r="N25" s="115">
        <v>592900349.28400004</v>
      </c>
      <c r="O25" s="115">
        <v>585340639.85000002</v>
      </c>
      <c r="P25" s="115">
        <v>575538264.34399998</v>
      </c>
      <c r="Q25" s="115">
        <v>579413334.05200005</v>
      </c>
      <c r="R25" s="115">
        <v>590723168.09899998</v>
      </c>
      <c r="S25" s="115">
        <v>669502454.20899999</v>
      </c>
      <c r="T25" s="115">
        <v>678311026.85699999</v>
      </c>
      <c r="U25" s="115">
        <v>696954766.70000005</v>
      </c>
      <c r="V25" s="115">
        <v>706788586.245</v>
      </c>
      <c r="W25" s="115">
        <v>720449793.35500002</v>
      </c>
      <c r="X25" s="115">
        <v>721298618.949</v>
      </c>
      <c r="Y25" s="115">
        <v>720185180.39400005</v>
      </c>
      <c r="Z25" s="115">
        <v>709711794.37199998</v>
      </c>
      <c r="AA25" s="115">
        <v>698703887.06700003</v>
      </c>
      <c r="AB25" s="115">
        <v>695532725.352</v>
      </c>
      <c r="AC25" s="115">
        <v>636803108.28699994</v>
      </c>
      <c r="AD25" s="43"/>
      <c r="AE25" s="43"/>
      <c r="AF25" s="43"/>
      <c r="AG25" s="43"/>
      <c r="AH25" s="43"/>
      <c r="AI25" s="43"/>
    </row>
    <row r="26" spans="1:35" x14ac:dyDescent="0.25">
      <c r="A26" s="115" t="s">
        <v>813</v>
      </c>
      <c r="B26" s="115"/>
      <c r="C26" s="115">
        <v>84671843.859999999</v>
      </c>
      <c r="D26" s="115">
        <v>181131100.63999999</v>
      </c>
      <c r="E26" s="115">
        <v>270383410.78500003</v>
      </c>
      <c r="F26" s="115">
        <v>359321215.43199998</v>
      </c>
      <c r="G26" s="115">
        <v>432516615.54500002</v>
      </c>
      <c r="H26" s="115">
        <v>489104606.85399997</v>
      </c>
      <c r="I26" s="115">
        <v>530370572.80599999</v>
      </c>
      <c r="J26" s="115">
        <v>617391959.29299998</v>
      </c>
      <c r="K26" s="115">
        <v>683503546.48000002</v>
      </c>
      <c r="L26" s="115">
        <v>746570261.50899994</v>
      </c>
      <c r="M26" s="115">
        <v>724560925.01199996</v>
      </c>
      <c r="N26" s="115">
        <v>690992374.30700004</v>
      </c>
      <c r="O26" s="115">
        <v>660665573.773</v>
      </c>
      <c r="P26" s="115">
        <v>677154768.58599997</v>
      </c>
      <c r="Q26" s="115">
        <v>706987070.90199995</v>
      </c>
      <c r="R26" s="115">
        <v>745416263.29100001</v>
      </c>
      <c r="S26" s="115">
        <v>808761255.69799995</v>
      </c>
      <c r="T26" s="115">
        <v>811230980.59399998</v>
      </c>
      <c r="U26" s="115">
        <v>831310953.64900005</v>
      </c>
      <c r="V26" s="115">
        <v>847766281.44400001</v>
      </c>
      <c r="W26" s="115">
        <v>867286063.43200004</v>
      </c>
      <c r="X26" s="115">
        <v>875830117.653</v>
      </c>
      <c r="Y26" s="115">
        <v>892140934.81500006</v>
      </c>
      <c r="Z26" s="115">
        <v>857780019.20500004</v>
      </c>
      <c r="AA26" s="115">
        <v>825740693.47800004</v>
      </c>
      <c r="AB26" s="115">
        <v>802120576.88</v>
      </c>
      <c r="AC26" s="115">
        <v>769253161.88399994</v>
      </c>
      <c r="AD26" s="43"/>
      <c r="AE26" s="43"/>
      <c r="AF26" s="43"/>
      <c r="AG26" s="43"/>
      <c r="AH26" s="43"/>
      <c r="AI26" s="43"/>
    </row>
    <row r="27" spans="1:35" x14ac:dyDescent="0.25">
      <c r="A27" s="115" t="s">
        <v>814</v>
      </c>
      <c r="B27" s="115"/>
      <c r="C27" s="115">
        <v>67071455.967</v>
      </c>
      <c r="D27" s="115">
        <v>143409541.98100001</v>
      </c>
      <c r="E27" s="115">
        <v>212309541.74900001</v>
      </c>
      <c r="F27" s="115">
        <v>282278760.62</v>
      </c>
      <c r="G27" s="115">
        <v>340082843.05199999</v>
      </c>
      <c r="H27" s="115">
        <v>384740717.59399998</v>
      </c>
      <c r="I27" s="115">
        <v>417136384.60900003</v>
      </c>
      <c r="J27" s="115">
        <v>484122234.65399998</v>
      </c>
      <c r="K27" s="115">
        <v>534672397.74299997</v>
      </c>
      <c r="L27" s="115">
        <v>583716669.88</v>
      </c>
      <c r="M27" s="115">
        <v>566197450.671</v>
      </c>
      <c r="N27" s="115">
        <v>540280136.00600004</v>
      </c>
      <c r="O27" s="115">
        <v>519250868.25599998</v>
      </c>
      <c r="P27" s="115">
        <v>536315549.60900003</v>
      </c>
      <c r="Q27" s="115">
        <v>563836098.19200003</v>
      </c>
      <c r="R27" s="115">
        <v>597726675.28499997</v>
      </c>
      <c r="S27" s="115">
        <v>652420588.50600004</v>
      </c>
      <c r="T27" s="115">
        <v>659780253.57000005</v>
      </c>
      <c r="U27" s="115">
        <v>680924149.45299995</v>
      </c>
      <c r="V27" s="115">
        <v>697873921.50399995</v>
      </c>
      <c r="W27" s="115">
        <v>715864063.824</v>
      </c>
      <c r="X27" s="115">
        <v>724085868.23800004</v>
      </c>
      <c r="Y27" s="115">
        <v>738486967.65499997</v>
      </c>
      <c r="Z27" s="115">
        <v>709960287.66700006</v>
      </c>
      <c r="AA27" s="115">
        <v>683261912.278</v>
      </c>
      <c r="AB27" s="115">
        <v>663898046.54799998</v>
      </c>
      <c r="AC27" s="115">
        <v>636486979.52999997</v>
      </c>
      <c r="AD27" s="43"/>
      <c r="AE27" s="43"/>
      <c r="AF27" s="43"/>
      <c r="AG27" s="43"/>
      <c r="AH27" s="43"/>
      <c r="AI27" s="43"/>
    </row>
    <row r="28" spans="1:35" x14ac:dyDescent="0.25">
      <c r="A28" s="115" t="s">
        <v>815</v>
      </c>
      <c r="B28" s="115"/>
      <c r="C28" s="115">
        <v>58431568.072999999</v>
      </c>
      <c r="D28" s="115">
        <v>124819424.428</v>
      </c>
      <c r="E28" s="115">
        <v>185096243.00400001</v>
      </c>
      <c r="F28" s="115">
        <v>246621621.634</v>
      </c>
      <c r="G28" s="115">
        <v>297419063.65399998</v>
      </c>
      <c r="H28" s="115">
        <v>336543604.73900002</v>
      </c>
      <c r="I28" s="115">
        <v>364750187.32700002</v>
      </c>
      <c r="J28" s="115">
        <v>423557542.36500001</v>
      </c>
      <c r="K28" s="115">
        <v>467755465.89399999</v>
      </c>
      <c r="L28" s="115">
        <v>510772115.116</v>
      </c>
      <c r="M28" s="115">
        <v>495958746.89899999</v>
      </c>
      <c r="N28" s="115">
        <v>474089468.80000001</v>
      </c>
      <c r="O28" s="115">
        <v>456138325.27899998</v>
      </c>
      <c r="P28" s="115">
        <v>470181046.25400001</v>
      </c>
      <c r="Q28" s="115">
        <v>493549394.16100001</v>
      </c>
      <c r="R28" s="115">
        <v>522296148.26700002</v>
      </c>
      <c r="S28" s="115">
        <v>570050104.85300004</v>
      </c>
      <c r="T28" s="115">
        <v>575776652.84099996</v>
      </c>
      <c r="U28" s="115">
        <v>593903488.20599997</v>
      </c>
      <c r="V28" s="115">
        <v>608035671.24699998</v>
      </c>
      <c r="W28" s="115">
        <v>622445995.68700004</v>
      </c>
      <c r="X28" s="115">
        <v>628035801.32099998</v>
      </c>
      <c r="Y28" s="115">
        <v>639810826.36699998</v>
      </c>
      <c r="Z28" s="115">
        <v>614591274.47899997</v>
      </c>
      <c r="AA28" s="115">
        <v>591283715.82799995</v>
      </c>
      <c r="AB28" s="115">
        <v>575231441.15499997</v>
      </c>
      <c r="AC28" s="115">
        <v>551961005.96700001</v>
      </c>
      <c r="AD28" s="43"/>
      <c r="AE28" s="43"/>
      <c r="AF28" s="43"/>
      <c r="AG28" s="43"/>
      <c r="AH28" s="43"/>
      <c r="AI28" s="43"/>
    </row>
    <row r="29" spans="1:35" x14ac:dyDescent="0.25">
      <c r="A29" s="115" t="s">
        <v>816</v>
      </c>
      <c r="B29" s="115"/>
      <c r="C29" s="115">
        <v>50950383.373999998</v>
      </c>
      <c r="D29" s="115">
        <v>108740443.54899999</v>
      </c>
      <c r="E29" s="115">
        <v>161748950.449</v>
      </c>
      <c r="F29" s="115">
        <v>215532429.641</v>
      </c>
      <c r="G29" s="115">
        <v>259769740.15599999</v>
      </c>
      <c r="H29" s="115">
        <v>293722605.37800002</v>
      </c>
      <c r="I29" s="115">
        <v>318107118.009</v>
      </c>
      <c r="J29" s="115">
        <v>370839645.523</v>
      </c>
      <c r="K29" s="115">
        <v>410611381.486</v>
      </c>
      <c r="L29" s="115">
        <v>448967635.10399997</v>
      </c>
      <c r="M29" s="115">
        <v>436562012.70300001</v>
      </c>
      <c r="N29" s="115">
        <v>417817766.97500002</v>
      </c>
      <c r="O29" s="115">
        <v>402005682.57800001</v>
      </c>
      <c r="P29" s="115">
        <v>413449886.722</v>
      </c>
      <c r="Q29" s="115">
        <v>433343278.76599997</v>
      </c>
      <c r="R29" s="115">
        <v>457876186.54699999</v>
      </c>
      <c r="S29" s="115">
        <v>499562050.86699998</v>
      </c>
      <c r="T29" s="115">
        <v>502514515.83999997</v>
      </c>
      <c r="U29" s="115">
        <v>516546810.70099998</v>
      </c>
      <c r="V29" s="115">
        <v>527377543.02700001</v>
      </c>
      <c r="W29" s="115">
        <v>538572126.648</v>
      </c>
      <c r="X29" s="115">
        <v>542364190.34899998</v>
      </c>
      <c r="Y29" s="115">
        <v>551755641.60899997</v>
      </c>
      <c r="Z29" s="115">
        <v>529589419.74599999</v>
      </c>
      <c r="AA29" s="115">
        <v>509062973.91299999</v>
      </c>
      <c r="AB29" s="115">
        <v>495143414.82800001</v>
      </c>
      <c r="AC29" s="115">
        <v>474514718.92799997</v>
      </c>
      <c r="AD29" s="43"/>
      <c r="AE29" s="43"/>
      <c r="AF29" s="43"/>
      <c r="AG29" s="43"/>
      <c r="AH29" s="43"/>
      <c r="AI29" s="43"/>
    </row>
    <row r="30" spans="1:35" x14ac:dyDescent="0.25">
      <c r="A30" s="115" t="s">
        <v>817</v>
      </c>
      <c r="B30" s="115"/>
      <c r="C30" s="115">
        <v>41135067.206</v>
      </c>
      <c r="D30" s="115">
        <v>87751986.976999998</v>
      </c>
      <c r="E30" s="115">
        <v>131982964.476</v>
      </c>
      <c r="F30" s="115">
        <v>176417768.13699999</v>
      </c>
      <c r="G30" s="115">
        <v>212793155.16999999</v>
      </c>
      <c r="H30" s="115">
        <v>240598509.78299999</v>
      </c>
      <c r="I30" s="115">
        <v>260481081.68599999</v>
      </c>
      <c r="J30" s="115">
        <v>306928489.62400001</v>
      </c>
      <c r="K30" s="115">
        <v>342204205.21200001</v>
      </c>
      <c r="L30" s="115">
        <v>375579033.13999999</v>
      </c>
      <c r="M30" s="115">
        <v>367354302.01700002</v>
      </c>
      <c r="N30" s="115">
        <v>353553602.44199997</v>
      </c>
      <c r="O30" s="115">
        <v>340128989.57700002</v>
      </c>
      <c r="P30" s="115">
        <v>348729008.15600002</v>
      </c>
      <c r="Q30" s="115">
        <v>364430279.94</v>
      </c>
      <c r="R30" s="115">
        <v>384026620.12699997</v>
      </c>
      <c r="S30" s="115">
        <v>417892410.65399998</v>
      </c>
      <c r="T30" s="115">
        <v>416343470.301</v>
      </c>
      <c r="U30" s="115">
        <v>424375742.92500001</v>
      </c>
      <c r="V30" s="115">
        <v>430516126.81900001</v>
      </c>
      <c r="W30" s="115">
        <v>437174883.88</v>
      </c>
      <c r="X30" s="115">
        <v>438546734.31699997</v>
      </c>
      <c r="Y30" s="115">
        <v>445011844.53299999</v>
      </c>
      <c r="Z30" s="115">
        <v>426259993.91399997</v>
      </c>
      <c r="AA30" s="115">
        <v>408949109.704</v>
      </c>
      <c r="AB30" s="115">
        <v>397150810.278</v>
      </c>
      <c r="AC30" s="115">
        <v>379767296.33099997</v>
      </c>
      <c r="AD30" s="43"/>
      <c r="AE30" s="43"/>
      <c r="AF30" s="43"/>
      <c r="AG30" s="43"/>
      <c r="AH30" s="43"/>
      <c r="AI30" s="43"/>
    </row>
    <row r="31" spans="1:35" x14ac:dyDescent="0.25">
      <c r="A31" s="115" t="s">
        <v>818</v>
      </c>
      <c r="B31" s="115"/>
      <c r="C31" s="115">
        <v>73159782.753000006</v>
      </c>
      <c r="D31" s="115">
        <v>165011126.96799999</v>
      </c>
      <c r="E31" s="115">
        <v>256788749.29100001</v>
      </c>
      <c r="F31" s="115">
        <v>362652625.32200003</v>
      </c>
      <c r="G31" s="115">
        <v>464919556.36000001</v>
      </c>
      <c r="H31" s="115">
        <v>555200752.69299996</v>
      </c>
      <c r="I31" s="115">
        <v>633054425.96200001</v>
      </c>
      <c r="J31" s="115">
        <v>732396145.023</v>
      </c>
      <c r="K31" s="115">
        <v>819116956.43200004</v>
      </c>
      <c r="L31" s="115">
        <v>914030913.79499996</v>
      </c>
      <c r="M31" s="115">
        <v>950163698.66400003</v>
      </c>
      <c r="N31" s="115">
        <v>974473265.47500002</v>
      </c>
      <c r="O31" s="115">
        <v>993833734.25</v>
      </c>
      <c r="P31" s="115">
        <v>997363400.44599998</v>
      </c>
      <c r="Q31" s="115">
        <v>1010983607.423</v>
      </c>
      <c r="R31" s="115">
        <v>1037295828</v>
      </c>
      <c r="S31" s="115">
        <v>1099096590.1210001</v>
      </c>
      <c r="T31" s="115">
        <v>1122961486.786</v>
      </c>
      <c r="U31" s="115">
        <v>1161534591.737</v>
      </c>
      <c r="V31" s="115">
        <v>1175529415.1400001</v>
      </c>
      <c r="W31" s="115">
        <v>1182517012.2219999</v>
      </c>
      <c r="X31" s="115">
        <v>1169170972.431</v>
      </c>
      <c r="Y31" s="115">
        <v>1171702912.664</v>
      </c>
      <c r="Z31" s="115">
        <v>1165664590.27</v>
      </c>
      <c r="AA31" s="115">
        <v>1155954453.1470001</v>
      </c>
      <c r="AB31" s="115">
        <v>1149468569.013</v>
      </c>
      <c r="AC31" s="115">
        <v>1123394311.576</v>
      </c>
      <c r="AD31" s="43"/>
      <c r="AE31" s="43"/>
      <c r="AF31" s="43"/>
      <c r="AG31" s="43"/>
      <c r="AH31" s="43"/>
      <c r="AI31" s="43"/>
    </row>
    <row r="32" spans="1:35" x14ac:dyDescent="0.25">
      <c r="A32" s="115" t="s">
        <v>819</v>
      </c>
      <c r="B32" s="115"/>
      <c r="C32" s="115">
        <v>50689640.722999997</v>
      </c>
      <c r="D32" s="115">
        <v>114787544.634</v>
      </c>
      <c r="E32" s="115">
        <v>177806576.20199999</v>
      </c>
      <c r="F32" s="115">
        <v>250016808.80199999</v>
      </c>
      <c r="G32" s="115">
        <v>319464035.82999998</v>
      </c>
      <c r="H32" s="115">
        <v>380355785.23400003</v>
      </c>
      <c r="I32" s="115">
        <v>432473151.37900001</v>
      </c>
      <c r="J32" s="115">
        <v>499443471.32300001</v>
      </c>
      <c r="K32" s="115">
        <v>557157717.66400003</v>
      </c>
      <c r="L32" s="115">
        <v>620261553.04799998</v>
      </c>
      <c r="M32" s="115">
        <v>641571567.85099995</v>
      </c>
      <c r="N32" s="115">
        <v>654252959.403</v>
      </c>
      <c r="O32" s="115">
        <v>664461640.47000003</v>
      </c>
      <c r="P32" s="115">
        <v>665070487.10399997</v>
      </c>
      <c r="Q32" s="115">
        <v>673656304.61399996</v>
      </c>
      <c r="R32" s="115">
        <v>691928773.89699996</v>
      </c>
      <c r="S32" s="115">
        <v>734917593.77699995</v>
      </c>
      <c r="T32" s="115">
        <v>752423938.53600001</v>
      </c>
      <c r="U32" s="115">
        <v>780817233.49000001</v>
      </c>
      <c r="V32" s="115">
        <v>793628321.48899996</v>
      </c>
      <c r="W32" s="115">
        <v>802200618.37</v>
      </c>
      <c r="X32" s="115">
        <v>796742424.90699995</v>
      </c>
      <c r="Y32" s="115">
        <v>802254889.96399999</v>
      </c>
      <c r="Z32" s="115">
        <v>801028033.778</v>
      </c>
      <c r="AA32" s="115">
        <v>796492757.41499996</v>
      </c>
      <c r="AB32" s="115">
        <v>793502169.78499997</v>
      </c>
      <c r="AC32" s="115">
        <v>776935861.02600002</v>
      </c>
      <c r="AD32" s="43"/>
      <c r="AE32" s="43"/>
      <c r="AF32" s="43"/>
      <c r="AG32" s="43"/>
      <c r="AH32" s="43"/>
      <c r="AI32" s="43"/>
    </row>
    <row r="33" spans="1:35" x14ac:dyDescent="0.25">
      <c r="A33" s="115" t="s">
        <v>820</v>
      </c>
      <c r="B33" s="115"/>
      <c r="C33" s="115">
        <v>30918655.749000002</v>
      </c>
      <c r="D33" s="115">
        <v>70330326.847000003</v>
      </c>
      <c r="E33" s="115">
        <v>109109723.01899999</v>
      </c>
      <c r="F33" s="115">
        <v>153608859.44600001</v>
      </c>
      <c r="G33" s="115">
        <v>195853788.40099999</v>
      </c>
      <c r="H33" s="115">
        <v>232446068.29699999</v>
      </c>
      <c r="I33" s="115">
        <v>263573579.227</v>
      </c>
      <c r="J33" s="115">
        <v>303890716.48299998</v>
      </c>
      <c r="K33" s="115">
        <v>338418722.15200001</v>
      </c>
      <c r="L33" s="115">
        <v>376328836.06800002</v>
      </c>
      <c r="M33" s="115">
        <v>389237757.07800001</v>
      </c>
      <c r="N33" s="115">
        <v>396688426.46100003</v>
      </c>
      <c r="O33" s="115">
        <v>402214476.76700002</v>
      </c>
      <c r="P33" s="115">
        <v>401781635.89499998</v>
      </c>
      <c r="Q33" s="115">
        <v>406503022.26800001</v>
      </c>
      <c r="R33" s="115">
        <v>417206813.02200001</v>
      </c>
      <c r="S33" s="115">
        <v>442744806.48699999</v>
      </c>
      <c r="T33" s="115">
        <v>452557447.04100001</v>
      </c>
      <c r="U33" s="115">
        <v>468974169.25800002</v>
      </c>
      <c r="V33" s="115">
        <v>475638766.98299998</v>
      </c>
      <c r="W33" s="115">
        <v>479010641.32200003</v>
      </c>
      <c r="X33" s="115">
        <v>473823287.91500002</v>
      </c>
      <c r="Y33" s="115">
        <v>475585226.43900001</v>
      </c>
      <c r="Z33" s="115">
        <v>473349184.76800001</v>
      </c>
      <c r="AA33" s="115">
        <v>469305808.25599998</v>
      </c>
      <c r="AB33" s="115">
        <v>466480752.17400002</v>
      </c>
      <c r="AC33" s="115">
        <v>455656543.69400001</v>
      </c>
      <c r="AD33" s="43"/>
      <c r="AE33" s="43"/>
      <c r="AF33" s="43"/>
      <c r="AG33" s="43"/>
      <c r="AH33" s="43"/>
      <c r="AI33" s="43"/>
    </row>
    <row r="34" spans="1:35" x14ac:dyDescent="0.25">
      <c r="A34" s="115" t="s">
        <v>821</v>
      </c>
      <c r="B34" s="115"/>
      <c r="C34" s="115">
        <v>15005290.392999999</v>
      </c>
      <c r="D34" s="115">
        <v>34034371.626000002</v>
      </c>
      <c r="E34" s="115">
        <v>52815404.248999998</v>
      </c>
      <c r="F34" s="115">
        <v>74388335.797000006</v>
      </c>
      <c r="G34" s="115">
        <v>94764192.361000001</v>
      </c>
      <c r="H34" s="115">
        <v>112291132.729</v>
      </c>
      <c r="I34" s="115">
        <v>127247144.48</v>
      </c>
      <c r="J34" s="115">
        <v>146519216.528</v>
      </c>
      <c r="K34" s="115">
        <v>163076434.963</v>
      </c>
      <c r="L34" s="115">
        <v>181266499.76300001</v>
      </c>
      <c r="M34" s="115">
        <v>187392027.368</v>
      </c>
      <c r="N34" s="115">
        <v>190950698.47799999</v>
      </c>
      <c r="O34" s="115">
        <v>193788949.58399999</v>
      </c>
      <c r="P34" s="115">
        <v>193663031.58000001</v>
      </c>
      <c r="Q34" s="115">
        <v>196164343.78999999</v>
      </c>
      <c r="R34" s="115">
        <v>201786675.78799999</v>
      </c>
      <c r="S34" s="115">
        <v>214582021.919</v>
      </c>
      <c r="T34" s="115">
        <v>219905576.31</v>
      </c>
      <c r="U34" s="115">
        <v>228393884.81799999</v>
      </c>
      <c r="V34" s="115">
        <v>232263776.28299999</v>
      </c>
      <c r="W34" s="115">
        <v>234432004.257</v>
      </c>
      <c r="X34" s="115">
        <v>232538307.384</v>
      </c>
      <c r="Y34" s="115">
        <v>233747119.655</v>
      </c>
      <c r="Z34" s="115">
        <v>233090713.20199999</v>
      </c>
      <c r="AA34" s="115">
        <v>231552626.31999999</v>
      </c>
      <c r="AB34" s="115">
        <v>230509341.61199999</v>
      </c>
      <c r="AC34" s="115">
        <v>225540426.59299999</v>
      </c>
      <c r="AD34" s="43"/>
      <c r="AE34" s="43"/>
      <c r="AF34" s="43"/>
      <c r="AG34" s="43"/>
      <c r="AH34" s="43"/>
      <c r="AI34" s="43"/>
    </row>
    <row r="35" spans="1:35" x14ac:dyDescent="0.25">
      <c r="A35" s="115" t="s">
        <v>822</v>
      </c>
      <c r="B35" s="115"/>
      <c r="C35" s="115">
        <v>5491522.1430000002</v>
      </c>
      <c r="D35" s="115">
        <v>12723041.147</v>
      </c>
      <c r="E35" s="115">
        <v>19864925.136999998</v>
      </c>
      <c r="F35" s="115">
        <v>28048361.487</v>
      </c>
      <c r="G35" s="115">
        <v>35730396.342</v>
      </c>
      <c r="H35" s="115">
        <v>42308745.096000001</v>
      </c>
      <c r="I35" s="115">
        <v>48070527.968000002</v>
      </c>
      <c r="J35" s="115">
        <v>55418562.780000001</v>
      </c>
      <c r="K35" s="115">
        <v>62023961.055</v>
      </c>
      <c r="L35" s="115">
        <v>69263384.083000004</v>
      </c>
      <c r="M35" s="115">
        <v>71887028.458000004</v>
      </c>
      <c r="N35" s="115">
        <v>73176805.682999998</v>
      </c>
      <c r="O35" s="115">
        <v>74292577.050999999</v>
      </c>
      <c r="P35" s="115">
        <v>74184110.527999997</v>
      </c>
      <c r="Q35" s="115">
        <v>74909413.192000002</v>
      </c>
      <c r="R35" s="115">
        <v>76725784.390000001</v>
      </c>
      <c r="S35" s="115">
        <v>80729126.422000006</v>
      </c>
      <c r="T35" s="115">
        <v>82025463.849000007</v>
      </c>
      <c r="U35" s="115">
        <v>84130274.285999998</v>
      </c>
      <c r="V35" s="115">
        <v>84270122.577000007</v>
      </c>
      <c r="W35" s="115">
        <v>83927195.824000001</v>
      </c>
      <c r="X35" s="115">
        <v>82337700.630999997</v>
      </c>
      <c r="Y35" s="115">
        <v>81667615.297999993</v>
      </c>
      <c r="Z35" s="115">
        <v>80547765.191</v>
      </c>
      <c r="AA35" s="115">
        <v>79254271.663000003</v>
      </c>
      <c r="AB35" s="115">
        <v>78200385.369000003</v>
      </c>
      <c r="AC35" s="115">
        <v>75975531.482999995</v>
      </c>
      <c r="AD35" s="43"/>
      <c r="AE35" s="43"/>
      <c r="AF35" s="43"/>
      <c r="AG35" s="43"/>
      <c r="AH35" s="43"/>
      <c r="AI35" s="43"/>
    </row>
    <row r="36" spans="1:35" x14ac:dyDescent="0.25">
      <c r="A36" s="115" t="s">
        <v>843</v>
      </c>
      <c r="B36" s="115"/>
      <c r="C36" s="115">
        <v>10911372.107999999</v>
      </c>
      <c r="D36" s="115">
        <v>26816029.159000002</v>
      </c>
      <c r="E36" s="115">
        <v>54556195.703000002</v>
      </c>
      <c r="F36" s="115">
        <v>78598331.214000002</v>
      </c>
      <c r="G36" s="115">
        <v>99674397.441</v>
      </c>
      <c r="H36" s="115">
        <v>118433411.369</v>
      </c>
      <c r="I36" s="115">
        <v>135409168.139</v>
      </c>
      <c r="J36" s="115">
        <v>156280804.035</v>
      </c>
      <c r="K36" s="115">
        <v>174726971.456</v>
      </c>
      <c r="L36" s="115">
        <v>191359774.26699999</v>
      </c>
      <c r="M36" s="115">
        <v>195729377.65400001</v>
      </c>
      <c r="N36" s="115">
        <v>194120692.035</v>
      </c>
      <c r="O36" s="115">
        <v>178542858.285</v>
      </c>
      <c r="P36" s="115">
        <v>176377262.69600001</v>
      </c>
      <c r="Q36" s="115">
        <v>176501652.579</v>
      </c>
      <c r="R36" s="115">
        <v>177551073.699</v>
      </c>
      <c r="S36" s="115">
        <v>180728442.44600001</v>
      </c>
      <c r="T36" s="115">
        <v>178715268.38100001</v>
      </c>
      <c r="U36" s="115">
        <v>178666766.514</v>
      </c>
      <c r="V36" s="115">
        <v>179591543.60299999</v>
      </c>
      <c r="W36" s="115">
        <v>182065710.546</v>
      </c>
      <c r="X36" s="115">
        <v>184203597.65400001</v>
      </c>
      <c r="Y36" s="115">
        <v>188415085.82100001</v>
      </c>
      <c r="Z36" s="115">
        <v>182490168.66</v>
      </c>
      <c r="AA36" s="115">
        <v>176793904.403</v>
      </c>
      <c r="AB36" s="115">
        <v>172050377.91299999</v>
      </c>
      <c r="AC36" s="115">
        <v>166520895.21000001</v>
      </c>
      <c r="AD36" s="43"/>
      <c r="AE36" s="43"/>
      <c r="AF36" s="43"/>
      <c r="AG36" s="43"/>
      <c r="AH36" s="43"/>
      <c r="AI36" s="43"/>
    </row>
    <row r="37" spans="1:35" x14ac:dyDescent="0.25">
      <c r="A37" s="115" t="s">
        <v>844</v>
      </c>
      <c r="B37" s="115"/>
      <c r="C37" s="115">
        <v>16351288.380999999</v>
      </c>
      <c r="D37" s="115">
        <v>37532567.637999997</v>
      </c>
      <c r="E37" s="115">
        <v>73192460.542999998</v>
      </c>
      <c r="F37" s="115">
        <v>104135568.62899999</v>
      </c>
      <c r="G37" s="115">
        <v>131294957.318</v>
      </c>
      <c r="H37" s="115">
        <v>155531912.79499999</v>
      </c>
      <c r="I37" s="115">
        <v>177546359.85600001</v>
      </c>
      <c r="J37" s="115">
        <v>204807530.25799999</v>
      </c>
      <c r="K37" s="115">
        <v>228953604.183</v>
      </c>
      <c r="L37" s="115">
        <v>250767860.36700001</v>
      </c>
      <c r="M37" s="115">
        <v>254502339.34400001</v>
      </c>
      <c r="N37" s="115">
        <v>252152916.06200001</v>
      </c>
      <c r="O37" s="115">
        <v>232116468.96599999</v>
      </c>
      <c r="P37" s="115">
        <v>229759087.051</v>
      </c>
      <c r="Q37" s="115">
        <v>230153168.32600001</v>
      </c>
      <c r="R37" s="115">
        <v>231548600.53</v>
      </c>
      <c r="S37" s="115">
        <v>235697255.43700001</v>
      </c>
      <c r="T37" s="115">
        <v>232436058.95500001</v>
      </c>
      <c r="U37" s="115">
        <v>231498366.56799999</v>
      </c>
      <c r="V37" s="115">
        <v>231611278.34900001</v>
      </c>
      <c r="W37" s="115">
        <v>234828084.46900001</v>
      </c>
      <c r="X37" s="115">
        <v>237448845.40900001</v>
      </c>
      <c r="Y37" s="115">
        <v>242999185.77000001</v>
      </c>
      <c r="Z37" s="115">
        <v>235133696.148</v>
      </c>
      <c r="AA37" s="115">
        <v>227601641.958</v>
      </c>
      <c r="AB37" s="115">
        <v>221284536.33399999</v>
      </c>
      <c r="AC37" s="115">
        <v>213780857.801</v>
      </c>
      <c r="AD37" s="43"/>
      <c r="AE37" s="43"/>
      <c r="AF37" s="43"/>
      <c r="AG37" s="43"/>
      <c r="AH37" s="43"/>
      <c r="AI37" s="43"/>
    </row>
    <row r="38" spans="1:35" x14ac:dyDescent="0.25">
      <c r="A38" s="115" t="s">
        <v>845</v>
      </c>
      <c r="B38" s="115"/>
      <c r="C38" s="115">
        <v>33473555.995000001</v>
      </c>
      <c r="D38" s="115">
        <v>68451228.218999997</v>
      </c>
      <c r="E38" s="115">
        <v>123591719.039</v>
      </c>
      <c r="F38" s="115">
        <v>171520685.947</v>
      </c>
      <c r="G38" s="115">
        <v>213607072.59200001</v>
      </c>
      <c r="H38" s="115">
        <v>251223572.83500001</v>
      </c>
      <c r="I38" s="115">
        <v>285469554.08999997</v>
      </c>
      <c r="J38" s="115">
        <v>328052004.86699998</v>
      </c>
      <c r="K38" s="115">
        <v>365737185.23100001</v>
      </c>
      <c r="L38" s="115">
        <v>399642518.83499998</v>
      </c>
      <c r="M38" s="115">
        <v>397271237.51099998</v>
      </c>
      <c r="N38" s="115">
        <v>391346025.17699999</v>
      </c>
      <c r="O38" s="115">
        <v>360330985.546</v>
      </c>
      <c r="P38" s="115">
        <v>356558045.46799999</v>
      </c>
      <c r="Q38" s="115">
        <v>356655564.11799997</v>
      </c>
      <c r="R38" s="115">
        <v>357935268.57099998</v>
      </c>
      <c r="S38" s="115">
        <v>364192655.10100001</v>
      </c>
      <c r="T38" s="115">
        <v>357103606.63099998</v>
      </c>
      <c r="U38" s="115">
        <v>353353435.69700003</v>
      </c>
      <c r="V38" s="115">
        <v>351160028.99400002</v>
      </c>
      <c r="W38" s="115">
        <v>355965437.10900003</v>
      </c>
      <c r="X38" s="115">
        <v>359608877.28100002</v>
      </c>
      <c r="Y38" s="115">
        <v>367447091.80199999</v>
      </c>
      <c r="Z38" s="115">
        <v>354708232.77100003</v>
      </c>
      <c r="AA38" s="115">
        <v>342693297.21200001</v>
      </c>
      <c r="AB38" s="115">
        <v>332694428.17799997</v>
      </c>
      <c r="AC38" s="115">
        <v>319841691.16900003</v>
      </c>
      <c r="AD38" s="43"/>
      <c r="AE38" s="43"/>
      <c r="AF38" s="43"/>
      <c r="AG38" s="43"/>
      <c r="AH38" s="43"/>
      <c r="AI38" s="43"/>
    </row>
    <row r="39" spans="1:35" x14ac:dyDescent="0.25">
      <c r="A39" s="115" t="s">
        <v>846</v>
      </c>
      <c r="B39" s="115"/>
      <c r="C39" s="115">
        <v>54537652.178000003</v>
      </c>
      <c r="D39" s="115">
        <v>108964635.244</v>
      </c>
      <c r="E39" s="115">
        <v>197023927.80199999</v>
      </c>
      <c r="F39" s="115">
        <v>273743141.25400001</v>
      </c>
      <c r="G39" s="115">
        <v>341241672.69499999</v>
      </c>
      <c r="H39" s="115">
        <v>401693529.986</v>
      </c>
      <c r="I39" s="115">
        <v>456863687.57999998</v>
      </c>
      <c r="J39" s="115">
        <v>525016018.59500003</v>
      </c>
      <c r="K39" s="115">
        <v>585607019.21500003</v>
      </c>
      <c r="L39" s="115">
        <v>640338032.74899995</v>
      </c>
      <c r="M39" s="115">
        <v>636189014.56299996</v>
      </c>
      <c r="N39" s="115">
        <v>628975769.59800005</v>
      </c>
      <c r="O39" s="115">
        <v>580341743.14100003</v>
      </c>
      <c r="P39" s="115">
        <v>576049192.67799997</v>
      </c>
      <c r="Q39" s="115">
        <v>577731826.63900006</v>
      </c>
      <c r="R39" s="115">
        <v>580915024.11000001</v>
      </c>
      <c r="S39" s="115">
        <v>592553963.18400002</v>
      </c>
      <c r="T39" s="115">
        <v>582400979.995</v>
      </c>
      <c r="U39" s="115">
        <v>577230825.77999997</v>
      </c>
      <c r="V39" s="115">
        <v>574171899.92499995</v>
      </c>
      <c r="W39" s="115">
        <v>582081400.89499998</v>
      </c>
      <c r="X39" s="115">
        <v>587948262.02999997</v>
      </c>
      <c r="Y39" s="115">
        <v>600486678.34099996</v>
      </c>
      <c r="Z39" s="115">
        <v>579098453.94799995</v>
      </c>
      <c r="AA39" s="115">
        <v>558911607.36600006</v>
      </c>
      <c r="AB39" s="115">
        <v>542187669.80299997</v>
      </c>
      <c r="AC39" s="115">
        <v>520241460.84399998</v>
      </c>
      <c r="AD39" s="43"/>
      <c r="AE39" s="43"/>
      <c r="AF39" s="43"/>
      <c r="AG39" s="43"/>
      <c r="AH39" s="43"/>
      <c r="AI39" s="43"/>
    </row>
    <row r="40" spans="1:35" x14ac:dyDescent="0.25">
      <c r="A40" s="115" t="s">
        <v>847</v>
      </c>
      <c r="B40" s="115"/>
      <c r="C40" s="115">
        <v>171943696.00299999</v>
      </c>
      <c r="D40" s="115">
        <v>352776667.616</v>
      </c>
      <c r="E40" s="115">
        <v>604891874.90499997</v>
      </c>
      <c r="F40" s="115">
        <v>849254261.41299999</v>
      </c>
      <c r="G40" s="115">
        <v>1075840008.9000001</v>
      </c>
      <c r="H40" s="115">
        <v>1281406567.204</v>
      </c>
      <c r="I40" s="115">
        <v>1482417686.224</v>
      </c>
      <c r="J40" s="115">
        <v>1709717621.829</v>
      </c>
      <c r="K40" s="115">
        <v>1935930032.062</v>
      </c>
      <c r="L40" s="115">
        <v>2166685391.9780002</v>
      </c>
      <c r="M40" s="115">
        <v>2233500651.4829998</v>
      </c>
      <c r="N40" s="115">
        <v>2275435616.4070001</v>
      </c>
      <c r="O40" s="115">
        <v>2234927650.2480001</v>
      </c>
      <c r="P40" s="115">
        <v>2259225001.5339999</v>
      </c>
      <c r="Q40" s="115">
        <v>2291087743.902</v>
      </c>
      <c r="R40" s="115">
        <v>2324151839.3610001</v>
      </c>
      <c r="S40" s="115">
        <v>2385058469.52</v>
      </c>
      <c r="T40" s="115">
        <v>2375535506.777</v>
      </c>
      <c r="U40" s="115">
        <v>2358608623.506</v>
      </c>
      <c r="V40" s="115">
        <v>2290038424.414</v>
      </c>
      <c r="W40" s="115">
        <v>2241515868.3829999</v>
      </c>
      <c r="X40" s="115">
        <v>2191237686.5190001</v>
      </c>
      <c r="Y40" s="115">
        <v>2152001246.2490001</v>
      </c>
      <c r="Z40" s="115">
        <v>2051264529.4349999</v>
      </c>
      <c r="AA40" s="115">
        <v>1955193844.984</v>
      </c>
      <c r="AB40" s="115">
        <v>1873313613.5250001</v>
      </c>
      <c r="AC40" s="115">
        <v>1762402395.0050001</v>
      </c>
      <c r="AD40" s="43"/>
      <c r="AE40" s="43"/>
      <c r="AF40" s="43"/>
      <c r="AG40" s="43"/>
      <c r="AH40" s="43"/>
      <c r="AI40" s="43"/>
    </row>
    <row r="41" spans="1:35" x14ac:dyDescent="0.25">
      <c r="A41" s="115" t="s">
        <v>823</v>
      </c>
      <c r="B41" s="115"/>
      <c r="C41" s="115">
        <v>76222770.511000007</v>
      </c>
      <c r="D41" s="115">
        <v>169072985.45199999</v>
      </c>
      <c r="E41" s="115">
        <v>274540244.76200002</v>
      </c>
      <c r="F41" s="115">
        <v>394854796.56099999</v>
      </c>
      <c r="G41" s="115">
        <v>513849436.10900003</v>
      </c>
      <c r="H41" s="115">
        <v>631927746.99600005</v>
      </c>
      <c r="I41" s="115">
        <v>783616927.21800005</v>
      </c>
      <c r="J41" s="115">
        <v>933169483.11800003</v>
      </c>
      <c r="K41" s="115">
        <v>1080470030.9000001</v>
      </c>
      <c r="L41" s="115">
        <v>1225899173.652</v>
      </c>
      <c r="M41" s="115">
        <v>1293272321.5610001</v>
      </c>
      <c r="N41" s="115">
        <v>1342238990.0580001</v>
      </c>
      <c r="O41" s="115">
        <v>1361554777.2609999</v>
      </c>
      <c r="P41" s="115">
        <v>1364464119.003</v>
      </c>
      <c r="Q41" s="115">
        <v>1366989078.4849999</v>
      </c>
      <c r="R41" s="115">
        <v>1360848961.658</v>
      </c>
      <c r="S41" s="115">
        <v>1348172429.694</v>
      </c>
      <c r="T41" s="115">
        <v>1328212181.1389999</v>
      </c>
      <c r="U41" s="115">
        <v>1307656138.1819999</v>
      </c>
      <c r="V41" s="115">
        <v>1281939421.793</v>
      </c>
      <c r="W41" s="115">
        <v>1272761633.392</v>
      </c>
      <c r="X41" s="115">
        <v>1252112196.243</v>
      </c>
      <c r="Y41" s="115">
        <v>1249013860.766</v>
      </c>
      <c r="Z41" s="115">
        <v>1244356410.1670001</v>
      </c>
      <c r="AA41" s="115">
        <v>1238153207.6429999</v>
      </c>
      <c r="AB41" s="115">
        <v>1238295624.141</v>
      </c>
      <c r="AC41" s="115">
        <v>1207864822.392</v>
      </c>
      <c r="AD41" s="43"/>
      <c r="AE41" s="43"/>
      <c r="AF41" s="43"/>
      <c r="AG41" s="43"/>
      <c r="AH41" s="43"/>
      <c r="AI41" s="43"/>
    </row>
    <row r="42" spans="1:35" x14ac:dyDescent="0.25">
      <c r="A42" s="115" t="s">
        <v>824</v>
      </c>
      <c r="B42" s="115"/>
      <c r="C42" s="115">
        <v>139310549.34200001</v>
      </c>
      <c r="D42" s="115">
        <v>316366447.48199999</v>
      </c>
      <c r="E42" s="115">
        <v>493283499.125</v>
      </c>
      <c r="F42" s="115">
        <v>691417205.18499994</v>
      </c>
      <c r="G42" s="115">
        <v>886686602.11500001</v>
      </c>
      <c r="H42" s="115">
        <v>1079761061.549</v>
      </c>
      <c r="I42" s="115">
        <v>1314802262.8410001</v>
      </c>
      <c r="J42" s="115">
        <v>1545498856.46</v>
      </c>
      <c r="K42" s="115">
        <v>1771768158.184</v>
      </c>
      <c r="L42" s="115">
        <v>1993955372.3410001</v>
      </c>
      <c r="M42" s="115">
        <v>2072755388.506</v>
      </c>
      <c r="N42" s="115">
        <v>2109785297.9170001</v>
      </c>
      <c r="O42" s="115">
        <v>2118291325.934</v>
      </c>
      <c r="P42" s="115">
        <v>2102509810.5039999</v>
      </c>
      <c r="Q42" s="115">
        <v>2086240629.733</v>
      </c>
      <c r="R42" s="115">
        <v>2057535663.9920001</v>
      </c>
      <c r="S42" s="115">
        <v>2028696914.675</v>
      </c>
      <c r="T42" s="115">
        <v>1988267076.596</v>
      </c>
      <c r="U42" s="115">
        <v>1947147116.658</v>
      </c>
      <c r="V42" s="115">
        <v>1899325582.2119999</v>
      </c>
      <c r="W42" s="115">
        <v>1893924613.8840001</v>
      </c>
      <c r="X42" s="115">
        <v>1871281371.181</v>
      </c>
      <c r="Y42" s="115">
        <v>1876610396.6229999</v>
      </c>
      <c r="Z42" s="115">
        <v>1882586878.0109999</v>
      </c>
      <c r="AA42" s="115">
        <v>1886496130.1040001</v>
      </c>
      <c r="AB42" s="115">
        <v>1899429150.698</v>
      </c>
      <c r="AC42" s="115">
        <v>1867494934.5969999</v>
      </c>
      <c r="AD42" s="43"/>
      <c r="AE42" s="43"/>
      <c r="AF42" s="43"/>
      <c r="AG42" s="43"/>
      <c r="AH42" s="43"/>
      <c r="AI42" s="43"/>
    </row>
    <row r="43" spans="1:35" x14ac:dyDescent="0.25">
      <c r="A43" s="115" t="s">
        <v>825</v>
      </c>
      <c r="B43" s="115"/>
      <c r="C43" s="115">
        <v>272912138.01899999</v>
      </c>
      <c r="D43" s="115">
        <v>521149438.671</v>
      </c>
      <c r="E43" s="115">
        <v>768134621.15799999</v>
      </c>
      <c r="F43" s="115">
        <v>1033510638.6950001</v>
      </c>
      <c r="G43" s="115">
        <v>1294823269.5020001</v>
      </c>
      <c r="H43" s="115">
        <v>1552842372.2030001</v>
      </c>
      <c r="I43" s="115">
        <v>1846516302.1300001</v>
      </c>
      <c r="J43" s="115">
        <v>2134592838.359</v>
      </c>
      <c r="K43" s="115">
        <v>2420254677.3839998</v>
      </c>
      <c r="L43" s="115">
        <v>2699964104.3179998</v>
      </c>
      <c r="M43" s="115">
        <v>2700578765.737</v>
      </c>
      <c r="N43" s="115">
        <v>2719522448.2519999</v>
      </c>
      <c r="O43" s="115">
        <v>2703844014.3870001</v>
      </c>
      <c r="P43" s="115">
        <v>2665287897.7449999</v>
      </c>
      <c r="Q43" s="115">
        <v>2625763768.9920001</v>
      </c>
      <c r="R43" s="115">
        <v>2571638745.645</v>
      </c>
      <c r="S43" s="115">
        <v>2571703394.2119999</v>
      </c>
      <c r="T43" s="115">
        <v>2512139890.586</v>
      </c>
      <c r="U43" s="115">
        <v>2448209628.3010001</v>
      </c>
      <c r="V43" s="115">
        <v>2377412780.4720001</v>
      </c>
      <c r="W43" s="115">
        <v>2378231798.836</v>
      </c>
      <c r="X43" s="115">
        <v>2357200017.3499999</v>
      </c>
      <c r="Y43" s="115">
        <v>2369584075.1739998</v>
      </c>
      <c r="Z43" s="115">
        <v>2386221365.2740002</v>
      </c>
      <c r="AA43" s="115">
        <v>2400910076.033</v>
      </c>
      <c r="AB43" s="115">
        <v>2426049358.105</v>
      </c>
      <c r="AC43" s="115">
        <v>2353788560.4679999</v>
      </c>
      <c r="AD43" s="43"/>
      <c r="AE43" s="43"/>
      <c r="AF43" s="43"/>
      <c r="AG43" s="43"/>
      <c r="AH43" s="43"/>
      <c r="AI43" s="43"/>
    </row>
    <row r="44" spans="1:35" x14ac:dyDescent="0.25">
      <c r="A44" s="115" t="s">
        <v>826</v>
      </c>
      <c r="B44" s="115"/>
      <c r="C44" s="115">
        <v>290712940.06999999</v>
      </c>
      <c r="D44" s="115">
        <v>573617310.08899999</v>
      </c>
      <c r="E44" s="115">
        <v>854553237.48899996</v>
      </c>
      <c r="F44" s="115">
        <v>1154394055.023</v>
      </c>
      <c r="G44" s="115">
        <v>1449568626.4619999</v>
      </c>
      <c r="H44" s="115">
        <v>1741038008.947</v>
      </c>
      <c r="I44" s="115">
        <v>2071497065.99</v>
      </c>
      <c r="J44" s="115">
        <v>2395942031.8369999</v>
      </c>
      <c r="K44" s="115">
        <v>2719885416.006</v>
      </c>
      <c r="L44" s="115">
        <v>3036879116.0949998</v>
      </c>
      <c r="M44" s="115">
        <v>3056003174.171</v>
      </c>
      <c r="N44" s="115">
        <v>3075707178.25</v>
      </c>
      <c r="O44" s="115">
        <v>3059889094.4450002</v>
      </c>
      <c r="P44" s="115">
        <v>3020292117.5679998</v>
      </c>
      <c r="Q44" s="115">
        <v>2980041011.7779999</v>
      </c>
      <c r="R44" s="115">
        <v>2922056786.9390001</v>
      </c>
      <c r="S44" s="115">
        <v>2930795795.8530002</v>
      </c>
      <c r="T44" s="115">
        <v>2865355521.9390001</v>
      </c>
      <c r="U44" s="115">
        <v>2792809003.1290002</v>
      </c>
      <c r="V44" s="115">
        <v>2712069872.8699999</v>
      </c>
      <c r="W44" s="115">
        <v>2712240803.7519999</v>
      </c>
      <c r="X44" s="115">
        <v>2687058454.6560001</v>
      </c>
      <c r="Y44" s="115">
        <v>2697577306.8070002</v>
      </c>
      <c r="Z44" s="115">
        <v>2711922593.2360001</v>
      </c>
      <c r="AA44" s="115">
        <v>2723891128.796</v>
      </c>
      <c r="AB44" s="115">
        <v>2749156233.4689999</v>
      </c>
      <c r="AC44" s="115">
        <v>2660357306.4530001</v>
      </c>
      <c r="AD44" s="43"/>
      <c r="AE44" s="43"/>
      <c r="AF44" s="43"/>
      <c r="AG44" s="43"/>
      <c r="AH44" s="43"/>
      <c r="AI44" s="43"/>
    </row>
    <row r="45" spans="1:35" x14ac:dyDescent="0.25">
      <c r="A45" s="115" t="s">
        <v>827</v>
      </c>
      <c r="B45" s="115"/>
      <c r="C45" s="115">
        <v>355989405.50099999</v>
      </c>
      <c r="D45" s="115">
        <v>681442159.44099998</v>
      </c>
      <c r="E45" s="115">
        <v>1000760104.679</v>
      </c>
      <c r="F45" s="115">
        <v>1338763800.447</v>
      </c>
      <c r="G45" s="115">
        <v>1668259250.7279999</v>
      </c>
      <c r="H45" s="115">
        <v>1991215241.286</v>
      </c>
      <c r="I45" s="115">
        <v>2342015256.6620002</v>
      </c>
      <c r="J45" s="115">
        <v>2685833639.0679998</v>
      </c>
      <c r="K45" s="115">
        <v>3041957162.849</v>
      </c>
      <c r="L45" s="115">
        <v>3386225859.4099998</v>
      </c>
      <c r="M45" s="115">
        <v>3363158135.9439998</v>
      </c>
      <c r="N45" s="115">
        <v>3359753937.52</v>
      </c>
      <c r="O45" s="115">
        <v>3318753557.664</v>
      </c>
      <c r="P45" s="115">
        <v>3251186109.5110002</v>
      </c>
      <c r="Q45" s="115">
        <v>3183369400.8600001</v>
      </c>
      <c r="R45" s="115">
        <v>3095818610.5149999</v>
      </c>
      <c r="S45" s="115">
        <v>3077346660.0469999</v>
      </c>
      <c r="T45" s="115">
        <v>2993321550.0510001</v>
      </c>
      <c r="U45" s="115">
        <v>2888867880.743</v>
      </c>
      <c r="V45" s="115">
        <v>2780075215.2550001</v>
      </c>
      <c r="W45" s="115">
        <v>2767241099.6149998</v>
      </c>
      <c r="X45" s="115">
        <v>2731562202.927</v>
      </c>
      <c r="Y45" s="115">
        <v>2738203857.5300002</v>
      </c>
      <c r="Z45" s="115">
        <v>2751998596.2670002</v>
      </c>
      <c r="AA45" s="115">
        <v>2766735407.441</v>
      </c>
      <c r="AB45" s="115">
        <v>2799365440.2030001</v>
      </c>
      <c r="AC45" s="115">
        <v>2726411782.447</v>
      </c>
      <c r="AD45" s="43"/>
      <c r="AE45" s="43"/>
      <c r="AF45" s="43"/>
      <c r="AG45" s="43"/>
      <c r="AH45" s="43"/>
      <c r="AI45" s="43"/>
    </row>
    <row r="46" spans="1:35" x14ac:dyDescent="0.25">
      <c r="A46" s="115" t="s">
        <v>828</v>
      </c>
      <c r="B46" s="115"/>
      <c r="C46" s="115">
        <v>59843048.056999996</v>
      </c>
      <c r="D46" s="115">
        <v>121230635.124</v>
      </c>
      <c r="E46" s="115">
        <v>221262294.95500001</v>
      </c>
      <c r="F46" s="115">
        <v>307372306.07700002</v>
      </c>
      <c r="G46" s="115">
        <v>382223248.78299999</v>
      </c>
      <c r="H46" s="115">
        <v>448446167.79799998</v>
      </c>
      <c r="I46" s="115">
        <v>508140398.75</v>
      </c>
      <c r="J46" s="115">
        <v>579344506.63</v>
      </c>
      <c r="K46" s="115">
        <v>642439743.74699998</v>
      </c>
      <c r="L46" s="115">
        <v>699100074.051</v>
      </c>
      <c r="M46" s="115">
        <v>691127804.98699999</v>
      </c>
      <c r="N46" s="115">
        <v>678097746.704</v>
      </c>
      <c r="O46" s="115">
        <v>618147097.48899996</v>
      </c>
      <c r="P46" s="115">
        <v>606396822.028</v>
      </c>
      <c r="Q46" s="115">
        <v>602473307.73699999</v>
      </c>
      <c r="R46" s="115">
        <v>601531747.47099996</v>
      </c>
      <c r="S46" s="115">
        <v>610392407.23899996</v>
      </c>
      <c r="T46" s="115">
        <v>598575201.24800003</v>
      </c>
      <c r="U46" s="115">
        <v>592236603.48699999</v>
      </c>
      <c r="V46" s="115">
        <v>588599832.37399995</v>
      </c>
      <c r="W46" s="115">
        <v>596259653.426</v>
      </c>
      <c r="X46" s="115">
        <v>602186885.76499999</v>
      </c>
      <c r="Y46" s="115">
        <v>615185940.18900001</v>
      </c>
      <c r="Z46" s="115">
        <v>592896672.84899998</v>
      </c>
      <c r="AA46" s="115">
        <v>571949192.11800003</v>
      </c>
      <c r="AB46" s="115">
        <v>554526460.67299998</v>
      </c>
      <c r="AC46" s="115">
        <v>531762559.36799997</v>
      </c>
      <c r="AD46" s="43"/>
      <c r="AE46" s="43"/>
      <c r="AF46" s="43"/>
      <c r="AG46" s="43"/>
      <c r="AH46" s="43"/>
      <c r="AI46" s="43"/>
    </row>
    <row r="47" spans="1:35" x14ac:dyDescent="0.25">
      <c r="A47" s="115" t="s">
        <v>829</v>
      </c>
      <c r="B47" s="115"/>
      <c r="C47" s="115">
        <v>55452382.776000001</v>
      </c>
      <c r="D47" s="115">
        <v>113355377.88500001</v>
      </c>
      <c r="E47" s="115">
        <v>213933668.75600001</v>
      </c>
      <c r="F47" s="115">
        <v>301531875.167</v>
      </c>
      <c r="G47" s="115">
        <v>378560540.19999999</v>
      </c>
      <c r="H47" s="115">
        <v>447497206.22000003</v>
      </c>
      <c r="I47" s="115">
        <v>510333128.69400001</v>
      </c>
      <c r="J47" s="115">
        <v>587080539.65499997</v>
      </c>
      <c r="K47" s="115">
        <v>655277909.02699995</v>
      </c>
      <c r="L47" s="115">
        <v>716804932.69099998</v>
      </c>
      <c r="M47" s="115">
        <v>717928299.00600004</v>
      </c>
      <c r="N47" s="115">
        <v>712978447.00699997</v>
      </c>
      <c r="O47" s="115">
        <v>656665241.89699996</v>
      </c>
      <c r="P47" s="115">
        <v>649614268.78799999</v>
      </c>
      <c r="Q47" s="115">
        <v>649487692.37800002</v>
      </c>
      <c r="R47" s="115">
        <v>651271060.94799995</v>
      </c>
      <c r="S47" s="115">
        <v>662798432.153</v>
      </c>
      <c r="T47" s="115">
        <v>650436497.15100002</v>
      </c>
      <c r="U47" s="115">
        <v>643773359.34899998</v>
      </c>
      <c r="V47" s="115">
        <v>639643348.98099995</v>
      </c>
      <c r="W47" s="115">
        <v>647998541.32500005</v>
      </c>
      <c r="X47" s="115">
        <v>654178209.02600002</v>
      </c>
      <c r="Y47" s="115">
        <v>667787273.08500004</v>
      </c>
      <c r="Z47" s="115">
        <v>644106577.52100003</v>
      </c>
      <c r="AA47" s="115">
        <v>621795635.29200006</v>
      </c>
      <c r="AB47" s="115">
        <v>603350071.64999998</v>
      </c>
      <c r="AC47" s="115">
        <v>579006147.13399994</v>
      </c>
      <c r="AD47" s="43"/>
      <c r="AE47" s="43"/>
      <c r="AF47" s="43"/>
      <c r="AG47" s="43"/>
      <c r="AH47" s="43"/>
      <c r="AI47" s="43"/>
    </row>
    <row r="48" spans="1:35" x14ac:dyDescent="0.25">
      <c r="A48" s="115" t="s">
        <v>830</v>
      </c>
      <c r="B48" s="115"/>
      <c r="C48" s="115">
        <v>50381505.618000001</v>
      </c>
      <c r="D48" s="115">
        <v>101410935.37199999</v>
      </c>
      <c r="E48" s="115">
        <v>180719245.96700001</v>
      </c>
      <c r="F48" s="115">
        <v>250184950.38999999</v>
      </c>
      <c r="G48" s="115">
        <v>311611390.12800002</v>
      </c>
      <c r="H48" s="115">
        <v>366917936.07999998</v>
      </c>
      <c r="I48" s="115">
        <v>417647014.20599997</v>
      </c>
      <c r="J48" s="115">
        <v>478853184.366</v>
      </c>
      <c r="K48" s="115">
        <v>533867987.49699998</v>
      </c>
      <c r="L48" s="115">
        <v>583981911.278</v>
      </c>
      <c r="M48" s="115">
        <v>580083425.48699999</v>
      </c>
      <c r="N48" s="115">
        <v>572882402.66900003</v>
      </c>
      <c r="O48" s="115">
        <v>530547907.95499998</v>
      </c>
      <c r="P48" s="115">
        <v>529272163.30299997</v>
      </c>
      <c r="Q48" s="115">
        <v>533009745.80800003</v>
      </c>
      <c r="R48" s="115">
        <v>537605954.39400005</v>
      </c>
      <c r="S48" s="115">
        <v>549942063.95700002</v>
      </c>
      <c r="T48" s="115">
        <v>543300209.19400001</v>
      </c>
      <c r="U48" s="115">
        <v>540417302.574</v>
      </c>
      <c r="V48" s="115">
        <v>538872079.625</v>
      </c>
      <c r="W48" s="115">
        <v>547388750.76999998</v>
      </c>
      <c r="X48" s="115">
        <v>553612871.96399999</v>
      </c>
      <c r="Y48" s="115">
        <v>565637142.74600005</v>
      </c>
      <c r="Z48" s="115">
        <v>545590548.52499998</v>
      </c>
      <c r="AA48" s="115">
        <v>526627163.62400001</v>
      </c>
      <c r="AB48" s="115">
        <v>510946498.68099999</v>
      </c>
      <c r="AC48" s="115">
        <v>490172103.11400002</v>
      </c>
      <c r="AD48" s="43"/>
      <c r="AE48" s="43"/>
      <c r="AF48" s="43"/>
      <c r="AG48" s="43"/>
      <c r="AH48" s="43"/>
      <c r="AI48" s="43"/>
    </row>
    <row r="49" spans="1:35" x14ac:dyDescent="0.25">
      <c r="A49" s="115" t="s">
        <v>831</v>
      </c>
      <c r="B49" s="115"/>
      <c r="C49" s="115">
        <v>37203623.880999997</v>
      </c>
      <c r="D49" s="115">
        <v>74663796.026999995</v>
      </c>
      <c r="E49" s="115">
        <v>128711090.855</v>
      </c>
      <c r="F49" s="115">
        <v>176610465.50799999</v>
      </c>
      <c r="G49" s="115">
        <v>219438062.34200001</v>
      </c>
      <c r="H49" s="115">
        <v>258434342.39300001</v>
      </c>
      <c r="I49" s="115">
        <v>294602095.61900002</v>
      </c>
      <c r="J49" s="115">
        <v>338933873.63099998</v>
      </c>
      <c r="K49" s="115">
        <v>379079983.06900001</v>
      </c>
      <c r="L49" s="115">
        <v>415927473.29000002</v>
      </c>
      <c r="M49" s="115">
        <v>413134662.03600001</v>
      </c>
      <c r="N49" s="115">
        <v>408306823.76099998</v>
      </c>
      <c r="O49" s="115">
        <v>382258355.82499999</v>
      </c>
      <c r="P49" s="115">
        <v>385932940.71600002</v>
      </c>
      <c r="Q49" s="115">
        <v>392402397.02700001</v>
      </c>
      <c r="R49" s="115">
        <v>398508722.50199997</v>
      </c>
      <c r="S49" s="115">
        <v>410119071.18599999</v>
      </c>
      <c r="T49" s="115">
        <v>406882762.61400002</v>
      </c>
      <c r="U49" s="115">
        <v>405987991.82599998</v>
      </c>
      <c r="V49" s="115">
        <v>405561381.454</v>
      </c>
      <c r="W49" s="115">
        <v>412595445.65799999</v>
      </c>
      <c r="X49" s="115">
        <v>417494749.71799999</v>
      </c>
      <c r="Y49" s="115">
        <v>426411694.12699997</v>
      </c>
      <c r="Z49" s="115">
        <v>411011821.46799999</v>
      </c>
      <c r="AA49" s="115">
        <v>396463911.70300001</v>
      </c>
      <c r="AB49" s="115">
        <v>384666342.85699999</v>
      </c>
      <c r="AC49" s="115">
        <v>368777156.81900001</v>
      </c>
      <c r="AD49" s="43"/>
      <c r="AE49" s="43"/>
      <c r="AF49" s="43"/>
      <c r="AG49" s="43"/>
      <c r="AH49" s="43"/>
      <c r="AI49" s="43"/>
    </row>
    <row r="50" spans="1:35" x14ac:dyDescent="0.25">
      <c r="A50" s="115" t="s">
        <v>832</v>
      </c>
      <c r="B50" s="115"/>
      <c r="C50" s="115">
        <v>24414119.449000001</v>
      </c>
      <c r="D50" s="115">
        <v>48643941.538999997</v>
      </c>
      <c r="E50" s="115">
        <v>84869190.963</v>
      </c>
      <c r="F50" s="115">
        <v>117010469.21600001</v>
      </c>
      <c r="G50" s="115">
        <v>145762241.04100001</v>
      </c>
      <c r="H50" s="115">
        <v>171952934.80199999</v>
      </c>
      <c r="I50" s="115">
        <v>196249171.65700001</v>
      </c>
      <c r="J50" s="115">
        <v>225821932.18799999</v>
      </c>
      <c r="K50" s="115">
        <v>252664300.111</v>
      </c>
      <c r="L50" s="115">
        <v>277329245.13300002</v>
      </c>
      <c r="M50" s="115">
        <v>275970189.19099998</v>
      </c>
      <c r="N50" s="115">
        <v>273617209.20999998</v>
      </c>
      <c r="O50" s="115">
        <v>256279962.56</v>
      </c>
      <c r="P50" s="115">
        <v>257955126.22600001</v>
      </c>
      <c r="Q50" s="115">
        <v>261569648.45199999</v>
      </c>
      <c r="R50" s="115">
        <v>264908296.10499999</v>
      </c>
      <c r="S50" s="115">
        <v>272195677.95300001</v>
      </c>
      <c r="T50" s="115">
        <v>269582460.67199999</v>
      </c>
      <c r="U50" s="115">
        <v>268525825.37199998</v>
      </c>
      <c r="V50" s="115">
        <v>267755682.22299999</v>
      </c>
      <c r="W50" s="115">
        <v>272340182.08200002</v>
      </c>
      <c r="X50" s="115">
        <v>275317216.31199998</v>
      </c>
      <c r="Y50" s="115">
        <v>280982482.70599997</v>
      </c>
      <c r="Z50" s="115">
        <v>271185895.66600001</v>
      </c>
      <c r="AA50" s="115">
        <v>261933350.74599999</v>
      </c>
      <c r="AB50" s="115">
        <v>254602758.24399999</v>
      </c>
      <c r="AC50" s="115">
        <v>244314043.84299999</v>
      </c>
      <c r="AD50" s="43"/>
      <c r="AE50" s="43"/>
      <c r="AF50" s="43"/>
      <c r="AG50" s="43"/>
      <c r="AH50" s="43"/>
      <c r="AI50" s="43"/>
    </row>
    <row r="51" spans="1:35" x14ac:dyDescent="0.25">
      <c r="A51" s="115" t="s">
        <v>833</v>
      </c>
      <c r="B51" s="115"/>
      <c r="C51" s="115">
        <v>21492625.642999999</v>
      </c>
      <c r="D51" s="115">
        <v>48288006.016999997</v>
      </c>
      <c r="E51" s="115">
        <v>79665933.803000003</v>
      </c>
      <c r="F51" s="115">
        <v>115363315.921</v>
      </c>
      <c r="G51" s="115">
        <v>150541751.38299999</v>
      </c>
      <c r="H51" s="115">
        <v>182618533.61500001</v>
      </c>
      <c r="I51" s="115">
        <v>216379464.13499999</v>
      </c>
      <c r="J51" s="115">
        <v>252789773.52900001</v>
      </c>
      <c r="K51" s="115">
        <v>293075158.75999999</v>
      </c>
      <c r="L51" s="115">
        <v>338507447.69300002</v>
      </c>
      <c r="M51" s="115">
        <v>367678664.06599998</v>
      </c>
      <c r="N51" s="115">
        <v>387319894.60699999</v>
      </c>
      <c r="O51" s="115">
        <v>403177861.77100003</v>
      </c>
      <c r="P51" s="115">
        <v>412074986.31099999</v>
      </c>
      <c r="Q51" s="115">
        <v>420336787.11900002</v>
      </c>
      <c r="R51" s="115">
        <v>428949728.72000003</v>
      </c>
      <c r="S51" s="115">
        <v>440944816.31599998</v>
      </c>
      <c r="T51" s="115">
        <v>442299607.75599998</v>
      </c>
      <c r="U51" s="115">
        <v>438756763.963</v>
      </c>
      <c r="V51" s="115">
        <v>416440296.171</v>
      </c>
      <c r="W51" s="115">
        <v>392880318.35699999</v>
      </c>
      <c r="X51" s="115">
        <v>371201673.68099999</v>
      </c>
      <c r="Y51" s="115">
        <v>349483221.07700002</v>
      </c>
      <c r="Z51" s="115">
        <v>329464813.38999999</v>
      </c>
      <c r="AA51" s="115">
        <v>310134981.15799999</v>
      </c>
      <c r="AB51" s="115">
        <v>293088897.12300003</v>
      </c>
      <c r="AC51" s="115">
        <v>270435517.55800003</v>
      </c>
      <c r="AD51" s="43"/>
      <c r="AE51" s="43"/>
      <c r="AF51" s="43"/>
      <c r="AG51" s="43"/>
      <c r="AH51" s="43"/>
      <c r="AI51" s="43"/>
    </row>
    <row r="52" spans="1:35" x14ac:dyDescent="0.25">
      <c r="A52" s="115" t="s">
        <v>834</v>
      </c>
      <c r="B52" s="115"/>
      <c r="C52" s="115">
        <v>20423977.848000001</v>
      </c>
      <c r="D52" s="115">
        <v>45655419.465999998</v>
      </c>
      <c r="E52" s="115">
        <v>75753073.988000005</v>
      </c>
      <c r="F52" s="115">
        <v>110090736.596</v>
      </c>
      <c r="G52" s="115">
        <v>144629931.25600001</v>
      </c>
      <c r="H52" s="115">
        <v>176807635.00600001</v>
      </c>
      <c r="I52" s="115">
        <v>210587009.72299999</v>
      </c>
      <c r="J52" s="115">
        <v>246882104.09999999</v>
      </c>
      <c r="K52" s="115">
        <v>286638271.73500001</v>
      </c>
      <c r="L52" s="115">
        <v>331076877.87</v>
      </c>
      <c r="M52" s="115">
        <v>360895367.704</v>
      </c>
      <c r="N52" s="115">
        <v>383541098.39899999</v>
      </c>
      <c r="O52" s="115">
        <v>402162240.03399998</v>
      </c>
      <c r="P52" s="115">
        <v>413855249.088</v>
      </c>
      <c r="Q52" s="115">
        <v>424148539.96200001</v>
      </c>
      <c r="R52" s="115">
        <v>433989729.71799999</v>
      </c>
      <c r="S52" s="115">
        <v>447258536.02399999</v>
      </c>
      <c r="T52" s="115">
        <v>449906952.58399999</v>
      </c>
      <c r="U52" s="115">
        <v>447991394.62400001</v>
      </c>
      <c r="V52" s="115">
        <v>427083474.54100001</v>
      </c>
      <c r="W52" s="115">
        <v>404353506.185</v>
      </c>
      <c r="X52" s="115">
        <v>381628877.22799999</v>
      </c>
      <c r="Y52" s="115">
        <v>358793848.79000002</v>
      </c>
      <c r="Z52" s="115">
        <v>337735407.69599998</v>
      </c>
      <c r="AA52" s="115">
        <v>317383562.01899999</v>
      </c>
      <c r="AB52" s="115">
        <v>299346629.85000002</v>
      </c>
      <c r="AC52" s="115">
        <v>275707688.616</v>
      </c>
      <c r="AD52" s="43"/>
      <c r="AE52" s="43"/>
      <c r="AF52" s="43"/>
      <c r="AG52" s="43"/>
      <c r="AH52" s="43"/>
      <c r="AI52" s="43"/>
    </row>
    <row r="53" spans="1:35" x14ac:dyDescent="0.25">
      <c r="A53" s="115" t="s">
        <v>835</v>
      </c>
      <c r="B53" s="115"/>
      <c r="C53" s="115">
        <v>11948559.601</v>
      </c>
      <c r="D53" s="115">
        <v>27812015.971000001</v>
      </c>
      <c r="E53" s="115">
        <v>46272835.445</v>
      </c>
      <c r="F53" s="115">
        <v>67247686.730000004</v>
      </c>
      <c r="G53" s="115">
        <v>87519848.129999995</v>
      </c>
      <c r="H53" s="115">
        <v>105648938.368</v>
      </c>
      <c r="I53" s="115">
        <v>124774988.958</v>
      </c>
      <c r="J53" s="115">
        <v>145472394.52700001</v>
      </c>
      <c r="K53" s="115">
        <v>168570046.38999999</v>
      </c>
      <c r="L53" s="115">
        <v>194842000.34799999</v>
      </c>
      <c r="M53" s="115">
        <v>211824136.12900001</v>
      </c>
      <c r="N53" s="115">
        <v>221430847.96000001</v>
      </c>
      <c r="O53" s="115">
        <v>228786029.78400001</v>
      </c>
      <c r="P53" s="115">
        <v>232173398.373</v>
      </c>
      <c r="Q53" s="115">
        <v>235651285.22099999</v>
      </c>
      <c r="R53" s="115">
        <v>239765531.82300001</v>
      </c>
      <c r="S53" s="115">
        <v>245582009.30899999</v>
      </c>
      <c r="T53" s="115">
        <v>245626767.704</v>
      </c>
      <c r="U53" s="115">
        <v>242741858.48800001</v>
      </c>
      <c r="V53" s="115">
        <v>229370960.292</v>
      </c>
      <c r="W53" s="115">
        <v>215505341.76100001</v>
      </c>
      <c r="X53" s="115">
        <v>203792237.35699999</v>
      </c>
      <c r="Y53" s="115">
        <v>192165764.01199999</v>
      </c>
      <c r="Z53" s="115">
        <v>181449537.36000001</v>
      </c>
      <c r="AA53" s="115">
        <v>171084211.641</v>
      </c>
      <c r="AB53" s="115">
        <v>161964600.12400001</v>
      </c>
      <c r="AC53" s="115">
        <v>149842607.69100001</v>
      </c>
      <c r="AD53" s="43"/>
      <c r="AE53" s="43"/>
      <c r="AF53" s="43"/>
      <c r="AG53" s="43"/>
      <c r="AH53" s="43"/>
      <c r="AI53" s="43"/>
    </row>
    <row r="54" spans="1:35" x14ac:dyDescent="0.25">
      <c r="A54" s="115" t="s">
        <v>836</v>
      </c>
      <c r="B54" s="115"/>
      <c r="C54" s="115">
        <v>4863596.07</v>
      </c>
      <c r="D54" s="115">
        <v>10984974.301999999</v>
      </c>
      <c r="E54" s="115">
        <v>18125122.261</v>
      </c>
      <c r="F54" s="115">
        <v>26336965.581999999</v>
      </c>
      <c r="G54" s="115">
        <v>34245048.864</v>
      </c>
      <c r="H54" s="115">
        <v>41234916.298</v>
      </c>
      <c r="I54" s="115">
        <v>48577721.321000002</v>
      </c>
      <c r="J54" s="115">
        <v>56469351.685000002</v>
      </c>
      <c r="K54" s="115">
        <v>65125640.894000001</v>
      </c>
      <c r="L54" s="115">
        <v>74784395.140000001</v>
      </c>
      <c r="M54" s="115">
        <v>80804090.795000002</v>
      </c>
      <c r="N54" s="115">
        <v>85045441.910999998</v>
      </c>
      <c r="O54" s="115">
        <v>88448560.109999999</v>
      </c>
      <c r="P54" s="115">
        <v>90180877.287</v>
      </c>
      <c r="Q54" s="115">
        <v>91939431.413000003</v>
      </c>
      <c r="R54" s="115">
        <v>93982159.929000005</v>
      </c>
      <c r="S54" s="115">
        <v>96747754.605000004</v>
      </c>
      <c r="T54" s="115">
        <v>97223951.457000002</v>
      </c>
      <c r="U54" s="115">
        <v>96697776.251000002</v>
      </c>
      <c r="V54" s="115">
        <v>92091077.486000001</v>
      </c>
      <c r="W54" s="115">
        <v>87132134.328999996</v>
      </c>
      <c r="X54" s="115">
        <v>82164383.099000007</v>
      </c>
      <c r="Y54" s="115">
        <v>77187711.463</v>
      </c>
      <c r="Z54" s="115">
        <v>72598797.442000002</v>
      </c>
      <c r="AA54" s="115">
        <v>68186305.601999998</v>
      </c>
      <c r="AB54" s="115">
        <v>64307191.822999999</v>
      </c>
      <c r="AC54" s="115">
        <v>59235381.365000002</v>
      </c>
      <c r="AD54" s="43"/>
      <c r="AE54" s="43"/>
      <c r="AF54" s="43"/>
      <c r="AG54" s="43"/>
      <c r="AH54" s="43"/>
      <c r="AI54" s="43"/>
    </row>
    <row r="55" spans="1:35" x14ac:dyDescent="0.25">
      <c r="A55" s="115" t="s">
        <v>837</v>
      </c>
      <c r="B55" s="115"/>
      <c r="C55" s="115">
        <v>1194125.723</v>
      </c>
      <c r="D55" s="115">
        <v>2496026.1740000001</v>
      </c>
      <c r="E55" s="115">
        <v>3943721.0010000002</v>
      </c>
      <c r="F55" s="115">
        <v>5503217.2699999996</v>
      </c>
      <c r="G55" s="115">
        <v>7126046.8200000003</v>
      </c>
      <c r="H55" s="115">
        <v>8730383.6099999994</v>
      </c>
      <c r="I55" s="115">
        <v>10415462.824999999</v>
      </c>
      <c r="J55" s="115">
        <v>12226319.272</v>
      </c>
      <c r="K55" s="115">
        <v>14215770.918</v>
      </c>
      <c r="L55" s="115">
        <v>16439220.703</v>
      </c>
      <c r="M55" s="115">
        <v>17745981.153000001</v>
      </c>
      <c r="N55" s="115">
        <v>18811107.052999999</v>
      </c>
      <c r="O55" s="115">
        <v>19786448.761</v>
      </c>
      <c r="P55" s="115">
        <v>20512757.307999998</v>
      </c>
      <c r="Q55" s="115">
        <v>21111120.447000001</v>
      </c>
      <c r="R55" s="115">
        <v>21588874.662</v>
      </c>
      <c r="S55" s="115">
        <v>22250016.945</v>
      </c>
      <c r="T55" s="115">
        <v>22357010.359999999</v>
      </c>
      <c r="U55" s="115">
        <v>22229142.133000001</v>
      </c>
      <c r="V55" s="115">
        <v>21155042.138</v>
      </c>
      <c r="W55" s="115">
        <v>20002627.510000002</v>
      </c>
      <c r="X55" s="115">
        <v>18870164.741999999</v>
      </c>
      <c r="Y55" s="115">
        <v>17714209.785999998</v>
      </c>
      <c r="Z55" s="115">
        <v>16655009.043</v>
      </c>
      <c r="AA55" s="115">
        <v>15635982.017999999</v>
      </c>
      <c r="AB55" s="115">
        <v>14731174.729</v>
      </c>
      <c r="AC55" s="115">
        <v>13534094.52</v>
      </c>
      <c r="AD55" s="43"/>
      <c r="AE55" s="43"/>
      <c r="AF55" s="43"/>
      <c r="AG55" s="43"/>
      <c r="AH55" s="43"/>
      <c r="AI55" s="43"/>
    </row>
    <row r="56" spans="1:35" x14ac:dyDescent="0.25">
      <c r="A56" s="115" t="s">
        <v>1127</v>
      </c>
      <c r="B56" s="115"/>
      <c r="C56" s="115">
        <v>8806.9030000000002</v>
      </c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43"/>
      <c r="AE56" s="43"/>
      <c r="AF56" s="43"/>
      <c r="AG56" s="43"/>
      <c r="AH56" s="43"/>
      <c r="AI56" s="43"/>
    </row>
    <row r="57" spans="1:35" x14ac:dyDescent="0.25">
      <c r="A57" s="115" t="s">
        <v>1032</v>
      </c>
      <c r="B57" s="115"/>
      <c r="C57" s="115">
        <v>7868.634</v>
      </c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43"/>
      <c r="AE57" s="43"/>
      <c r="AF57" s="43"/>
      <c r="AG57" s="43"/>
      <c r="AH57" s="43"/>
      <c r="AI57" s="43"/>
    </row>
    <row r="58" spans="1:35" x14ac:dyDescent="0.25">
      <c r="A58" s="115" t="s">
        <v>1068</v>
      </c>
      <c r="B58" s="115"/>
      <c r="C58" s="115">
        <v>11629.843999999999</v>
      </c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43"/>
      <c r="AE58" s="43"/>
      <c r="AF58" s="43"/>
      <c r="AG58" s="43"/>
      <c r="AH58" s="43"/>
      <c r="AI58" s="43"/>
    </row>
    <row r="59" spans="1:35" x14ac:dyDescent="0.25">
      <c r="A59" s="115" t="s">
        <v>1130</v>
      </c>
      <c r="B59" s="115"/>
      <c r="C59" s="115">
        <v>9620.5990000000002</v>
      </c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43"/>
      <c r="AE59" s="43"/>
      <c r="AF59" s="43"/>
      <c r="AG59" s="43"/>
      <c r="AH59" s="43"/>
      <c r="AI59" s="43"/>
    </row>
    <row r="60" spans="1:35" x14ac:dyDescent="0.25">
      <c r="A60" s="115" t="s">
        <v>1040</v>
      </c>
      <c r="B60" s="115"/>
      <c r="C60" s="115">
        <v>8732.0550000000003</v>
      </c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43"/>
      <c r="AE60" s="43"/>
      <c r="AF60" s="43"/>
      <c r="AG60" s="43"/>
      <c r="AH60" s="43"/>
      <c r="AI60" s="43"/>
    </row>
    <row r="61" spans="1:35" x14ac:dyDescent="0.25">
      <c r="A61" s="115" t="s">
        <v>1078</v>
      </c>
      <c r="B61" s="115"/>
      <c r="C61" s="115">
        <v>12349.084000000001</v>
      </c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43"/>
      <c r="AE61" s="43"/>
      <c r="AF61" s="43"/>
      <c r="AG61" s="43"/>
      <c r="AH61" s="43"/>
      <c r="AI61" s="43"/>
    </row>
    <row r="62" spans="1:35" x14ac:dyDescent="0.25">
      <c r="A62" s="115" t="s">
        <v>1133</v>
      </c>
      <c r="B62" s="115"/>
      <c r="C62" s="115">
        <v>7499.8029999999999</v>
      </c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43"/>
      <c r="AE62" s="43"/>
      <c r="AF62" s="43"/>
      <c r="AG62" s="43"/>
      <c r="AH62" s="43"/>
      <c r="AI62" s="43"/>
    </row>
    <row r="63" spans="1:35" x14ac:dyDescent="0.25">
      <c r="A63" s="115" t="s">
        <v>1100</v>
      </c>
      <c r="B63" s="115"/>
      <c r="C63" s="115">
        <v>7499.8029999999999</v>
      </c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43"/>
      <c r="AE63" s="43"/>
      <c r="AF63" s="43"/>
      <c r="AG63" s="43"/>
      <c r="AH63" s="43"/>
      <c r="AI63" s="43"/>
    </row>
    <row r="64" spans="1:35" x14ac:dyDescent="0.25">
      <c r="A64" s="115" t="s">
        <v>1136</v>
      </c>
      <c r="B64" s="115"/>
      <c r="C64" s="115">
        <v>9775.1389999999992</v>
      </c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43"/>
      <c r="AE64" s="43"/>
      <c r="AF64" s="43"/>
      <c r="AG64" s="43"/>
      <c r="AH64" s="43"/>
      <c r="AI64" s="43"/>
    </row>
    <row r="65" spans="1:35" x14ac:dyDescent="0.25">
      <c r="A65" s="115" t="s">
        <v>1089</v>
      </c>
      <c r="B65" s="115"/>
      <c r="C65" s="115">
        <v>9775.1389999999992</v>
      </c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43"/>
      <c r="AE65" s="43"/>
      <c r="AF65" s="43"/>
      <c r="AG65" s="43"/>
      <c r="AH65" s="43"/>
      <c r="AI65" s="43"/>
    </row>
    <row r="66" spans="1:35" x14ac:dyDescent="0.25">
      <c r="A66" s="115" t="s">
        <v>1140</v>
      </c>
      <c r="B66" s="115"/>
      <c r="C66" s="115">
        <v>4618.2550000000001</v>
      </c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43"/>
      <c r="AE66" s="43"/>
      <c r="AF66" s="43"/>
      <c r="AG66" s="43"/>
      <c r="AH66" s="43"/>
      <c r="AI66" s="43"/>
    </row>
    <row r="67" spans="1:35" x14ac:dyDescent="0.25">
      <c r="A67" s="115" t="s">
        <v>1049</v>
      </c>
      <c r="B67" s="115"/>
      <c r="C67" s="115">
        <v>0</v>
      </c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43"/>
      <c r="AE67" s="43"/>
      <c r="AF67" s="43"/>
      <c r="AG67" s="43"/>
      <c r="AH67" s="43"/>
      <c r="AI67" s="43"/>
    </row>
    <row r="68" spans="1:35" x14ac:dyDescent="0.25">
      <c r="A68" s="115" t="s">
        <v>1111</v>
      </c>
      <c r="B68" s="115"/>
      <c r="C68" s="115">
        <v>4618.2550000000001</v>
      </c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43"/>
      <c r="AE68" s="43"/>
      <c r="AF68" s="43"/>
      <c r="AG68" s="43"/>
      <c r="AH68" s="43"/>
      <c r="AI68" s="43"/>
    </row>
    <row r="69" spans="1:35" x14ac:dyDescent="0.25">
      <c r="A69" s="115" t="s">
        <v>1145</v>
      </c>
      <c r="B69" s="115"/>
      <c r="C69" s="115">
        <v>8806.9030000000002</v>
      </c>
      <c r="D69" s="115">
        <v>7677.4009999999998</v>
      </c>
      <c r="E69" s="115">
        <v>7506.3980000000001</v>
      </c>
      <c r="F69" s="115">
        <v>7735.5680000000002</v>
      </c>
      <c r="G69" s="115">
        <v>7205.6679999999997</v>
      </c>
      <c r="H69" s="115">
        <v>6694.8829999999998</v>
      </c>
      <c r="I69" s="115">
        <v>6794.1130000000003</v>
      </c>
      <c r="J69" s="115">
        <v>7138.4660000000003</v>
      </c>
      <c r="K69" s="115">
        <v>6825.8230000000003</v>
      </c>
      <c r="L69" s="115">
        <v>6807.68</v>
      </c>
      <c r="M69" s="115">
        <v>6793.6009999999997</v>
      </c>
      <c r="N69" s="115">
        <v>6779.0280000000002</v>
      </c>
      <c r="O69" s="115">
        <v>6895.299</v>
      </c>
      <c r="P69" s="115">
        <v>6794.6570000000002</v>
      </c>
      <c r="Q69" s="115">
        <v>6842.1009999999997</v>
      </c>
      <c r="R69" s="115">
        <v>6872.5929999999998</v>
      </c>
      <c r="S69" s="115">
        <v>7662.1260000000002</v>
      </c>
      <c r="T69" s="115">
        <v>6957.6970000000001</v>
      </c>
      <c r="U69" s="115">
        <v>6931.2020000000002</v>
      </c>
      <c r="V69" s="115">
        <v>6921.4470000000001</v>
      </c>
      <c r="W69" s="115">
        <v>7045.4709999999995</v>
      </c>
      <c r="X69" s="115">
        <v>7157.4629999999997</v>
      </c>
      <c r="Y69" s="115">
        <v>6730.6610000000001</v>
      </c>
      <c r="Z69" s="115">
        <v>6919.9620000000004</v>
      </c>
      <c r="AA69" s="115">
        <v>6601.5649999999996</v>
      </c>
      <c r="AB69" s="115">
        <v>6261.5439999999999</v>
      </c>
      <c r="AC69" s="115">
        <v>5975.5020000000004</v>
      </c>
      <c r="AD69" s="43"/>
      <c r="AE69" s="43"/>
      <c r="AF69" s="43"/>
      <c r="AG69" s="43"/>
      <c r="AH69" s="43"/>
      <c r="AI69" s="43"/>
    </row>
    <row r="70" spans="1:35" x14ac:dyDescent="0.25">
      <c r="A70" s="115" t="s">
        <v>1024</v>
      </c>
      <c r="B70" s="115"/>
      <c r="C70" s="115">
        <v>7868.634</v>
      </c>
      <c r="D70" s="115">
        <v>7358.4480000000003</v>
      </c>
      <c r="E70" s="115">
        <v>6801.6329999999998</v>
      </c>
      <c r="F70" s="115">
        <v>7031.0510000000004</v>
      </c>
      <c r="G70" s="115">
        <v>6593.5280000000002</v>
      </c>
      <c r="H70" s="115">
        <v>6103.4430000000002</v>
      </c>
      <c r="I70" s="115">
        <v>5649.509</v>
      </c>
      <c r="J70" s="115">
        <v>6334.08</v>
      </c>
      <c r="K70" s="115">
        <v>5830.9</v>
      </c>
      <c r="L70" s="115">
        <v>5993.8819999999996</v>
      </c>
      <c r="M70" s="115">
        <v>6195.3459999999995</v>
      </c>
      <c r="N70" s="115">
        <v>6367.2619999999997</v>
      </c>
      <c r="O70" s="115">
        <v>6419.6970000000001</v>
      </c>
      <c r="P70" s="115">
        <v>6750.1270000000004</v>
      </c>
      <c r="Q70" s="115">
        <v>6912.9780000000001</v>
      </c>
      <c r="R70" s="115">
        <v>7113.3490000000002</v>
      </c>
      <c r="S70" s="115">
        <v>7248.1109999999999</v>
      </c>
      <c r="T70" s="115">
        <v>7163.348</v>
      </c>
      <c r="U70" s="115">
        <v>7158.3010000000004</v>
      </c>
      <c r="V70" s="115">
        <v>7183.8320000000003</v>
      </c>
      <c r="W70" s="115">
        <v>7389.3360000000002</v>
      </c>
      <c r="X70" s="115">
        <v>7613.66</v>
      </c>
      <c r="Y70" s="115">
        <v>6826.8609999999999</v>
      </c>
      <c r="Z70" s="115">
        <v>7125.2240000000002</v>
      </c>
      <c r="AA70" s="115">
        <v>6595.9480000000003</v>
      </c>
      <c r="AB70" s="115">
        <v>6081.4440000000004</v>
      </c>
      <c r="AC70" s="115">
        <v>5673.8320000000003</v>
      </c>
      <c r="AD70" s="43"/>
      <c r="AE70" s="43"/>
      <c r="AF70" s="43"/>
      <c r="AG70" s="43"/>
      <c r="AH70" s="43"/>
      <c r="AI70" s="43"/>
    </row>
    <row r="71" spans="1:35" x14ac:dyDescent="0.25">
      <c r="A71" s="115" t="s">
        <v>1059</v>
      </c>
      <c r="B71" s="115"/>
      <c r="C71" s="115">
        <v>11629.843999999999</v>
      </c>
      <c r="D71" s="115">
        <v>8999.4719999999998</v>
      </c>
      <c r="E71" s="115">
        <v>9538.8580000000002</v>
      </c>
      <c r="F71" s="115">
        <v>9615.634</v>
      </c>
      <c r="G71" s="115">
        <v>8806.393</v>
      </c>
      <c r="H71" s="115">
        <v>8287.9860000000008</v>
      </c>
      <c r="I71" s="115">
        <v>9669.7510000000002</v>
      </c>
      <c r="J71" s="115">
        <v>8672.34</v>
      </c>
      <c r="K71" s="115">
        <v>8837.0769999999993</v>
      </c>
      <c r="L71" s="115">
        <v>8504.9210000000003</v>
      </c>
      <c r="M71" s="115">
        <v>8019.4040000000005</v>
      </c>
      <c r="N71" s="115">
        <v>7658.1909999999998</v>
      </c>
      <c r="O71" s="115">
        <v>7772.7060000000001</v>
      </c>
      <c r="P71" s="115">
        <v>6849.0410000000002</v>
      </c>
      <c r="Q71" s="115">
        <v>6751.0339999999997</v>
      </c>
      <c r="R71" s="115">
        <v>6593.741</v>
      </c>
      <c r="S71" s="115">
        <v>8103.268</v>
      </c>
      <c r="T71" s="115">
        <v>6730.6289999999999</v>
      </c>
      <c r="U71" s="115">
        <v>6671.0209999999997</v>
      </c>
      <c r="V71" s="115">
        <v>6609.4279999999999</v>
      </c>
      <c r="W71" s="115">
        <v>6531.3549999999996</v>
      </c>
      <c r="X71" s="115">
        <v>6560.0690000000004</v>
      </c>
      <c r="Y71" s="115">
        <v>6574.3389999999999</v>
      </c>
      <c r="Z71" s="115">
        <v>6594.1940000000004</v>
      </c>
      <c r="AA71" s="115">
        <v>6611.6220000000003</v>
      </c>
      <c r="AB71" s="115">
        <v>6627.05</v>
      </c>
      <c r="AC71" s="115">
        <v>6657.5119999999997</v>
      </c>
      <c r="AD71" s="43"/>
      <c r="AE71" s="43"/>
      <c r="AF71" s="43"/>
      <c r="AG71" s="43"/>
      <c r="AH71" s="43"/>
      <c r="AI71" s="43"/>
    </row>
    <row r="72" spans="1:35" x14ac:dyDescent="0.25">
      <c r="A72" s="115" t="s">
        <v>1148</v>
      </c>
      <c r="B72" s="115"/>
      <c r="C72" s="115">
        <v>11629.843999999999</v>
      </c>
      <c r="D72" s="115">
        <v>8999.4719999999998</v>
      </c>
      <c r="E72" s="115">
        <v>9538.8580000000002</v>
      </c>
      <c r="F72" s="115">
        <v>9615.634</v>
      </c>
      <c r="G72" s="115">
        <v>8806.393</v>
      </c>
      <c r="H72" s="115">
        <v>8287.9860000000008</v>
      </c>
      <c r="I72" s="115">
        <v>9669.7510000000002</v>
      </c>
      <c r="J72" s="115">
        <v>8672.34</v>
      </c>
      <c r="K72" s="115">
        <v>8837.0769999999993</v>
      </c>
      <c r="L72" s="115">
        <v>8504.9210000000003</v>
      </c>
      <c r="M72" s="115">
        <v>8019.4040000000005</v>
      </c>
      <c r="N72" s="115">
        <v>7658.1909999999998</v>
      </c>
      <c r="O72" s="115">
        <v>7772.7060000000001</v>
      </c>
      <c r="P72" s="115">
        <v>6849.0410000000002</v>
      </c>
      <c r="Q72" s="115">
        <v>6751.0339999999997</v>
      </c>
      <c r="R72" s="115">
        <v>6593.741</v>
      </c>
      <c r="S72" s="115">
        <v>8103.268</v>
      </c>
      <c r="T72" s="115">
        <v>6730.6289999999999</v>
      </c>
      <c r="U72" s="115">
        <v>6671.0209999999997</v>
      </c>
      <c r="V72" s="115">
        <v>6609.4279999999999</v>
      </c>
      <c r="W72" s="115">
        <v>6531.3549999999996</v>
      </c>
      <c r="X72" s="115">
        <v>6560.0690000000004</v>
      </c>
      <c r="Y72" s="115">
        <v>6574.3389999999999</v>
      </c>
      <c r="Z72" s="115">
        <v>6594.1940000000004</v>
      </c>
      <c r="AA72" s="115">
        <v>6611.6220000000003</v>
      </c>
      <c r="AB72" s="115">
        <v>6627.05</v>
      </c>
      <c r="AC72" s="115">
        <v>6657.5119999999997</v>
      </c>
      <c r="AD72" s="43"/>
      <c r="AE72" s="43"/>
      <c r="AF72" s="43"/>
      <c r="AG72" s="43"/>
      <c r="AH72" s="43"/>
      <c r="AI72" s="43"/>
    </row>
    <row r="73" spans="1:35" x14ac:dyDescent="0.25">
      <c r="A73" s="115" t="s">
        <v>1122</v>
      </c>
      <c r="B73" s="115"/>
      <c r="C73" s="115">
        <v>11629.843999999999</v>
      </c>
      <c r="D73" s="115">
        <v>8999.4719999999998</v>
      </c>
      <c r="E73" s="115">
        <v>9538.8580000000002</v>
      </c>
      <c r="F73" s="115">
        <v>9615.634</v>
      </c>
      <c r="G73" s="115">
        <v>8806.393</v>
      </c>
      <c r="H73" s="115">
        <v>8287.9860000000008</v>
      </c>
      <c r="I73" s="115">
        <v>9669.7510000000002</v>
      </c>
      <c r="J73" s="115">
        <v>8672.34</v>
      </c>
      <c r="K73" s="115">
        <v>8837.0769999999993</v>
      </c>
      <c r="L73" s="115">
        <v>8504.9210000000003</v>
      </c>
      <c r="M73" s="115">
        <v>8019.4040000000005</v>
      </c>
      <c r="N73" s="115">
        <v>7658.1909999999998</v>
      </c>
      <c r="O73" s="115">
        <v>7772.7060000000001</v>
      </c>
      <c r="P73" s="115">
        <v>6849.0410000000002</v>
      </c>
      <c r="Q73" s="115">
        <v>6751.0339999999997</v>
      </c>
      <c r="R73" s="115">
        <v>6593.741</v>
      </c>
      <c r="S73" s="115">
        <v>8103.268</v>
      </c>
      <c r="T73" s="115">
        <v>6730.6289999999999</v>
      </c>
      <c r="U73" s="115">
        <v>6671.0209999999997</v>
      </c>
      <c r="V73" s="115">
        <v>6609.4279999999999</v>
      </c>
      <c r="W73" s="115">
        <v>6531.3549999999996</v>
      </c>
      <c r="X73" s="115">
        <v>6560.0690000000004</v>
      </c>
      <c r="Y73" s="115">
        <v>6574.3389999999999</v>
      </c>
      <c r="Z73" s="115">
        <v>6594.1940000000004</v>
      </c>
      <c r="AA73" s="115">
        <v>6611.6220000000003</v>
      </c>
      <c r="AB73" s="115">
        <v>6627.05</v>
      </c>
      <c r="AC73" s="115">
        <v>6657.5119999999997</v>
      </c>
      <c r="AD73" s="43"/>
      <c r="AE73" s="43"/>
      <c r="AF73" s="43"/>
      <c r="AG73" s="43"/>
      <c r="AH73" s="43"/>
      <c r="AI73" s="43"/>
    </row>
    <row r="74" spans="1:35" x14ac:dyDescent="0.25">
      <c r="A74" s="115" t="s">
        <v>1069</v>
      </c>
      <c r="B74" s="115"/>
      <c r="C74" s="115">
        <v>5.6890000000000001</v>
      </c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43"/>
      <c r="AE74" s="43"/>
      <c r="AF74" s="43"/>
      <c r="AG74" s="43"/>
      <c r="AH74" s="43"/>
      <c r="AI74" s="43"/>
    </row>
    <row r="75" spans="1:35" x14ac:dyDescent="0.25">
      <c r="A75" s="115" t="s">
        <v>1079</v>
      </c>
      <c r="B75" s="115"/>
      <c r="C75" s="115">
        <v>5.3040000000000003</v>
      </c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43"/>
      <c r="AE75" s="43"/>
      <c r="AF75" s="43"/>
      <c r="AG75" s="43"/>
      <c r="AH75" s="43"/>
      <c r="AI75" s="43"/>
    </row>
    <row r="76" spans="1:35" x14ac:dyDescent="0.25">
      <c r="A76" s="115" t="s">
        <v>1101</v>
      </c>
      <c r="B76" s="115"/>
      <c r="C76" s="115">
        <v>4.7720000000000002</v>
      </c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43"/>
      <c r="AE76" s="43"/>
      <c r="AF76" s="43"/>
      <c r="AG76" s="43"/>
      <c r="AH76" s="43"/>
      <c r="AI76" s="43"/>
    </row>
    <row r="77" spans="1:35" x14ac:dyDescent="0.25">
      <c r="A77" s="115" t="s">
        <v>1090</v>
      </c>
      <c r="B77" s="115"/>
      <c r="C77" s="115">
        <v>4.4000000000000004</v>
      </c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43"/>
      <c r="AE77" s="43"/>
      <c r="AF77" s="43"/>
      <c r="AG77" s="43"/>
      <c r="AH77" s="43"/>
      <c r="AI77" s="43"/>
    </row>
    <row r="78" spans="1:35" x14ac:dyDescent="0.25">
      <c r="A78" s="115" t="s">
        <v>1112</v>
      </c>
      <c r="B78" s="115"/>
      <c r="C78" s="115">
        <v>0.61499999999999999</v>
      </c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43"/>
      <c r="AE78" s="43"/>
      <c r="AF78" s="43"/>
      <c r="AG78" s="43"/>
      <c r="AH78" s="43"/>
      <c r="AI78" s="43"/>
    </row>
    <row r="79" spans="1:35" x14ac:dyDescent="0.25">
      <c r="A79" s="115" t="s">
        <v>1060</v>
      </c>
      <c r="B79" s="115"/>
      <c r="C79" s="115">
        <v>5.6890000000000001</v>
      </c>
      <c r="D79" s="115">
        <v>4.149</v>
      </c>
      <c r="E79" s="115">
        <v>4.1040000000000001</v>
      </c>
      <c r="F79" s="115">
        <v>4.399</v>
      </c>
      <c r="G79" s="115">
        <v>3.7890000000000001</v>
      </c>
      <c r="H79" s="115">
        <v>3.3540000000000001</v>
      </c>
      <c r="I79" s="115">
        <v>3.9990000000000001</v>
      </c>
      <c r="J79" s="115">
        <v>3.8</v>
      </c>
      <c r="K79" s="115">
        <v>3.8340000000000001</v>
      </c>
      <c r="L79" s="115">
        <v>3.4569999999999999</v>
      </c>
      <c r="M79" s="115">
        <v>2.944</v>
      </c>
      <c r="N79" s="115">
        <v>2.6269999999999998</v>
      </c>
      <c r="O79" s="115">
        <v>2.6909999999999998</v>
      </c>
      <c r="P79" s="115">
        <v>2.0880000000000001</v>
      </c>
      <c r="Q79" s="115">
        <v>1.9530000000000001</v>
      </c>
      <c r="R79" s="115">
        <v>1.8029999999999999</v>
      </c>
      <c r="S79" s="115">
        <v>2.5630000000000002</v>
      </c>
      <c r="T79" s="115">
        <v>1.454</v>
      </c>
      <c r="U79" s="115">
        <v>1.383</v>
      </c>
      <c r="V79" s="115">
        <v>1.3129999999999999</v>
      </c>
      <c r="W79" s="115">
        <v>1.2370000000000001</v>
      </c>
      <c r="X79" s="115">
        <v>1.196</v>
      </c>
      <c r="Y79" s="115">
        <v>1.1499999999999999</v>
      </c>
      <c r="Z79" s="115">
        <v>1.109</v>
      </c>
      <c r="AA79" s="115">
        <v>1.0680000000000001</v>
      </c>
      <c r="AB79" s="115">
        <v>1.0269999999999999</v>
      </c>
      <c r="AC79" s="115">
        <v>0.98499999999999999</v>
      </c>
      <c r="AD79" s="43"/>
      <c r="AE79" s="43"/>
      <c r="AF79" s="43"/>
      <c r="AG79" s="43"/>
      <c r="AH79" s="43"/>
      <c r="AI79" s="43"/>
    </row>
    <row r="80" spans="1:35" x14ac:dyDescent="0.25">
      <c r="A80" s="115" t="s">
        <v>1123</v>
      </c>
      <c r="B80" s="115"/>
      <c r="C80" s="115">
        <v>5.6890000000000001</v>
      </c>
      <c r="D80" s="115">
        <v>4.149</v>
      </c>
      <c r="E80" s="115">
        <v>4.1040000000000001</v>
      </c>
      <c r="F80" s="115">
        <v>4.399</v>
      </c>
      <c r="G80" s="115">
        <v>3.7890000000000001</v>
      </c>
      <c r="H80" s="115">
        <v>3.3540000000000001</v>
      </c>
      <c r="I80" s="115">
        <v>3.9990000000000001</v>
      </c>
      <c r="J80" s="115">
        <v>3.8</v>
      </c>
      <c r="K80" s="115">
        <v>3.8340000000000001</v>
      </c>
      <c r="L80" s="115">
        <v>3.4569999999999999</v>
      </c>
      <c r="M80" s="115">
        <v>2.944</v>
      </c>
      <c r="N80" s="115">
        <v>2.6269999999999998</v>
      </c>
      <c r="O80" s="115">
        <v>2.6909999999999998</v>
      </c>
      <c r="P80" s="115">
        <v>2.0880000000000001</v>
      </c>
      <c r="Q80" s="115">
        <v>1.9530000000000001</v>
      </c>
      <c r="R80" s="115">
        <v>1.8029999999999999</v>
      </c>
      <c r="S80" s="115">
        <v>2.5630000000000002</v>
      </c>
      <c r="T80" s="115">
        <v>1.454</v>
      </c>
      <c r="U80" s="115">
        <v>1.383</v>
      </c>
      <c r="V80" s="115">
        <v>1.3129999999999999</v>
      </c>
      <c r="W80" s="115">
        <v>1.2370000000000001</v>
      </c>
      <c r="X80" s="115">
        <v>1.196</v>
      </c>
      <c r="Y80" s="115">
        <v>1.1499999999999999</v>
      </c>
      <c r="Z80" s="115">
        <v>1.109</v>
      </c>
      <c r="AA80" s="115">
        <v>1.0680000000000001</v>
      </c>
      <c r="AB80" s="115">
        <v>1.0269999999999999</v>
      </c>
      <c r="AC80" s="115">
        <v>0.98499999999999999</v>
      </c>
      <c r="AD80" s="43"/>
      <c r="AE80" s="43"/>
      <c r="AF80" s="43"/>
      <c r="AG80" s="43"/>
      <c r="AH80" s="43"/>
      <c r="AI80" s="43"/>
    </row>
    <row r="81" spans="1:35" x14ac:dyDescent="0.25">
      <c r="A81" s="115" t="s">
        <v>1294</v>
      </c>
      <c r="B81" s="115"/>
      <c r="C81" s="115">
        <v>-232.11500000000001</v>
      </c>
      <c r="D81" s="115">
        <v>-79.296000000000006</v>
      </c>
      <c r="E81" s="115">
        <v>-575.98900000000003</v>
      </c>
      <c r="F81" s="115">
        <v>-809.67600000000004</v>
      </c>
      <c r="G81" s="115">
        <v>-780.899</v>
      </c>
      <c r="H81" s="115">
        <v>-753.65599999999995</v>
      </c>
      <c r="I81" s="115">
        <v>-1243.452</v>
      </c>
      <c r="J81" s="115">
        <v>-1204.973</v>
      </c>
      <c r="K81" s="115">
        <v>-1164.3510000000001</v>
      </c>
      <c r="L81" s="115">
        <v>-1127.672</v>
      </c>
      <c r="M81" s="115">
        <v>-1091.7239999999999</v>
      </c>
      <c r="N81" s="115">
        <v>-1056.2539999999999</v>
      </c>
      <c r="O81" s="115">
        <v>-933.24300000000005</v>
      </c>
      <c r="P81" s="115">
        <v>-908.18</v>
      </c>
      <c r="Q81" s="115">
        <v>-884.77200000000005</v>
      </c>
      <c r="R81" s="115">
        <v>-861.36699999999996</v>
      </c>
      <c r="S81" s="115">
        <v>-746.18600000000004</v>
      </c>
      <c r="T81" s="115">
        <v>-780.75</v>
      </c>
      <c r="U81" s="115">
        <v>-769.90300000000002</v>
      </c>
      <c r="V81" s="115">
        <v>-759.46600000000001</v>
      </c>
      <c r="W81" s="115">
        <v>-753.15899999999999</v>
      </c>
      <c r="X81" s="115">
        <v>-746.20100000000002</v>
      </c>
      <c r="Y81" s="115">
        <v>-740.69100000000003</v>
      </c>
      <c r="Z81" s="115">
        <v>-735.09100000000001</v>
      </c>
      <c r="AA81" s="115">
        <v>-730.09900000000005</v>
      </c>
      <c r="AB81" s="115">
        <v>-725.65</v>
      </c>
      <c r="AC81" s="115">
        <v>-720.99900000000002</v>
      </c>
      <c r="AD81" s="43"/>
      <c r="AE81" s="43"/>
      <c r="AF81" s="43"/>
      <c r="AG81" s="43"/>
      <c r="AH81" s="43"/>
      <c r="AI81" s="43"/>
    </row>
    <row r="82" spans="1:35" x14ac:dyDescent="0.25">
      <c r="A82" s="115" t="s">
        <v>1295</v>
      </c>
      <c r="B82" s="115"/>
      <c r="C82" s="115">
        <v>-333.05099999999999</v>
      </c>
      <c r="D82" s="115">
        <v>-607.22500000000002</v>
      </c>
      <c r="E82" s="115">
        <v>-607.09</v>
      </c>
      <c r="F82" s="115">
        <v>-764.57600000000002</v>
      </c>
      <c r="G82" s="115">
        <v>-741.15700000000004</v>
      </c>
      <c r="H82" s="115">
        <v>-719.5</v>
      </c>
      <c r="I82" s="115">
        <v>-1100.3510000000001</v>
      </c>
      <c r="J82" s="115">
        <v>-1062.3689999999999</v>
      </c>
      <c r="K82" s="115">
        <v>-1020.165</v>
      </c>
      <c r="L82" s="115">
        <v>-985.99300000000005</v>
      </c>
      <c r="M82" s="115">
        <v>-953.59400000000005</v>
      </c>
      <c r="N82" s="115">
        <v>-922.70299999999997</v>
      </c>
      <c r="O82" s="115">
        <v>-849.726</v>
      </c>
      <c r="P82" s="115">
        <v>-829.08699999999999</v>
      </c>
      <c r="Q82" s="115">
        <v>-809.63099999999997</v>
      </c>
      <c r="R82" s="115">
        <v>-790.73699999999997</v>
      </c>
      <c r="S82" s="115">
        <v>-734.20299999999997</v>
      </c>
      <c r="T82" s="115">
        <v>-773.65499999999997</v>
      </c>
      <c r="U82" s="115">
        <v>-766.93499999999995</v>
      </c>
      <c r="V82" s="115">
        <v>-760.69299999999998</v>
      </c>
      <c r="W82" s="115">
        <v>-757.84199999999998</v>
      </c>
      <c r="X82" s="115">
        <v>-754.51499999999999</v>
      </c>
      <c r="Y82" s="115">
        <v>-752.197</v>
      </c>
      <c r="Z82" s="115">
        <v>-749.89300000000003</v>
      </c>
      <c r="AA82" s="115">
        <v>-748</v>
      </c>
      <c r="AB82" s="115">
        <v>-746.44899999999996</v>
      </c>
      <c r="AC82" s="115">
        <v>-765.55</v>
      </c>
      <c r="AD82" s="43"/>
      <c r="AE82" s="43"/>
      <c r="AF82" s="43"/>
      <c r="AG82" s="43"/>
      <c r="AH82" s="43"/>
      <c r="AI82" s="43"/>
    </row>
    <row r="83" spans="1:35" x14ac:dyDescent="0.25">
      <c r="A83" s="115" t="s">
        <v>1296</v>
      </c>
      <c r="B83" s="115"/>
      <c r="C83" s="115">
        <v>-520.74</v>
      </c>
      <c r="D83" s="115">
        <v>-717.92399999999998</v>
      </c>
      <c r="E83" s="115">
        <v>-718.38499999999999</v>
      </c>
      <c r="F83" s="115">
        <v>-784.37800000000004</v>
      </c>
      <c r="G83" s="115">
        <v>-773.15700000000004</v>
      </c>
      <c r="H83" s="115">
        <v>-763.125</v>
      </c>
      <c r="I83" s="115">
        <v>-987.48299999999995</v>
      </c>
      <c r="J83" s="115">
        <v>-959.34799999999996</v>
      </c>
      <c r="K83" s="115">
        <v>-927.89599999999996</v>
      </c>
      <c r="L83" s="115">
        <v>-905.03200000000004</v>
      </c>
      <c r="M83" s="115">
        <v>-884.31399999999996</v>
      </c>
      <c r="N83" s="115">
        <v>-865.45899999999995</v>
      </c>
      <c r="O83" s="115">
        <v>-815.904</v>
      </c>
      <c r="P83" s="115">
        <v>-803.52200000000005</v>
      </c>
      <c r="Q83" s="115">
        <v>-792.30700000000002</v>
      </c>
      <c r="R83" s="115">
        <v>-781.41700000000003</v>
      </c>
      <c r="S83" s="115">
        <v>-593.10799999999995</v>
      </c>
      <c r="T83" s="115">
        <v>-796.93100000000004</v>
      </c>
      <c r="U83" s="115">
        <v>-795.45500000000004</v>
      </c>
      <c r="V83" s="115">
        <v>-794.36599999999999</v>
      </c>
      <c r="W83" s="115">
        <v>-795.67700000000002</v>
      </c>
      <c r="X83" s="115">
        <v>-796.851</v>
      </c>
      <c r="Y83" s="115">
        <v>-798.74800000000005</v>
      </c>
      <c r="Z83" s="115">
        <v>-800.70899999999995</v>
      </c>
      <c r="AA83" s="115">
        <v>-803.22299999999996</v>
      </c>
      <c r="AB83" s="115">
        <v>-805.69299999999998</v>
      </c>
      <c r="AC83" s="115">
        <v>-808.36500000000001</v>
      </c>
      <c r="AD83" s="43"/>
      <c r="AE83" s="43"/>
      <c r="AF83" s="43"/>
      <c r="AG83" s="43"/>
      <c r="AH83" s="43"/>
      <c r="AI83" s="43"/>
    </row>
    <row r="84" spans="1:35" x14ac:dyDescent="0.25">
      <c r="A84" s="115" t="s">
        <v>1297</v>
      </c>
      <c r="B84" s="115"/>
      <c r="C84" s="115">
        <v>-545.66300000000001</v>
      </c>
      <c r="D84" s="115">
        <v>-714.01</v>
      </c>
      <c r="E84" s="115">
        <v>-715.59900000000005</v>
      </c>
      <c r="F84" s="115">
        <v>-762.92200000000003</v>
      </c>
      <c r="G84" s="115">
        <v>-755.702</v>
      </c>
      <c r="H84" s="115">
        <v>-749.24800000000005</v>
      </c>
      <c r="I84" s="115">
        <v>-943.971</v>
      </c>
      <c r="J84" s="115">
        <v>-920.19799999999998</v>
      </c>
      <c r="K84" s="115">
        <v>-896.52800000000002</v>
      </c>
      <c r="L84" s="115">
        <v>-877.87300000000005</v>
      </c>
      <c r="M84" s="115">
        <v>-860.803</v>
      </c>
      <c r="N84" s="115">
        <v>-844.971</v>
      </c>
      <c r="O84" s="115">
        <v>-780.64599999999996</v>
      </c>
      <c r="P84" s="115">
        <v>-770.92</v>
      </c>
      <c r="Q84" s="115">
        <v>-763.59400000000005</v>
      </c>
      <c r="R84" s="115">
        <v>-755.21</v>
      </c>
      <c r="S84" s="115">
        <v>-566.74300000000005</v>
      </c>
      <c r="T84" s="115">
        <v>-774.92200000000003</v>
      </c>
      <c r="U84" s="115">
        <v>-774.45600000000002</v>
      </c>
      <c r="V84" s="115">
        <v>-774.327</v>
      </c>
      <c r="W84" s="115">
        <v>-779.51199999999994</v>
      </c>
      <c r="X84" s="115">
        <v>-781.51599999999996</v>
      </c>
      <c r="Y84" s="115">
        <v>-784.24199999999996</v>
      </c>
      <c r="Z84" s="115">
        <v>-786.995</v>
      </c>
      <c r="AA84" s="115">
        <v>-790.04300000000001</v>
      </c>
      <c r="AB84" s="115">
        <v>-793.26599999999996</v>
      </c>
      <c r="AC84" s="115">
        <v>-796.77</v>
      </c>
      <c r="AD84" s="43"/>
      <c r="AE84" s="43"/>
      <c r="AF84" s="43"/>
      <c r="AG84" s="43"/>
      <c r="AH84" s="43"/>
      <c r="AI84" s="43"/>
    </row>
    <row r="85" spans="1:35" x14ac:dyDescent="0.25">
      <c r="A85" s="115" t="s">
        <v>1298</v>
      </c>
      <c r="B85" s="115"/>
      <c r="C85" s="115">
        <v>-544.29100000000005</v>
      </c>
      <c r="D85" s="115">
        <v>-692.274</v>
      </c>
      <c r="E85" s="115">
        <v>-692.58500000000004</v>
      </c>
      <c r="F85" s="115">
        <v>-709.55200000000002</v>
      </c>
      <c r="G85" s="115">
        <v>-704.53700000000003</v>
      </c>
      <c r="H85" s="115">
        <v>-700.11</v>
      </c>
      <c r="I85" s="115">
        <v>-800.27499999999998</v>
      </c>
      <c r="J85" s="115">
        <v>-783.30899999999997</v>
      </c>
      <c r="K85" s="115">
        <v>-779.13699999999994</v>
      </c>
      <c r="L85" s="115">
        <v>-762.67700000000002</v>
      </c>
      <c r="M85" s="115">
        <v>-747.06500000000005</v>
      </c>
      <c r="N85" s="115">
        <v>-732.73199999999997</v>
      </c>
      <c r="O85" s="115">
        <v>-653.44500000000005</v>
      </c>
      <c r="P85" s="115">
        <v>-648.79100000000005</v>
      </c>
      <c r="Q85" s="115">
        <v>-646.03099999999995</v>
      </c>
      <c r="R85" s="115">
        <v>-644.351</v>
      </c>
      <c r="S85" s="115">
        <v>-434.31</v>
      </c>
      <c r="T85" s="115">
        <v>-725.005</v>
      </c>
      <c r="U85" s="115">
        <v>-728.05499999999995</v>
      </c>
      <c r="V85" s="115">
        <v>-731.375</v>
      </c>
      <c r="W85" s="115">
        <v>-736.14099999999996</v>
      </c>
      <c r="X85" s="115">
        <v>-741.18</v>
      </c>
      <c r="Y85" s="115">
        <v>-746.82100000000003</v>
      </c>
      <c r="Z85" s="115">
        <v>-752.47799999999995</v>
      </c>
      <c r="AA85" s="115">
        <v>-758.28099999999995</v>
      </c>
      <c r="AB85" s="115">
        <v>-764.04899999999998</v>
      </c>
      <c r="AC85" s="115">
        <v>-770.14400000000001</v>
      </c>
      <c r="AD85" s="43"/>
      <c r="AE85" s="43"/>
      <c r="AF85" s="43"/>
      <c r="AG85" s="43"/>
      <c r="AH85" s="43"/>
      <c r="AI85" s="43"/>
    </row>
    <row r="86" spans="1:35" x14ac:dyDescent="0.25">
      <c r="A86" s="115" t="s">
        <v>1304</v>
      </c>
      <c r="B86" s="115"/>
      <c r="C86" s="115">
        <v>-100.774</v>
      </c>
      <c r="D86" s="115">
        <v>55.326999999999998</v>
      </c>
      <c r="E86" s="115">
        <v>-450.173</v>
      </c>
      <c r="F86" s="115">
        <v>-251.87700000000001</v>
      </c>
      <c r="G86" s="115">
        <v>-252.46600000000001</v>
      </c>
      <c r="H86" s="115">
        <v>-256.18</v>
      </c>
      <c r="I86" s="115">
        <v>-472.76</v>
      </c>
      <c r="J86" s="115">
        <v>-450.11700000000002</v>
      </c>
      <c r="K86" s="115">
        <v>-430.86700000000002</v>
      </c>
      <c r="L86" s="115">
        <v>-419.71899999999999</v>
      </c>
      <c r="M86" s="115">
        <v>-414.38</v>
      </c>
      <c r="N86" s="115">
        <v>-414.07499999999999</v>
      </c>
      <c r="O86" s="115">
        <v>-338.85300000000001</v>
      </c>
      <c r="P86" s="115">
        <v>-332.29399999999998</v>
      </c>
      <c r="Q86" s="115">
        <v>-328.13799999999998</v>
      </c>
      <c r="R86" s="115">
        <v>-323.72300000000001</v>
      </c>
      <c r="S86" s="115">
        <v>-288.05900000000003</v>
      </c>
      <c r="T86" s="115">
        <v>-481.54500000000002</v>
      </c>
      <c r="U86" s="115">
        <v>-488.23</v>
      </c>
      <c r="V86" s="115">
        <v>-494.81599999999997</v>
      </c>
      <c r="W86" s="115">
        <v>-501.85599999999999</v>
      </c>
      <c r="X86" s="115">
        <v>-509.02199999999999</v>
      </c>
      <c r="Y86" s="115">
        <v>-519.16700000000003</v>
      </c>
      <c r="Z86" s="115">
        <v>-529.06799999999998</v>
      </c>
      <c r="AA86" s="115">
        <v>-539.88599999999997</v>
      </c>
      <c r="AB86" s="115">
        <v>-551.59799999999996</v>
      </c>
      <c r="AC86" s="115">
        <v>-565.47799999999995</v>
      </c>
      <c r="AD86" s="43"/>
      <c r="AE86" s="43"/>
      <c r="AF86" s="43"/>
      <c r="AG86" s="43"/>
      <c r="AH86" s="43"/>
      <c r="AI86" s="43"/>
    </row>
    <row r="87" spans="1:35" x14ac:dyDescent="0.25">
      <c r="A87" s="115" t="s">
        <v>1305</v>
      </c>
      <c r="B87" s="115"/>
      <c r="C87" s="115">
        <v>-201.11600000000001</v>
      </c>
      <c r="D87" s="115">
        <v>-486.38</v>
      </c>
      <c r="E87" s="115">
        <v>-486.45699999999999</v>
      </c>
      <c r="F87" s="115">
        <v>-325.77499999999998</v>
      </c>
      <c r="G87" s="115">
        <v>-330.791</v>
      </c>
      <c r="H87" s="115">
        <v>-338.55700000000002</v>
      </c>
      <c r="I87" s="115">
        <v>-504.77300000000002</v>
      </c>
      <c r="J87" s="115">
        <v>-489.88600000000002</v>
      </c>
      <c r="K87" s="115">
        <v>-475.38099999999997</v>
      </c>
      <c r="L87" s="115">
        <v>-473.15100000000001</v>
      </c>
      <c r="M87" s="115">
        <v>-477.01100000000002</v>
      </c>
      <c r="N87" s="115">
        <v>-485.97899999999998</v>
      </c>
      <c r="O87" s="115">
        <v>-423.20400000000001</v>
      </c>
      <c r="P87" s="115">
        <v>-420.80200000000002</v>
      </c>
      <c r="Q87" s="115">
        <v>-421.34100000000001</v>
      </c>
      <c r="R87" s="115">
        <v>-420.91699999999997</v>
      </c>
      <c r="S87" s="115">
        <v>-374.935</v>
      </c>
      <c r="T87" s="115">
        <v>-558.85299999999995</v>
      </c>
      <c r="U87" s="115">
        <v>-564.79700000000003</v>
      </c>
      <c r="V87" s="115">
        <v>-570.29300000000001</v>
      </c>
      <c r="W87" s="115">
        <v>-576.01900000000001</v>
      </c>
      <c r="X87" s="115">
        <v>-581.51700000000005</v>
      </c>
      <c r="Y87" s="115">
        <v>-589.32299999999998</v>
      </c>
      <c r="Z87" s="115">
        <v>-596.52599999999995</v>
      </c>
      <c r="AA87" s="115">
        <v>-604.24300000000005</v>
      </c>
      <c r="AB87" s="115">
        <v>-612.43399999999997</v>
      </c>
      <c r="AC87" s="115">
        <v>-640.82500000000005</v>
      </c>
      <c r="AD87" s="43"/>
      <c r="AE87" s="43"/>
      <c r="AF87" s="43"/>
      <c r="AG87" s="43"/>
      <c r="AH87" s="43"/>
      <c r="AI87" s="43"/>
    </row>
    <row r="88" spans="1:35" x14ac:dyDescent="0.25">
      <c r="A88" s="115" t="s">
        <v>1306</v>
      </c>
      <c r="B88" s="115"/>
      <c r="C88" s="115">
        <v>-34.997999999999998</v>
      </c>
      <c r="D88" s="115">
        <v>-545.49900000000002</v>
      </c>
      <c r="E88" s="115">
        <v>-545.66899999999998</v>
      </c>
      <c r="F88" s="115">
        <v>-443.81299999999999</v>
      </c>
      <c r="G88" s="115">
        <v>-451.35500000000002</v>
      </c>
      <c r="H88" s="115">
        <v>-459.87599999999998</v>
      </c>
      <c r="I88" s="115">
        <v>-533.38900000000001</v>
      </c>
      <c r="J88" s="115">
        <v>-525.67499999999995</v>
      </c>
      <c r="K88" s="115">
        <v>-490.39100000000002</v>
      </c>
      <c r="L88" s="115">
        <v>-495.43299999999999</v>
      </c>
      <c r="M88" s="115">
        <v>-506.68700000000001</v>
      </c>
      <c r="N88" s="115">
        <v>-523.42600000000004</v>
      </c>
      <c r="O88" s="115">
        <v>-467.51299999999998</v>
      </c>
      <c r="P88" s="115">
        <v>-468.10700000000003</v>
      </c>
      <c r="Q88" s="115">
        <v>-471.26100000000002</v>
      </c>
      <c r="R88" s="115">
        <v>-472.51</v>
      </c>
      <c r="S88" s="115">
        <v>324.99099999999999</v>
      </c>
      <c r="T88" s="115">
        <v>-626.30499999999995</v>
      </c>
      <c r="U88" s="115">
        <v>-631.39400000000001</v>
      </c>
      <c r="V88" s="115">
        <v>-635.92700000000002</v>
      </c>
      <c r="W88" s="115">
        <v>-640.43700000000001</v>
      </c>
      <c r="X88" s="115">
        <v>-644.92899999999997</v>
      </c>
      <c r="Y88" s="115">
        <v>-651.92399999999998</v>
      </c>
      <c r="Z88" s="115">
        <v>-658.14300000000003</v>
      </c>
      <c r="AA88" s="115">
        <v>-664.84</v>
      </c>
      <c r="AB88" s="115">
        <v>-671.62900000000002</v>
      </c>
      <c r="AC88" s="115">
        <v>-679.10299999999995</v>
      </c>
      <c r="AD88" s="43"/>
      <c r="AE88" s="43"/>
      <c r="AF88" s="43"/>
      <c r="AG88" s="43"/>
      <c r="AH88" s="43"/>
      <c r="AI88" s="43"/>
    </row>
    <row r="89" spans="1:35" x14ac:dyDescent="0.25">
      <c r="A89" s="115" t="s">
        <v>1307</v>
      </c>
      <c r="B89" s="115"/>
      <c r="C89" s="115">
        <v>-185.816</v>
      </c>
      <c r="D89" s="115">
        <v>-520.35799999999995</v>
      </c>
      <c r="E89" s="115">
        <v>-526.04100000000005</v>
      </c>
      <c r="F89" s="115">
        <v>-439.02199999999999</v>
      </c>
      <c r="G89" s="115">
        <v>-450.96600000000001</v>
      </c>
      <c r="H89" s="115">
        <v>-462.613</v>
      </c>
      <c r="I89" s="115">
        <v>-527.20000000000005</v>
      </c>
      <c r="J89" s="115">
        <v>-522.02099999999996</v>
      </c>
      <c r="K89" s="115">
        <v>-482.21499999999997</v>
      </c>
      <c r="L89" s="115">
        <v>-492.49299999999999</v>
      </c>
      <c r="M89" s="115">
        <v>-507.23</v>
      </c>
      <c r="N89" s="115">
        <v>-524.84900000000005</v>
      </c>
      <c r="O89" s="115">
        <v>-458.16899999999998</v>
      </c>
      <c r="P89" s="115">
        <v>-459.92399999999998</v>
      </c>
      <c r="Q89" s="115">
        <v>-464.35700000000003</v>
      </c>
      <c r="R89" s="115">
        <v>-466.76600000000002</v>
      </c>
      <c r="S89" s="115">
        <v>283.06900000000002</v>
      </c>
      <c r="T89" s="115">
        <v>-620.971</v>
      </c>
      <c r="U89" s="115">
        <v>-625.995</v>
      </c>
      <c r="V89" s="115">
        <v>-630.54600000000005</v>
      </c>
      <c r="W89" s="115">
        <v>-637.37099999999998</v>
      </c>
      <c r="X89" s="115">
        <v>-642.24800000000005</v>
      </c>
      <c r="Y89" s="115">
        <v>-649.48599999999999</v>
      </c>
      <c r="Z89" s="115">
        <v>-655.87599999999998</v>
      </c>
      <c r="AA89" s="115">
        <v>-662.52499999999998</v>
      </c>
      <c r="AB89" s="115">
        <v>-669.29200000000003</v>
      </c>
      <c r="AC89" s="115">
        <v>-676.78099999999995</v>
      </c>
      <c r="AD89" s="43"/>
      <c r="AE89" s="43"/>
      <c r="AF89" s="43"/>
      <c r="AG89" s="43"/>
      <c r="AH89" s="43"/>
      <c r="AI89" s="43"/>
    </row>
    <row r="90" spans="1:35" x14ac:dyDescent="0.25">
      <c r="A90" s="115" t="s">
        <v>1308</v>
      </c>
      <c r="B90" s="115"/>
      <c r="C90" s="115">
        <v>-135.137</v>
      </c>
      <c r="D90" s="115">
        <v>-409.98399999999998</v>
      </c>
      <c r="E90" s="115">
        <v>-433.73500000000001</v>
      </c>
      <c r="F90" s="115">
        <v>-376.108</v>
      </c>
      <c r="G90" s="115">
        <v>-397.97</v>
      </c>
      <c r="H90" s="115">
        <v>-415.63400000000001</v>
      </c>
      <c r="I90" s="115">
        <v>-454.27300000000002</v>
      </c>
      <c r="J90" s="115">
        <v>-452.077</v>
      </c>
      <c r="K90" s="115">
        <v>-393.64100000000002</v>
      </c>
      <c r="L90" s="115">
        <v>-409.44200000000001</v>
      </c>
      <c r="M90" s="115">
        <v>-424.67200000000003</v>
      </c>
      <c r="N90" s="115">
        <v>-440.17899999999997</v>
      </c>
      <c r="O90" s="115">
        <v>-372.536</v>
      </c>
      <c r="P90" s="115">
        <v>-385.02499999999998</v>
      </c>
      <c r="Q90" s="115">
        <v>-403.70600000000002</v>
      </c>
      <c r="R90" s="115">
        <v>-423.51600000000002</v>
      </c>
      <c r="S90" s="115">
        <v>151.58600000000001</v>
      </c>
      <c r="T90" s="115">
        <v>-603.27700000000004</v>
      </c>
      <c r="U90" s="115">
        <v>-608.93100000000004</v>
      </c>
      <c r="V90" s="115">
        <v>-614.06299999999999</v>
      </c>
      <c r="W90" s="115">
        <v>-619.09100000000001</v>
      </c>
      <c r="X90" s="115">
        <v>-624.16999999999996</v>
      </c>
      <c r="Y90" s="115">
        <v>-631.67200000000003</v>
      </c>
      <c r="Z90" s="115">
        <v>-638.25400000000002</v>
      </c>
      <c r="AA90" s="115">
        <v>-645.07500000000005</v>
      </c>
      <c r="AB90" s="115">
        <v>-651.96100000000001</v>
      </c>
      <c r="AC90" s="115">
        <v>-659.53700000000003</v>
      </c>
      <c r="AD90" s="43"/>
      <c r="AE90" s="43"/>
      <c r="AF90" s="43"/>
      <c r="AG90" s="43"/>
      <c r="AH90" s="43"/>
      <c r="AI90" s="43"/>
    </row>
    <row r="91" spans="1:35" x14ac:dyDescent="0.25">
      <c r="A91" s="115" t="s">
        <v>1309</v>
      </c>
      <c r="B91" s="115"/>
      <c r="C91" s="115">
        <v>667.36300000000006</v>
      </c>
      <c r="D91" s="115">
        <v>286.13600000000002</v>
      </c>
      <c r="E91" s="115">
        <v>-147.39400000000001</v>
      </c>
      <c r="F91" s="115">
        <v>-103.268</v>
      </c>
      <c r="G91" s="115">
        <v>-94.37</v>
      </c>
      <c r="H91" s="115">
        <v>-90.078999999999994</v>
      </c>
      <c r="I91" s="115">
        <v>-92.15</v>
      </c>
      <c r="J91" s="115">
        <v>-70.691999999999993</v>
      </c>
      <c r="K91" s="115">
        <v>-54.83</v>
      </c>
      <c r="L91" s="115">
        <v>-43.335000000000001</v>
      </c>
      <c r="M91" s="115">
        <v>-35.9</v>
      </c>
      <c r="N91" s="115">
        <v>-32.287999999999997</v>
      </c>
      <c r="O91" s="115">
        <v>-40.412999999999997</v>
      </c>
      <c r="P91" s="115">
        <v>-257.27800000000002</v>
      </c>
      <c r="Q91" s="115">
        <v>-269.73899999999998</v>
      </c>
      <c r="R91" s="115">
        <v>-280.82100000000003</v>
      </c>
      <c r="S91" s="115">
        <v>-146.81899999999999</v>
      </c>
      <c r="T91" s="115">
        <v>-302.654</v>
      </c>
      <c r="U91" s="115">
        <v>-311.69499999999999</v>
      </c>
      <c r="V91" s="115">
        <v>-319.58199999999999</v>
      </c>
      <c r="W91" s="115">
        <v>-327.70100000000002</v>
      </c>
      <c r="X91" s="115">
        <v>-334.73700000000002</v>
      </c>
      <c r="Y91" s="115">
        <v>-341.94299999999998</v>
      </c>
      <c r="Z91" s="115">
        <v>-348.19099999999997</v>
      </c>
      <c r="AA91" s="115">
        <v>-353.67099999999999</v>
      </c>
      <c r="AB91" s="115">
        <v>-358.52100000000002</v>
      </c>
      <c r="AC91" s="115">
        <v>-363.16399999999999</v>
      </c>
      <c r="AD91" s="43"/>
      <c r="AE91" s="43"/>
      <c r="AF91" s="43"/>
      <c r="AG91" s="43"/>
      <c r="AH91" s="43"/>
      <c r="AI91" s="43"/>
    </row>
    <row r="92" spans="1:35" x14ac:dyDescent="0.25">
      <c r="A92" s="115" t="s">
        <v>1310</v>
      </c>
      <c r="B92" s="115"/>
      <c r="C92" s="115">
        <v>472.35899999999998</v>
      </c>
      <c r="D92" s="115">
        <v>137.874</v>
      </c>
      <c r="E92" s="115">
        <v>-312.91800000000001</v>
      </c>
      <c r="F92" s="115">
        <v>-255.715</v>
      </c>
      <c r="G92" s="115">
        <v>-237.494</v>
      </c>
      <c r="H92" s="115">
        <v>-223.714</v>
      </c>
      <c r="I92" s="115">
        <v>-216.178</v>
      </c>
      <c r="J92" s="115">
        <v>-153.84800000000001</v>
      </c>
      <c r="K92" s="115">
        <v>-132.78399999999999</v>
      </c>
      <c r="L92" s="115">
        <v>-115.797</v>
      </c>
      <c r="M92" s="115">
        <v>-103.41</v>
      </c>
      <c r="N92" s="115">
        <v>-95.492999999999995</v>
      </c>
      <c r="O92" s="115">
        <v>-103.253</v>
      </c>
      <c r="P92" s="115">
        <v>-303.90100000000001</v>
      </c>
      <c r="Q92" s="115">
        <v>-315.91899999999998</v>
      </c>
      <c r="R92" s="115">
        <v>-326.55500000000001</v>
      </c>
      <c r="S92" s="115">
        <v>-200.018</v>
      </c>
      <c r="T92" s="115">
        <v>-347.255</v>
      </c>
      <c r="U92" s="115">
        <v>-355.58499999999998</v>
      </c>
      <c r="V92" s="115">
        <v>-362.74099999999999</v>
      </c>
      <c r="W92" s="115">
        <v>-370.59399999999999</v>
      </c>
      <c r="X92" s="115">
        <v>-377.34899999999999</v>
      </c>
      <c r="Y92" s="115">
        <v>-384.22500000000002</v>
      </c>
      <c r="Z92" s="115">
        <v>-390.22300000000001</v>
      </c>
      <c r="AA92" s="115">
        <v>-395.49099999999999</v>
      </c>
      <c r="AB92" s="115">
        <v>-400.19400000000002</v>
      </c>
      <c r="AC92" s="115">
        <v>-404.774</v>
      </c>
      <c r="AD92" s="43"/>
      <c r="AE92" s="43"/>
      <c r="AF92" s="43"/>
      <c r="AG92" s="43"/>
      <c r="AH92" s="43"/>
      <c r="AI92" s="43"/>
    </row>
    <row r="93" spans="1:35" x14ac:dyDescent="0.25">
      <c r="A93" s="115" t="s">
        <v>1311</v>
      </c>
      <c r="B93" s="115"/>
      <c r="C93" s="115">
        <v>498.63400000000001</v>
      </c>
      <c r="D93" s="115">
        <v>134.52600000000001</v>
      </c>
      <c r="E93" s="115">
        <v>-246.334</v>
      </c>
      <c r="F93" s="115">
        <v>-193.07499999999999</v>
      </c>
      <c r="G93" s="115">
        <v>-180.839</v>
      </c>
      <c r="H93" s="115">
        <v>-173.44800000000001</v>
      </c>
      <c r="I93" s="115">
        <v>-172.542</v>
      </c>
      <c r="J93" s="115">
        <v>-110.617</v>
      </c>
      <c r="K93" s="115">
        <v>-94.551000000000002</v>
      </c>
      <c r="L93" s="115">
        <v>-83.495000000000005</v>
      </c>
      <c r="M93" s="115">
        <v>-76.975999999999999</v>
      </c>
      <c r="N93" s="115">
        <v>-74.733999999999995</v>
      </c>
      <c r="O93" s="115">
        <v>-85.174000000000007</v>
      </c>
      <c r="P93" s="115">
        <v>-303.26900000000001</v>
      </c>
      <c r="Q93" s="115">
        <v>-315.87</v>
      </c>
      <c r="R93" s="115">
        <v>-327.01900000000001</v>
      </c>
      <c r="S93" s="115">
        <v>-198.70699999999999</v>
      </c>
      <c r="T93" s="115">
        <v>-348.71899999999999</v>
      </c>
      <c r="U93" s="115">
        <v>-357.43099999999998</v>
      </c>
      <c r="V93" s="115">
        <v>-364.84</v>
      </c>
      <c r="W93" s="115">
        <v>-373.327</v>
      </c>
      <c r="X93" s="115">
        <v>-380.56900000000002</v>
      </c>
      <c r="Y93" s="115">
        <v>-387.95</v>
      </c>
      <c r="Z93" s="115">
        <v>-394.30900000000003</v>
      </c>
      <c r="AA93" s="115">
        <v>-399.91899999999998</v>
      </c>
      <c r="AB93" s="115">
        <v>-404.94299999999998</v>
      </c>
      <c r="AC93" s="115">
        <v>-409.71</v>
      </c>
      <c r="AD93" s="43"/>
      <c r="AE93" s="43"/>
      <c r="AF93" s="43"/>
      <c r="AG93" s="43"/>
      <c r="AH93" s="43"/>
      <c r="AI93" s="43"/>
    </row>
    <row r="94" spans="1:35" x14ac:dyDescent="0.25">
      <c r="A94" s="115" t="s">
        <v>1312</v>
      </c>
      <c r="B94" s="115"/>
      <c r="C94" s="115">
        <v>437.06599999999997</v>
      </c>
      <c r="D94" s="115">
        <v>124.426</v>
      </c>
      <c r="E94" s="115">
        <v>-145.28700000000001</v>
      </c>
      <c r="F94" s="115">
        <v>-94.299000000000007</v>
      </c>
      <c r="G94" s="115">
        <v>-88.319000000000003</v>
      </c>
      <c r="H94" s="115">
        <v>-87.876999999999995</v>
      </c>
      <c r="I94" s="115">
        <v>-94.567999999999998</v>
      </c>
      <c r="J94" s="115">
        <v>-59.021999999999998</v>
      </c>
      <c r="K94" s="115">
        <v>-45.901000000000003</v>
      </c>
      <c r="L94" s="115">
        <v>-37.091000000000001</v>
      </c>
      <c r="M94" s="115">
        <v>-32.680999999999997</v>
      </c>
      <c r="N94" s="115">
        <v>-32.305</v>
      </c>
      <c r="O94" s="115">
        <v>-42.877000000000002</v>
      </c>
      <c r="P94" s="115">
        <v>-285.95600000000002</v>
      </c>
      <c r="Q94" s="115">
        <v>-297.16000000000003</v>
      </c>
      <c r="R94" s="115">
        <v>-307.01100000000002</v>
      </c>
      <c r="S94" s="115">
        <v>-160.477</v>
      </c>
      <c r="T94" s="115">
        <v>-326.91300000000001</v>
      </c>
      <c r="U94" s="115">
        <v>-334.53</v>
      </c>
      <c r="V94" s="115">
        <v>-340.80200000000002</v>
      </c>
      <c r="W94" s="115">
        <v>-348.88</v>
      </c>
      <c r="X94" s="115">
        <v>-355.62200000000001</v>
      </c>
      <c r="Y94" s="115">
        <v>-362.767</v>
      </c>
      <c r="Z94" s="115">
        <v>-368.91399999999999</v>
      </c>
      <c r="AA94" s="115">
        <v>-374.41</v>
      </c>
      <c r="AB94" s="115">
        <v>-379.44499999999999</v>
      </c>
      <c r="AC94" s="115">
        <v>-384.36399999999998</v>
      </c>
      <c r="AD94" s="43"/>
      <c r="AE94" s="43"/>
      <c r="AF94" s="43"/>
      <c r="AG94" s="43"/>
      <c r="AH94" s="43"/>
      <c r="AI94" s="43"/>
    </row>
    <row r="95" spans="1:35" x14ac:dyDescent="0.25">
      <c r="A95" s="115" t="s">
        <v>1313</v>
      </c>
      <c r="B95" s="115"/>
      <c r="C95" s="115">
        <v>465.04500000000002</v>
      </c>
      <c r="D95" s="115">
        <v>189.023</v>
      </c>
      <c r="E95" s="115">
        <v>-38.018999999999998</v>
      </c>
      <c r="F95" s="115">
        <v>6.2670000000000003</v>
      </c>
      <c r="G95" s="115">
        <v>8.1010000000000009</v>
      </c>
      <c r="H95" s="115">
        <v>4.0869999999999997</v>
      </c>
      <c r="I95" s="115">
        <v>-7.2480000000000002</v>
      </c>
      <c r="J95" s="115">
        <v>1.3160000000000001</v>
      </c>
      <c r="K95" s="115">
        <v>11.451000000000001</v>
      </c>
      <c r="L95" s="115">
        <v>17.974</v>
      </c>
      <c r="M95" s="115">
        <v>20.673999999999999</v>
      </c>
      <c r="N95" s="115">
        <v>19.981000000000002</v>
      </c>
      <c r="O95" s="115">
        <v>10.398999999999999</v>
      </c>
      <c r="P95" s="115">
        <v>-242.20500000000001</v>
      </c>
      <c r="Q95" s="115">
        <v>-253.47</v>
      </c>
      <c r="R95" s="115">
        <v>-263.28500000000003</v>
      </c>
      <c r="S95" s="115">
        <v>-89.216999999999999</v>
      </c>
      <c r="T95" s="115">
        <v>-284.35599999999999</v>
      </c>
      <c r="U95" s="115">
        <v>-292.18200000000002</v>
      </c>
      <c r="V95" s="115">
        <v>-298.58199999999999</v>
      </c>
      <c r="W95" s="115">
        <v>-306.78399999999999</v>
      </c>
      <c r="X95" s="115">
        <v>-313.58999999999997</v>
      </c>
      <c r="Y95" s="115">
        <v>-321.08</v>
      </c>
      <c r="Z95" s="115">
        <v>-327.46199999999999</v>
      </c>
      <c r="AA95" s="115">
        <v>-333.28500000000003</v>
      </c>
      <c r="AB95" s="115">
        <v>-338.71600000000001</v>
      </c>
      <c r="AC95" s="115">
        <v>-344.06400000000002</v>
      </c>
      <c r="AD95" s="43"/>
      <c r="AE95" s="43"/>
      <c r="AF95" s="43"/>
      <c r="AG95" s="43"/>
      <c r="AH95" s="43"/>
      <c r="AI95" s="43"/>
    </row>
    <row r="96" spans="1:35" x14ac:dyDescent="0.25">
      <c r="A96" s="115" t="s">
        <v>1005</v>
      </c>
      <c r="B96" s="115"/>
      <c r="C96" s="115">
        <v>4.1890000000000001</v>
      </c>
      <c r="D96" s="115">
        <v>8.4640000000000004</v>
      </c>
      <c r="E96" s="115">
        <v>8.4130000000000003</v>
      </c>
      <c r="F96" s="115">
        <v>9.1630000000000003</v>
      </c>
      <c r="G96" s="115">
        <v>8.9600000000000009</v>
      </c>
      <c r="H96" s="115">
        <v>8.7240000000000002</v>
      </c>
      <c r="I96" s="115">
        <v>8.5239999999999991</v>
      </c>
      <c r="J96" s="115">
        <v>8.5540000000000003</v>
      </c>
      <c r="K96" s="115">
        <v>8.3160000000000007</v>
      </c>
      <c r="L96" s="115">
        <v>8.1140000000000008</v>
      </c>
      <c r="M96" s="115">
        <v>7.9210000000000003</v>
      </c>
      <c r="N96" s="115">
        <v>7.718</v>
      </c>
      <c r="O96" s="115">
        <v>7.492</v>
      </c>
      <c r="P96" s="115">
        <v>7.5350000000000001</v>
      </c>
      <c r="Q96" s="115">
        <v>7.3810000000000002</v>
      </c>
      <c r="R96" s="115">
        <v>7.1959999999999997</v>
      </c>
      <c r="S96" s="115">
        <v>11.384</v>
      </c>
      <c r="T96" s="115">
        <v>6.9349999999999996</v>
      </c>
      <c r="U96" s="115">
        <v>6.7779999999999996</v>
      </c>
      <c r="V96" s="115">
        <v>6.5830000000000002</v>
      </c>
      <c r="W96" s="115">
        <v>6.6660000000000004</v>
      </c>
      <c r="X96" s="115">
        <v>6.5090000000000003</v>
      </c>
      <c r="Y96" s="115">
        <v>6.4409999999999998</v>
      </c>
      <c r="Z96" s="115">
        <v>6.3390000000000004</v>
      </c>
      <c r="AA96" s="115">
        <v>6.26</v>
      </c>
      <c r="AB96" s="115">
        <v>6.1890000000000001</v>
      </c>
      <c r="AC96" s="115">
        <v>6.1230000000000002</v>
      </c>
      <c r="AD96" s="43"/>
      <c r="AE96" s="43"/>
      <c r="AF96" s="43"/>
      <c r="AG96" s="43"/>
      <c r="AH96" s="43"/>
      <c r="AI96" s="43"/>
    </row>
    <row r="97" spans="1:35" x14ac:dyDescent="0.25">
      <c r="A97" s="115" t="s">
        <v>1299</v>
      </c>
      <c r="B97" s="115"/>
      <c r="C97" s="115">
        <v>-310.17200000000003</v>
      </c>
      <c r="D97" s="115">
        <v>-636.28099999999995</v>
      </c>
      <c r="E97" s="115">
        <v>-987.70299999999997</v>
      </c>
      <c r="F97" s="115">
        <v>-937.75900000000001</v>
      </c>
      <c r="G97" s="115">
        <v>-895.13499999999999</v>
      </c>
      <c r="H97" s="115">
        <v>-849.51199999999994</v>
      </c>
      <c r="I97" s="115">
        <v>-802.08199999999999</v>
      </c>
      <c r="J97" s="115">
        <v>-497.495</v>
      </c>
      <c r="K97" s="115">
        <v>-481.495</v>
      </c>
      <c r="L97" s="115">
        <v>-458.17200000000003</v>
      </c>
      <c r="M97" s="115">
        <v>-435.529</v>
      </c>
      <c r="N97" s="115">
        <v>-413.774</v>
      </c>
      <c r="O97" s="115">
        <v>-406.34100000000001</v>
      </c>
      <c r="P97" s="115">
        <v>-423.166</v>
      </c>
      <c r="Q97" s="115">
        <v>-430.42399999999998</v>
      </c>
      <c r="R97" s="115">
        <v>-437.21300000000002</v>
      </c>
      <c r="S97" s="115">
        <v>-423.89499999999998</v>
      </c>
      <c r="T97" s="115">
        <v>-449.09399999999999</v>
      </c>
      <c r="U97" s="115">
        <v>-454.76799999999997</v>
      </c>
      <c r="V97" s="115">
        <v>-460.13499999999999</v>
      </c>
      <c r="W97" s="115">
        <v>-465.762</v>
      </c>
      <c r="X97" s="115">
        <v>-471.01499999999999</v>
      </c>
      <c r="Y97" s="115">
        <v>-475.66899999999998</v>
      </c>
      <c r="Z97" s="115">
        <v>-480.08100000000002</v>
      </c>
      <c r="AA97" s="115">
        <v>-483.90699999999998</v>
      </c>
      <c r="AB97" s="115">
        <v>-487.20800000000003</v>
      </c>
      <c r="AC97" s="115">
        <v>-490.27600000000001</v>
      </c>
      <c r="AD97" s="43"/>
      <c r="AE97" s="43"/>
      <c r="AF97" s="43"/>
      <c r="AG97" s="43"/>
      <c r="AH97" s="43"/>
      <c r="AI97" s="43"/>
    </row>
    <row r="98" spans="1:35" x14ac:dyDescent="0.25">
      <c r="A98" s="115" t="s">
        <v>1300</v>
      </c>
      <c r="B98" s="115"/>
      <c r="C98" s="115">
        <v>-287.72199999999998</v>
      </c>
      <c r="D98" s="115">
        <v>-583.07299999999998</v>
      </c>
      <c r="E98" s="115">
        <v>-1047.3789999999999</v>
      </c>
      <c r="F98" s="115">
        <v>-986.54600000000005</v>
      </c>
      <c r="G98" s="115">
        <v>-935.82500000000005</v>
      </c>
      <c r="H98" s="115">
        <v>-882.46500000000003</v>
      </c>
      <c r="I98" s="115">
        <v>-828.12599999999998</v>
      </c>
      <c r="J98" s="115">
        <v>-538.00599999999997</v>
      </c>
      <c r="K98" s="115">
        <v>-515.38800000000003</v>
      </c>
      <c r="L98" s="115">
        <v>-486.19400000000002</v>
      </c>
      <c r="M98" s="115">
        <v>-457.67899999999997</v>
      </c>
      <c r="N98" s="115">
        <v>-430.25599999999997</v>
      </c>
      <c r="O98" s="115">
        <v>-421.62400000000002</v>
      </c>
      <c r="P98" s="115">
        <v>-439.54500000000002</v>
      </c>
      <c r="Q98" s="115">
        <v>-447.358</v>
      </c>
      <c r="R98" s="115">
        <v>-454.58699999999999</v>
      </c>
      <c r="S98" s="115">
        <v>-437.76799999999997</v>
      </c>
      <c r="T98" s="115">
        <v>-467.07</v>
      </c>
      <c r="U98" s="115">
        <v>-472.89699999999999</v>
      </c>
      <c r="V98" s="115">
        <v>-478.30500000000001</v>
      </c>
      <c r="W98" s="115">
        <v>-484.37299999999999</v>
      </c>
      <c r="X98" s="115">
        <v>-489.964</v>
      </c>
      <c r="Y98" s="115">
        <v>-494.94799999999998</v>
      </c>
      <c r="Z98" s="115">
        <v>-499.67200000000003</v>
      </c>
      <c r="AA98" s="115">
        <v>-503.78800000000001</v>
      </c>
      <c r="AB98" s="115">
        <v>-507.37599999999998</v>
      </c>
      <c r="AC98" s="115">
        <v>-510.774</v>
      </c>
      <c r="AD98" s="43"/>
      <c r="AE98" s="43"/>
      <c r="AF98" s="43"/>
      <c r="AG98" s="43"/>
      <c r="AH98" s="43"/>
      <c r="AI98" s="43"/>
    </row>
    <row r="99" spans="1:35" x14ac:dyDescent="0.25">
      <c r="A99" s="115" t="s">
        <v>1301</v>
      </c>
      <c r="B99" s="115"/>
      <c r="C99" s="115">
        <v>-266.87200000000001</v>
      </c>
      <c r="D99" s="115">
        <v>-566.14599999999996</v>
      </c>
      <c r="E99" s="115">
        <v>-918.97699999999998</v>
      </c>
      <c r="F99" s="115">
        <v>-858.524</v>
      </c>
      <c r="G99" s="115">
        <v>-810.97699999999998</v>
      </c>
      <c r="H99" s="115">
        <v>-762.09199999999998</v>
      </c>
      <c r="I99" s="115">
        <v>-713.67700000000002</v>
      </c>
      <c r="J99" s="115">
        <v>-446.27499999999998</v>
      </c>
      <c r="K99" s="115">
        <v>-429.83699999999999</v>
      </c>
      <c r="L99" s="115">
        <v>-407.71600000000001</v>
      </c>
      <c r="M99" s="115">
        <v>-386.77300000000002</v>
      </c>
      <c r="N99" s="115">
        <v>-367.286</v>
      </c>
      <c r="O99" s="115">
        <v>-363.01400000000001</v>
      </c>
      <c r="P99" s="115">
        <v>-422.09300000000002</v>
      </c>
      <c r="Q99" s="115">
        <v>-431.35</v>
      </c>
      <c r="R99" s="115">
        <v>-439.8</v>
      </c>
      <c r="S99" s="115">
        <v>-415.56900000000002</v>
      </c>
      <c r="T99" s="115">
        <v>-454.6</v>
      </c>
      <c r="U99" s="115">
        <v>-461.23700000000002</v>
      </c>
      <c r="V99" s="115">
        <v>-467.233</v>
      </c>
      <c r="W99" s="115">
        <v>-474.197</v>
      </c>
      <c r="X99" s="115">
        <v>-480.48</v>
      </c>
      <c r="Y99" s="115">
        <v>-486.16800000000001</v>
      </c>
      <c r="Z99" s="115">
        <v>-491.40100000000001</v>
      </c>
      <c r="AA99" s="115">
        <v>-495.97199999999998</v>
      </c>
      <c r="AB99" s="115">
        <v>-499.97</v>
      </c>
      <c r="AC99" s="115">
        <v>-503.62700000000001</v>
      </c>
      <c r="AD99" s="43"/>
      <c r="AE99" s="43"/>
      <c r="AF99" s="43"/>
      <c r="AG99" s="43"/>
      <c r="AH99" s="43"/>
      <c r="AI99" s="43"/>
    </row>
    <row r="100" spans="1:35" x14ac:dyDescent="0.25">
      <c r="A100" s="115" t="s">
        <v>1302</v>
      </c>
      <c r="B100" s="115"/>
      <c r="C100" s="115">
        <v>-174.67599999999999</v>
      </c>
      <c r="D100" s="115">
        <v>-443.32499999999999</v>
      </c>
      <c r="E100" s="115">
        <v>-703.48900000000003</v>
      </c>
      <c r="F100" s="115">
        <v>-649.97900000000004</v>
      </c>
      <c r="G100" s="115">
        <v>-613.61500000000001</v>
      </c>
      <c r="H100" s="115">
        <v>-577.48099999999999</v>
      </c>
      <c r="I100" s="115">
        <v>-543.274</v>
      </c>
      <c r="J100" s="115">
        <v>-336.125</v>
      </c>
      <c r="K100" s="115">
        <v>-324.15800000000002</v>
      </c>
      <c r="L100" s="115">
        <v>-307.75</v>
      </c>
      <c r="M100" s="115">
        <v>-293.14600000000002</v>
      </c>
      <c r="N100" s="115">
        <v>-280.447</v>
      </c>
      <c r="O100" s="115">
        <v>-280.44600000000003</v>
      </c>
      <c r="P100" s="115">
        <v>-389.50299999999999</v>
      </c>
      <c r="Q100" s="115">
        <v>-398.08699999999999</v>
      </c>
      <c r="R100" s="115">
        <v>-405.86799999999999</v>
      </c>
      <c r="S100" s="115">
        <v>-364.22</v>
      </c>
      <c r="T100" s="115">
        <v>-419.84500000000003</v>
      </c>
      <c r="U100" s="115">
        <v>-425.75400000000002</v>
      </c>
      <c r="V100" s="115">
        <v>-430.89</v>
      </c>
      <c r="W100" s="115">
        <v>-437.66800000000001</v>
      </c>
      <c r="X100" s="115">
        <v>-443.59699999999998</v>
      </c>
      <c r="Y100" s="115">
        <v>-449.15800000000002</v>
      </c>
      <c r="Z100" s="115">
        <v>-454.221</v>
      </c>
      <c r="AA100" s="115">
        <v>-458.678</v>
      </c>
      <c r="AB100" s="115">
        <v>-462.65100000000001</v>
      </c>
      <c r="AC100" s="115">
        <v>-466.39600000000002</v>
      </c>
      <c r="AD100" s="43"/>
      <c r="AE100" s="43"/>
      <c r="AF100" s="43"/>
      <c r="AG100" s="43"/>
      <c r="AH100" s="43"/>
      <c r="AI100" s="43"/>
    </row>
    <row r="101" spans="1:35" x14ac:dyDescent="0.25">
      <c r="A101" s="115" t="s">
        <v>1303</v>
      </c>
      <c r="B101" s="115"/>
      <c r="C101" s="115">
        <v>26.888999999999999</v>
      </c>
      <c r="D101" s="115">
        <v>-217.65600000000001</v>
      </c>
      <c r="E101" s="115">
        <v>-437.565</v>
      </c>
      <c r="F101" s="115">
        <v>-395.55900000000003</v>
      </c>
      <c r="G101" s="115">
        <v>-374.07600000000002</v>
      </c>
      <c r="H101" s="115">
        <v>-354.35199999999998</v>
      </c>
      <c r="I101" s="115">
        <v>-337.70299999999997</v>
      </c>
      <c r="J101" s="115">
        <v>-185.41499999999999</v>
      </c>
      <c r="K101" s="115">
        <v>-176.874</v>
      </c>
      <c r="L101" s="115">
        <v>-166.399</v>
      </c>
      <c r="M101" s="115">
        <v>-158.19300000000001</v>
      </c>
      <c r="N101" s="115">
        <v>-152.15700000000001</v>
      </c>
      <c r="O101" s="115">
        <v>-155.649</v>
      </c>
      <c r="P101" s="115">
        <v>-315.33300000000003</v>
      </c>
      <c r="Q101" s="115">
        <v>-324.327</v>
      </c>
      <c r="R101" s="115">
        <v>-332.334</v>
      </c>
      <c r="S101" s="115">
        <v>-255.52699999999999</v>
      </c>
      <c r="T101" s="115">
        <v>-347.88499999999999</v>
      </c>
      <c r="U101" s="115">
        <v>-354.06</v>
      </c>
      <c r="V101" s="115">
        <v>-359.245</v>
      </c>
      <c r="W101" s="115">
        <v>-366.24799999999999</v>
      </c>
      <c r="X101" s="115">
        <v>-372.23500000000001</v>
      </c>
      <c r="Y101" s="115">
        <v>-378.21499999999997</v>
      </c>
      <c r="Z101" s="115">
        <v>-383.476</v>
      </c>
      <c r="AA101" s="115">
        <v>-388.209</v>
      </c>
      <c r="AB101" s="115">
        <v>-392.52800000000002</v>
      </c>
      <c r="AC101" s="115">
        <v>-396.67099999999999</v>
      </c>
      <c r="AD101" s="43"/>
      <c r="AE101" s="43"/>
      <c r="AF101" s="43"/>
      <c r="AG101" s="43"/>
      <c r="AH101" s="43"/>
      <c r="AI101" s="43"/>
    </row>
    <row r="102" spans="1:35" x14ac:dyDescent="0.25">
      <c r="A102" s="115" t="s">
        <v>1279</v>
      </c>
      <c r="B102" s="115"/>
      <c r="C102" s="115">
        <v>83.031000000000006</v>
      </c>
      <c r="D102" s="115">
        <v>112.97199999999999</v>
      </c>
      <c r="E102" s="115">
        <v>81.05</v>
      </c>
      <c r="F102" s="115">
        <v>340.85899999999998</v>
      </c>
      <c r="G102" s="115">
        <v>321.42099999999999</v>
      </c>
      <c r="H102" s="115">
        <v>301.24700000000001</v>
      </c>
      <c r="I102" s="115">
        <v>494.54899999999998</v>
      </c>
      <c r="J102" s="115">
        <v>481.584</v>
      </c>
      <c r="K102" s="115">
        <v>465.56799999999998</v>
      </c>
      <c r="L102" s="115">
        <v>447.77699999999999</v>
      </c>
      <c r="M102" s="115">
        <v>427.52100000000002</v>
      </c>
      <c r="N102" s="115">
        <v>405.02</v>
      </c>
      <c r="O102" s="115">
        <v>385.75700000000001</v>
      </c>
      <c r="P102" s="115">
        <v>372.81200000000001</v>
      </c>
      <c r="Q102" s="115">
        <v>359.78699999999998</v>
      </c>
      <c r="R102" s="115">
        <v>346.983</v>
      </c>
      <c r="S102" s="115">
        <v>265.80599999999998</v>
      </c>
      <c r="T102" s="115">
        <v>199.63499999999999</v>
      </c>
      <c r="U102" s="115">
        <v>188.51300000000001</v>
      </c>
      <c r="V102" s="115">
        <v>177.65</v>
      </c>
      <c r="W102" s="115">
        <v>168.93299999999999</v>
      </c>
      <c r="X102" s="115">
        <v>159.69999999999999</v>
      </c>
      <c r="Y102" s="115">
        <v>149.834</v>
      </c>
      <c r="Z102" s="115">
        <v>140.00700000000001</v>
      </c>
      <c r="AA102" s="115">
        <v>130.03299999999999</v>
      </c>
      <c r="AB102" s="115">
        <v>119.893</v>
      </c>
      <c r="AC102" s="115">
        <v>108.333</v>
      </c>
      <c r="AD102" s="43"/>
      <c r="AE102" s="43"/>
      <c r="AF102" s="43"/>
      <c r="AG102" s="43"/>
      <c r="AH102" s="43"/>
      <c r="AI102" s="43"/>
    </row>
    <row r="103" spans="1:35" x14ac:dyDescent="0.25">
      <c r="A103" s="115" t="s">
        <v>1280</v>
      </c>
      <c r="B103" s="115"/>
      <c r="C103" s="115">
        <v>106.542</v>
      </c>
      <c r="D103" s="115">
        <v>99.691000000000003</v>
      </c>
      <c r="E103" s="115">
        <v>99.721000000000004</v>
      </c>
      <c r="F103" s="115">
        <v>337.69499999999999</v>
      </c>
      <c r="G103" s="115">
        <v>314.976</v>
      </c>
      <c r="H103" s="115">
        <v>291.84399999999999</v>
      </c>
      <c r="I103" s="115">
        <v>478.45499999999998</v>
      </c>
      <c r="J103" s="115">
        <v>458.05200000000002</v>
      </c>
      <c r="K103" s="115">
        <v>434.90699999999998</v>
      </c>
      <c r="L103" s="115">
        <v>409.48599999999999</v>
      </c>
      <c r="M103" s="115">
        <v>381.61799999999999</v>
      </c>
      <c r="N103" s="115">
        <v>351.73899999999998</v>
      </c>
      <c r="O103" s="115">
        <v>355.08</v>
      </c>
      <c r="P103" s="115">
        <v>340.00099999999998</v>
      </c>
      <c r="Q103" s="115">
        <v>323.99799999999999</v>
      </c>
      <c r="R103" s="115">
        <v>309.18200000000002</v>
      </c>
      <c r="S103" s="115">
        <v>267.358</v>
      </c>
      <c r="T103" s="115">
        <v>188.12700000000001</v>
      </c>
      <c r="U103" s="115">
        <v>178.32499999999999</v>
      </c>
      <c r="V103" s="115">
        <v>169.15899999999999</v>
      </c>
      <c r="W103" s="115">
        <v>162.208</v>
      </c>
      <c r="X103" s="115">
        <v>155.001</v>
      </c>
      <c r="Y103" s="115">
        <v>147.04300000000001</v>
      </c>
      <c r="Z103" s="115">
        <v>139.48400000000001</v>
      </c>
      <c r="AA103" s="115">
        <v>131.858</v>
      </c>
      <c r="AB103" s="115">
        <v>124.151</v>
      </c>
      <c r="AC103" s="115">
        <v>117.4</v>
      </c>
      <c r="AD103" s="43"/>
      <c r="AE103" s="43"/>
      <c r="AF103" s="43"/>
      <c r="AG103" s="43"/>
      <c r="AH103" s="43"/>
      <c r="AI103" s="43"/>
    </row>
    <row r="104" spans="1:35" x14ac:dyDescent="0.25">
      <c r="A104" s="115" t="s">
        <v>1281</v>
      </c>
      <c r="B104" s="115"/>
      <c r="C104" s="115">
        <v>444.17200000000003</v>
      </c>
      <c r="D104" s="115">
        <v>170.55600000000001</v>
      </c>
      <c r="E104" s="115">
        <v>171.715</v>
      </c>
      <c r="F104" s="115">
        <v>320.79599999999999</v>
      </c>
      <c r="G104" s="115">
        <v>304.37900000000002</v>
      </c>
      <c r="H104" s="115">
        <v>288.34800000000001</v>
      </c>
      <c r="I104" s="115">
        <v>435.59</v>
      </c>
      <c r="J104" s="115">
        <v>415.27199999999999</v>
      </c>
      <c r="K104" s="115">
        <v>416.76400000000001</v>
      </c>
      <c r="L104" s="115">
        <v>392.07100000000003</v>
      </c>
      <c r="M104" s="115">
        <v>364.601</v>
      </c>
      <c r="N104" s="115">
        <v>334.69099999999997</v>
      </c>
      <c r="O104" s="115">
        <v>354.19900000000001</v>
      </c>
      <c r="P104" s="115">
        <v>341.57499999999999</v>
      </c>
      <c r="Q104" s="115">
        <v>328.04700000000003</v>
      </c>
      <c r="R104" s="115">
        <v>316.52800000000002</v>
      </c>
      <c r="S104" s="115">
        <v>699.47799999999995</v>
      </c>
      <c r="T104" s="115">
        <v>194.827</v>
      </c>
      <c r="U104" s="115">
        <v>189.11</v>
      </c>
      <c r="V104" s="115">
        <v>184.21100000000001</v>
      </c>
      <c r="W104" s="115">
        <v>181.24199999999999</v>
      </c>
      <c r="X104" s="115">
        <v>178.10400000000001</v>
      </c>
      <c r="Y104" s="115">
        <v>173.51400000000001</v>
      </c>
      <c r="Z104" s="115">
        <v>169.68299999999999</v>
      </c>
      <c r="AA104" s="115">
        <v>165.92699999999999</v>
      </c>
      <c r="AB104" s="115">
        <v>162.035</v>
      </c>
      <c r="AC104" s="115">
        <v>157.63300000000001</v>
      </c>
      <c r="AD104" s="43"/>
      <c r="AE104" s="43"/>
      <c r="AF104" s="43"/>
      <c r="AG104" s="43"/>
      <c r="AH104" s="43"/>
      <c r="AI104" s="43"/>
    </row>
    <row r="105" spans="1:35" x14ac:dyDescent="0.25">
      <c r="A105" s="115" t="s">
        <v>1282</v>
      </c>
      <c r="B105" s="115"/>
      <c r="C105" s="115">
        <v>385.33699999999999</v>
      </c>
      <c r="D105" s="115">
        <v>219.06800000000001</v>
      </c>
      <c r="E105" s="115">
        <v>217.273</v>
      </c>
      <c r="F105" s="115">
        <v>356.875</v>
      </c>
      <c r="G105" s="115">
        <v>338.73099999999999</v>
      </c>
      <c r="H105" s="115">
        <v>321.63200000000001</v>
      </c>
      <c r="I105" s="115">
        <v>474.23099999999999</v>
      </c>
      <c r="J105" s="115">
        <v>452.95</v>
      </c>
      <c r="K105" s="115">
        <v>467.29399999999998</v>
      </c>
      <c r="L105" s="115">
        <v>438.39299999999997</v>
      </c>
      <c r="M105" s="115">
        <v>407.13499999999999</v>
      </c>
      <c r="N105" s="115">
        <v>374.613</v>
      </c>
      <c r="O105" s="115">
        <v>394.21600000000001</v>
      </c>
      <c r="P105" s="115">
        <v>380.92099999999999</v>
      </c>
      <c r="Q105" s="115">
        <v>367.685</v>
      </c>
      <c r="R105" s="115">
        <v>355.51299999999998</v>
      </c>
      <c r="S105" s="115">
        <v>762.80399999999997</v>
      </c>
      <c r="T105" s="115">
        <v>214.666</v>
      </c>
      <c r="U105" s="115">
        <v>209.02199999999999</v>
      </c>
      <c r="V105" s="115">
        <v>204.203</v>
      </c>
      <c r="W105" s="115">
        <v>202.47</v>
      </c>
      <c r="X105" s="115">
        <v>199.196</v>
      </c>
      <c r="Y105" s="115">
        <v>194.31100000000001</v>
      </c>
      <c r="Z105" s="115">
        <v>190.34100000000001</v>
      </c>
      <c r="AA105" s="115">
        <v>186.35400000000001</v>
      </c>
      <c r="AB105" s="115">
        <v>182.39</v>
      </c>
      <c r="AC105" s="115">
        <v>177.822</v>
      </c>
      <c r="AD105" s="43"/>
      <c r="AE105" s="43"/>
      <c r="AF105" s="43"/>
      <c r="AG105" s="43"/>
      <c r="AH105" s="43"/>
      <c r="AI105" s="43"/>
    </row>
    <row r="106" spans="1:35" x14ac:dyDescent="0.25">
      <c r="A106" s="115" t="s">
        <v>1283</v>
      </c>
      <c r="B106" s="115"/>
      <c r="C106" s="115">
        <v>634.75900000000001</v>
      </c>
      <c r="D106" s="115">
        <v>448.28500000000003</v>
      </c>
      <c r="E106" s="115">
        <v>423.95699999999999</v>
      </c>
      <c r="F106" s="115">
        <v>539.34500000000003</v>
      </c>
      <c r="G106" s="115">
        <v>507.09399999999999</v>
      </c>
      <c r="H106" s="115">
        <v>480.68599999999998</v>
      </c>
      <c r="I106" s="115">
        <v>590.947</v>
      </c>
      <c r="J106" s="115">
        <v>567.64599999999996</v>
      </c>
      <c r="K106" s="115">
        <v>651.03099999999995</v>
      </c>
      <c r="L106" s="115">
        <v>606.45500000000004</v>
      </c>
      <c r="M106" s="115">
        <v>563.09799999999996</v>
      </c>
      <c r="N106" s="115">
        <v>521.16800000000001</v>
      </c>
      <c r="O106" s="115">
        <v>533.42399999999998</v>
      </c>
      <c r="P106" s="115">
        <v>506.69200000000001</v>
      </c>
      <c r="Q106" s="115">
        <v>474.84699999999998</v>
      </c>
      <c r="R106" s="115">
        <v>444.06200000000001</v>
      </c>
      <c r="S106" s="115">
        <v>898.529</v>
      </c>
      <c r="T106" s="115">
        <v>285.19099999999997</v>
      </c>
      <c r="U106" s="115">
        <v>281.55900000000003</v>
      </c>
      <c r="V106" s="115">
        <v>279.161</v>
      </c>
      <c r="W106" s="115">
        <v>278.62799999999999</v>
      </c>
      <c r="X106" s="115">
        <v>278.22399999999999</v>
      </c>
      <c r="Y106" s="115">
        <v>275.03699999999998</v>
      </c>
      <c r="Z106" s="115">
        <v>273.351</v>
      </c>
      <c r="AA106" s="115">
        <v>271.44400000000002</v>
      </c>
      <c r="AB106" s="115">
        <v>269.38600000000002</v>
      </c>
      <c r="AC106" s="115">
        <v>266.62700000000001</v>
      </c>
      <c r="AD106" s="43"/>
      <c r="AE106" s="43"/>
      <c r="AF106" s="43"/>
      <c r="AG106" s="43"/>
      <c r="AH106" s="43"/>
      <c r="AI106" s="43"/>
    </row>
    <row r="107" spans="1:35" x14ac:dyDescent="0.25">
      <c r="A107" s="115" t="s">
        <v>1284</v>
      </c>
      <c r="B107" s="115"/>
      <c r="C107" s="115">
        <v>738.74300000000005</v>
      </c>
      <c r="D107" s="115">
        <v>700.39700000000005</v>
      </c>
      <c r="E107" s="115">
        <v>664.16</v>
      </c>
      <c r="F107" s="115">
        <v>653.30200000000002</v>
      </c>
      <c r="G107" s="115">
        <v>626.68299999999999</v>
      </c>
      <c r="H107" s="115">
        <v>594.52200000000005</v>
      </c>
      <c r="I107" s="115">
        <v>556.67899999999997</v>
      </c>
      <c r="J107" s="115">
        <v>379.99900000000002</v>
      </c>
      <c r="K107" s="115">
        <v>380.60899999999998</v>
      </c>
      <c r="L107" s="115">
        <v>370.67500000000001</v>
      </c>
      <c r="M107" s="115">
        <v>358.34699999999998</v>
      </c>
      <c r="N107" s="115">
        <v>343.892</v>
      </c>
      <c r="O107" s="115">
        <v>330.95100000000002</v>
      </c>
      <c r="P107" s="115">
        <v>166.50899999999999</v>
      </c>
      <c r="Q107" s="115">
        <v>161.982</v>
      </c>
      <c r="R107" s="115">
        <v>158.261</v>
      </c>
      <c r="S107" s="115">
        <v>233.351</v>
      </c>
      <c r="T107" s="115">
        <v>149.90899999999999</v>
      </c>
      <c r="U107" s="115">
        <v>147.13999999999999</v>
      </c>
      <c r="V107" s="115">
        <v>145.065</v>
      </c>
      <c r="W107" s="115">
        <v>142.78299999999999</v>
      </c>
      <c r="X107" s="115">
        <v>141.10300000000001</v>
      </c>
      <c r="Y107" s="115">
        <v>138.92400000000001</v>
      </c>
      <c r="Z107" s="115">
        <v>137.34200000000001</v>
      </c>
      <c r="AA107" s="115">
        <v>135.922</v>
      </c>
      <c r="AB107" s="115">
        <v>134.607</v>
      </c>
      <c r="AC107" s="115">
        <v>133.321</v>
      </c>
      <c r="AD107" s="43"/>
      <c r="AE107" s="43"/>
      <c r="AF107" s="43"/>
      <c r="AG107" s="43"/>
      <c r="AH107" s="43"/>
      <c r="AI107" s="43"/>
    </row>
    <row r="108" spans="1:35" x14ac:dyDescent="0.25">
      <c r="A108" s="115" t="s">
        <v>1285</v>
      </c>
      <c r="B108" s="115"/>
      <c r="C108" s="115">
        <v>728.80499999999995</v>
      </c>
      <c r="D108" s="115">
        <v>691.43100000000004</v>
      </c>
      <c r="E108" s="115">
        <v>726.65300000000002</v>
      </c>
      <c r="F108" s="115">
        <v>713.50300000000004</v>
      </c>
      <c r="G108" s="115">
        <v>680.98400000000004</v>
      </c>
      <c r="H108" s="115">
        <v>642.29899999999998</v>
      </c>
      <c r="I108" s="115">
        <v>597.64499999999998</v>
      </c>
      <c r="J108" s="115">
        <v>431.20699999999999</v>
      </c>
      <c r="K108" s="115">
        <v>430.435</v>
      </c>
      <c r="L108" s="115">
        <v>417.37200000000001</v>
      </c>
      <c r="M108" s="115">
        <v>400.86099999999999</v>
      </c>
      <c r="N108" s="115">
        <v>381.33199999999999</v>
      </c>
      <c r="O108" s="115">
        <v>364.27499999999998</v>
      </c>
      <c r="P108" s="115">
        <v>176.221</v>
      </c>
      <c r="Q108" s="115">
        <v>171.57499999999999</v>
      </c>
      <c r="R108" s="115">
        <v>167.82400000000001</v>
      </c>
      <c r="S108" s="115">
        <v>251.863</v>
      </c>
      <c r="T108" s="115">
        <v>159.20400000000001</v>
      </c>
      <c r="U108" s="115">
        <v>156.60499999999999</v>
      </c>
      <c r="V108" s="115">
        <v>154.79499999999999</v>
      </c>
      <c r="W108" s="115">
        <v>152.608</v>
      </c>
      <c r="X108" s="115">
        <v>151.09399999999999</v>
      </c>
      <c r="Y108" s="115">
        <v>148.97999999999999</v>
      </c>
      <c r="Z108" s="115">
        <v>147.51599999999999</v>
      </c>
      <c r="AA108" s="115">
        <v>146.18899999999999</v>
      </c>
      <c r="AB108" s="115">
        <v>144.922</v>
      </c>
      <c r="AC108" s="115">
        <v>143.63800000000001</v>
      </c>
      <c r="AD108" s="43"/>
      <c r="AE108" s="43"/>
      <c r="AF108" s="43"/>
      <c r="AG108" s="43"/>
      <c r="AH108" s="43"/>
      <c r="AI108" s="43"/>
    </row>
    <row r="109" spans="1:35" x14ac:dyDescent="0.25">
      <c r="A109" s="115" t="s">
        <v>1286</v>
      </c>
      <c r="B109" s="115"/>
      <c r="C109" s="115">
        <v>832.37800000000004</v>
      </c>
      <c r="D109" s="115">
        <v>769.54499999999996</v>
      </c>
      <c r="E109" s="115">
        <v>789.01599999999996</v>
      </c>
      <c r="F109" s="115">
        <v>770.00300000000004</v>
      </c>
      <c r="G109" s="115">
        <v>729.33500000000004</v>
      </c>
      <c r="H109" s="115">
        <v>682.38599999999997</v>
      </c>
      <c r="I109" s="115">
        <v>629.71</v>
      </c>
      <c r="J109" s="115">
        <v>460.12200000000001</v>
      </c>
      <c r="K109" s="115">
        <v>460.59100000000001</v>
      </c>
      <c r="L109" s="115">
        <v>446.678</v>
      </c>
      <c r="M109" s="115">
        <v>429.214</v>
      </c>
      <c r="N109" s="115">
        <v>408.69600000000003</v>
      </c>
      <c r="O109" s="115">
        <v>390.28500000000003</v>
      </c>
      <c r="P109" s="115">
        <v>191.613</v>
      </c>
      <c r="Q109" s="115">
        <v>187.03899999999999</v>
      </c>
      <c r="R109" s="115">
        <v>183.35900000000001</v>
      </c>
      <c r="S109" s="115">
        <v>276.92500000000001</v>
      </c>
      <c r="T109" s="115">
        <v>174.56800000000001</v>
      </c>
      <c r="U109" s="115">
        <v>171.95699999999999</v>
      </c>
      <c r="V109" s="115">
        <v>170.2</v>
      </c>
      <c r="W109" s="115">
        <v>167.85400000000001</v>
      </c>
      <c r="X109" s="115">
        <v>166.26300000000001</v>
      </c>
      <c r="Y109" s="115">
        <v>163.953</v>
      </c>
      <c r="Z109" s="115">
        <v>162.374</v>
      </c>
      <c r="AA109" s="115">
        <v>160.92400000000001</v>
      </c>
      <c r="AB109" s="115">
        <v>159.518</v>
      </c>
      <c r="AC109" s="115">
        <v>158.06800000000001</v>
      </c>
      <c r="AD109" s="43"/>
      <c r="AE109" s="43"/>
      <c r="AF109" s="43"/>
      <c r="AG109" s="43"/>
      <c r="AH109" s="43"/>
      <c r="AI109" s="43"/>
    </row>
    <row r="110" spans="1:35" x14ac:dyDescent="0.25">
      <c r="A110" s="115" t="s">
        <v>1287</v>
      </c>
      <c r="B110" s="115"/>
      <c r="C110" s="115">
        <v>847.899</v>
      </c>
      <c r="D110" s="115">
        <v>791.52499999999998</v>
      </c>
      <c r="E110" s="115">
        <v>830.32399999999996</v>
      </c>
      <c r="F110" s="115">
        <v>810.80799999999999</v>
      </c>
      <c r="G110" s="115">
        <v>766.02800000000002</v>
      </c>
      <c r="H110" s="115">
        <v>714.68600000000004</v>
      </c>
      <c r="I110" s="115">
        <v>657.45600000000002</v>
      </c>
      <c r="J110" s="115">
        <v>485.48399999999998</v>
      </c>
      <c r="K110" s="115">
        <v>488.90100000000001</v>
      </c>
      <c r="L110" s="115">
        <v>476.41</v>
      </c>
      <c r="M110" s="115">
        <v>460.58499999999998</v>
      </c>
      <c r="N110" s="115">
        <v>441.93</v>
      </c>
      <c r="O110" s="115">
        <v>424.92399999999998</v>
      </c>
      <c r="P110" s="115">
        <v>214.501</v>
      </c>
      <c r="Q110" s="115">
        <v>210.113</v>
      </c>
      <c r="R110" s="115">
        <v>206.666</v>
      </c>
      <c r="S110" s="115">
        <v>319.77199999999999</v>
      </c>
      <c r="T110" s="115">
        <v>197.49600000000001</v>
      </c>
      <c r="U110" s="115">
        <v>194.96100000000001</v>
      </c>
      <c r="V110" s="115">
        <v>193.345</v>
      </c>
      <c r="W110" s="115">
        <v>190.828</v>
      </c>
      <c r="X110" s="115">
        <v>189.13</v>
      </c>
      <c r="Y110" s="115">
        <v>186.48599999999999</v>
      </c>
      <c r="Z110" s="115">
        <v>184.636</v>
      </c>
      <c r="AA110" s="115">
        <v>182.869</v>
      </c>
      <c r="AB110" s="115">
        <v>181.09200000000001</v>
      </c>
      <c r="AC110" s="115">
        <v>179.2</v>
      </c>
      <c r="AD110" s="43"/>
      <c r="AE110" s="43"/>
      <c r="AF110" s="43"/>
      <c r="AG110" s="43"/>
      <c r="AH110" s="43"/>
      <c r="AI110" s="43"/>
    </row>
    <row r="111" spans="1:35" x14ac:dyDescent="0.25">
      <c r="A111" s="115" t="s">
        <v>1288</v>
      </c>
      <c r="B111" s="115"/>
      <c r="C111" s="115">
        <v>956.77300000000002</v>
      </c>
      <c r="D111" s="115">
        <v>890.92100000000005</v>
      </c>
      <c r="E111" s="115">
        <v>968.41700000000003</v>
      </c>
      <c r="F111" s="115">
        <v>949.01099999999997</v>
      </c>
      <c r="G111" s="115">
        <v>901.423</v>
      </c>
      <c r="H111" s="115">
        <v>846.00599999999997</v>
      </c>
      <c r="I111" s="115">
        <v>783.29300000000001</v>
      </c>
      <c r="J111" s="115">
        <v>565.06100000000004</v>
      </c>
      <c r="K111" s="115">
        <v>572.255</v>
      </c>
      <c r="L111" s="115">
        <v>560.88199999999995</v>
      </c>
      <c r="M111" s="115">
        <v>546.45699999999999</v>
      </c>
      <c r="N111" s="115">
        <v>529.44899999999996</v>
      </c>
      <c r="O111" s="115">
        <v>513.00900000000001</v>
      </c>
      <c r="P111" s="115">
        <v>276.303</v>
      </c>
      <c r="Q111" s="115">
        <v>270.42</v>
      </c>
      <c r="R111" s="115">
        <v>265.822</v>
      </c>
      <c r="S111" s="115">
        <v>416.30399999999997</v>
      </c>
      <c r="T111" s="115">
        <v>252.89599999999999</v>
      </c>
      <c r="U111" s="115">
        <v>249.285</v>
      </c>
      <c r="V111" s="115">
        <v>246.81800000000001</v>
      </c>
      <c r="W111" s="115">
        <v>243.32400000000001</v>
      </c>
      <c r="X111" s="115">
        <v>240.876</v>
      </c>
      <c r="Y111" s="115">
        <v>237.14599999999999</v>
      </c>
      <c r="Z111" s="115">
        <v>234.40899999999999</v>
      </c>
      <c r="AA111" s="115">
        <v>231.77500000000001</v>
      </c>
      <c r="AB111" s="115">
        <v>229.11500000000001</v>
      </c>
      <c r="AC111" s="115">
        <v>226.298</v>
      </c>
      <c r="AD111" s="43"/>
      <c r="AE111" s="43"/>
      <c r="AF111" s="43"/>
      <c r="AG111" s="43"/>
      <c r="AH111" s="43"/>
      <c r="AI111" s="43"/>
    </row>
    <row r="112" spans="1:35" x14ac:dyDescent="0.25">
      <c r="A112" s="115" t="s">
        <v>1289</v>
      </c>
      <c r="B112" s="115"/>
      <c r="C112" s="115">
        <v>567.49</v>
      </c>
      <c r="D112" s="115">
        <v>209.83</v>
      </c>
      <c r="E112" s="115">
        <v>140.44200000000001</v>
      </c>
      <c r="F112" s="115">
        <v>141.98599999999999</v>
      </c>
      <c r="G112" s="115">
        <v>130.803</v>
      </c>
      <c r="H112" s="115">
        <v>121.215</v>
      </c>
      <c r="I112" s="115">
        <v>125.11</v>
      </c>
      <c r="J112" s="115">
        <v>126.367</v>
      </c>
      <c r="K112" s="115">
        <v>145.357</v>
      </c>
      <c r="L112" s="115">
        <v>142.85300000000001</v>
      </c>
      <c r="M112" s="115">
        <v>124.621</v>
      </c>
      <c r="N112" s="115">
        <v>114.133</v>
      </c>
      <c r="O112" s="115">
        <v>117.032</v>
      </c>
      <c r="P112" s="115">
        <v>113.499</v>
      </c>
      <c r="Q112" s="115">
        <v>102.47799999999999</v>
      </c>
      <c r="R112" s="115">
        <v>91.912000000000006</v>
      </c>
      <c r="S112" s="115">
        <v>135.685</v>
      </c>
      <c r="T112" s="115">
        <v>81.061999999999998</v>
      </c>
      <c r="U112" s="115">
        <v>77.64</v>
      </c>
      <c r="V112" s="115">
        <v>60.404000000000003</v>
      </c>
      <c r="W112" s="115">
        <v>60.588999999999999</v>
      </c>
      <c r="X112" s="115">
        <v>60.505000000000003</v>
      </c>
      <c r="Y112" s="115">
        <v>60.197000000000003</v>
      </c>
      <c r="Z112" s="115">
        <v>60.185000000000002</v>
      </c>
      <c r="AA112" s="115">
        <v>60.189</v>
      </c>
      <c r="AB112" s="115">
        <v>60.265000000000001</v>
      </c>
      <c r="AC112" s="115">
        <v>60.405999999999999</v>
      </c>
      <c r="AD112" s="43"/>
      <c r="AE112" s="43"/>
      <c r="AF112" s="43"/>
      <c r="AG112" s="43"/>
      <c r="AH112" s="43"/>
      <c r="AI112" s="43"/>
    </row>
    <row r="113" spans="1:35" x14ac:dyDescent="0.25">
      <c r="A113" s="115" t="s">
        <v>1290</v>
      </c>
      <c r="B113" s="115"/>
      <c r="C113" s="115">
        <v>641.29999999999995</v>
      </c>
      <c r="D113" s="115">
        <v>249.51499999999999</v>
      </c>
      <c r="E113" s="115">
        <v>165.02</v>
      </c>
      <c r="F113" s="115">
        <v>164.167</v>
      </c>
      <c r="G113" s="115">
        <v>147.173</v>
      </c>
      <c r="H113" s="115">
        <v>132.56399999999999</v>
      </c>
      <c r="I113" s="115">
        <v>136.435</v>
      </c>
      <c r="J113" s="115">
        <v>137.04</v>
      </c>
      <c r="K113" s="115">
        <v>156.816</v>
      </c>
      <c r="L113" s="115">
        <v>152.24</v>
      </c>
      <c r="M113" s="115">
        <v>127.70699999999999</v>
      </c>
      <c r="N113" s="115">
        <v>114.955</v>
      </c>
      <c r="O113" s="115">
        <v>117.218</v>
      </c>
      <c r="P113" s="115">
        <v>113.64400000000001</v>
      </c>
      <c r="Q113" s="115">
        <v>103.75</v>
      </c>
      <c r="R113" s="115">
        <v>94.506</v>
      </c>
      <c r="S113" s="115">
        <v>142.65299999999999</v>
      </c>
      <c r="T113" s="115">
        <v>85.096000000000004</v>
      </c>
      <c r="U113" s="115">
        <v>82.108000000000004</v>
      </c>
      <c r="V113" s="115">
        <v>65.701999999999998</v>
      </c>
      <c r="W113" s="115">
        <v>65.894999999999996</v>
      </c>
      <c r="X113" s="115">
        <v>65.792000000000002</v>
      </c>
      <c r="Y113" s="115">
        <v>65.438000000000002</v>
      </c>
      <c r="Z113" s="115">
        <v>65.412000000000006</v>
      </c>
      <c r="AA113" s="115">
        <v>65.399000000000001</v>
      </c>
      <c r="AB113" s="115">
        <v>65.465999999999994</v>
      </c>
      <c r="AC113" s="115">
        <v>65.606999999999999</v>
      </c>
      <c r="AD113" s="43"/>
      <c r="AE113" s="43"/>
      <c r="AF113" s="43"/>
      <c r="AG113" s="43"/>
      <c r="AH113" s="43"/>
      <c r="AI113" s="43"/>
    </row>
    <row r="114" spans="1:35" x14ac:dyDescent="0.25">
      <c r="A114" s="115" t="s">
        <v>1291</v>
      </c>
      <c r="B114" s="115"/>
      <c r="C114" s="115">
        <v>609.52200000000005</v>
      </c>
      <c r="D114" s="115">
        <v>270.56</v>
      </c>
      <c r="E114" s="115">
        <v>189.49799999999999</v>
      </c>
      <c r="F114" s="115">
        <v>190.29900000000001</v>
      </c>
      <c r="G114" s="115">
        <v>166.1</v>
      </c>
      <c r="H114" s="115">
        <v>144.18799999999999</v>
      </c>
      <c r="I114" s="115">
        <v>148.46199999999999</v>
      </c>
      <c r="J114" s="115">
        <v>149.364</v>
      </c>
      <c r="K114" s="115">
        <v>171.405</v>
      </c>
      <c r="L114" s="115">
        <v>168.50800000000001</v>
      </c>
      <c r="M114" s="115">
        <v>147.35300000000001</v>
      </c>
      <c r="N114" s="115">
        <v>132.90299999999999</v>
      </c>
      <c r="O114" s="115">
        <v>135.685</v>
      </c>
      <c r="P114" s="115">
        <v>131.291</v>
      </c>
      <c r="Q114" s="115">
        <v>119.372</v>
      </c>
      <c r="R114" s="115">
        <v>108.187</v>
      </c>
      <c r="S114" s="115">
        <v>160.17599999999999</v>
      </c>
      <c r="T114" s="115">
        <v>96.614999999999995</v>
      </c>
      <c r="U114" s="115">
        <v>92.927999999999997</v>
      </c>
      <c r="V114" s="115">
        <v>73.938999999999993</v>
      </c>
      <c r="W114" s="115">
        <v>74.070999999999998</v>
      </c>
      <c r="X114" s="115">
        <v>73.838999999999999</v>
      </c>
      <c r="Y114" s="115">
        <v>73.328999999999994</v>
      </c>
      <c r="Z114" s="115">
        <v>73.204999999999998</v>
      </c>
      <c r="AA114" s="115">
        <v>73.097999999999999</v>
      </c>
      <c r="AB114" s="115">
        <v>73.093000000000004</v>
      </c>
      <c r="AC114" s="115">
        <v>73.186000000000007</v>
      </c>
      <c r="AD114" s="43"/>
      <c r="AE114" s="43"/>
      <c r="AF114" s="43"/>
      <c r="AG114" s="43"/>
      <c r="AH114" s="43"/>
      <c r="AI114" s="43"/>
    </row>
    <row r="115" spans="1:35" x14ac:dyDescent="0.25">
      <c r="A115" s="115" t="s">
        <v>1292</v>
      </c>
      <c r="B115" s="115"/>
      <c r="C115" s="115">
        <v>753.09799999999996</v>
      </c>
      <c r="D115" s="115">
        <v>322.52100000000002</v>
      </c>
      <c r="E115" s="115">
        <v>212.58</v>
      </c>
      <c r="F115" s="115">
        <v>211.441</v>
      </c>
      <c r="G115" s="115">
        <v>179.62299999999999</v>
      </c>
      <c r="H115" s="115">
        <v>152.1</v>
      </c>
      <c r="I115" s="115">
        <v>156.834</v>
      </c>
      <c r="J115" s="115">
        <v>157.65299999999999</v>
      </c>
      <c r="K115" s="115">
        <v>181.41200000000001</v>
      </c>
      <c r="L115" s="115">
        <v>177.78800000000001</v>
      </c>
      <c r="M115" s="115">
        <v>155.33699999999999</v>
      </c>
      <c r="N115" s="115">
        <v>142.28</v>
      </c>
      <c r="O115" s="115">
        <v>145.839</v>
      </c>
      <c r="P115" s="115">
        <v>141.34</v>
      </c>
      <c r="Q115" s="115">
        <v>127.73</v>
      </c>
      <c r="R115" s="115">
        <v>114.892</v>
      </c>
      <c r="S115" s="115">
        <v>171.065</v>
      </c>
      <c r="T115" s="115">
        <v>102.027</v>
      </c>
      <c r="U115" s="115">
        <v>98.024000000000001</v>
      </c>
      <c r="V115" s="115">
        <v>77.293999999999997</v>
      </c>
      <c r="W115" s="115">
        <v>77.739999999999995</v>
      </c>
      <c r="X115" s="115">
        <v>77.849000000000004</v>
      </c>
      <c r="Y115" s="115">
        <v>77.638999999999996</v>
      </c>
      <c r="Z115" s="115">
        <v>77.799000000000007</v>
      </c>
      <c r="AA115" s="115">
        <v>77.971000000000004</v>
      </c>
      <c r="AB115" s="115">
        <v>78.222999999999999</v>
      </c>
      <c r="AC115" s="115">
        <v>78.549000000000007</v>
      </c>
      <c r="AD115" s="43"/>
      <c r="AE115" s="43"/>
      <c r="AF115" s="43"/>
      <c r="AG115" s="43"/>
      <c r="AH115" s="43"/>
      <c r="AI115" s="43"/>
    </row>
    <row r="116" spans="1:35" x14ac:dyDescent="0.25">
      <c r="A116" s="115" t="s">
        <v>1293</v>
      </c>
      <c r="B116" s="115"/>
      <c r="C116" s="115">
        <v>946.18600000000004</v>
      </c>
      <c r="D116" s="115">
        <v>439.71199999999999</v>
      </c>
      <c r="E116" s="115">
        <v>306.303</v>
      </c>
      <c r="F116" s="115">
        <v>296.40199999999999</v>
      </c>
      <c r="G116" s="115">
        <v>257.41800000000001</v>
      </c>
      <c r="H116" s="115">
        <v>229.67500000000001</v>
      </c>
      <c r="I116" s="115">
        <v>236.78200000000001</v>
      </c>
      <c r="J116" s="115">
        <v>237.91900000000001</v>
      </c>
      <c r="K116" s="115">
        <v>274.98500000000001</v>
      </c>
      <c r="L116" s="115">
        <v>267.67899999999997</v>
      </c>
      <c r="M116" s="115">
        <v>226.887</v>
      </c>
      <c r="N116" s="115">
        <v>205.834</v>
      </c>
      <c r="O116" s="115">
        <v>210.803</v>
      </c>
      <c r="P116" s="115">
        <v>203.452</v>
      </c>
      <c r="Q116" s="115">
        <v>181.602</v>
      </c>
      <c r="R116" s="115">
        <v>160.012</v>
      </c>
      <c r="S116" s="115">
        <v>225.85300000000001</v>
      </c>
      <c r="T116" s="115">
        <v>136.542</v>
      </c>
      <c r="U116" s="115">
        <v>129.137</v>
      </c>
      <c r="V116" s="115">
        <v>93.521000000000001</v>
      </c>
      <c r="W116" s="115">
        <v>93.875</v>
      </c>
      <c r="X116" s="115">
        <v>93.686000000000007</v>
      </c>
      <c r="Y116" s="115">
        <v>93.234999999999999</v>
      </c>
      <c r="Z116" s="115">
        <v>93.197000000000003</v>
      </c>
      <c r="AA116" s="115">
        <v>93.201999999999998</v>
      </c>
      <c r="AB116" s="115">
        <v>93.325999999999993</v>
      </c>
      <c r="AC116" s="115">
        <v>93.558999999999997</v>
      </c>
      <c r="AD116" s="43"/>
      <c r="AE116" s="43"/>
      <c r="AF116" s="43"/>
      <c r="AG116" s="43"/>
      <c r="AH116" s="43"/>
      <c r="AI116" s="43"/>
    </row>
    <row r="117" spans="1:35" x14ac:dyDescent="0.25">
      <c r="A117" s="115" t="s">
        <v>1264</v>
      </c>
      <c r="B117" s="115"/>
      <c r="C117" s="115">
        <v>214.37200000000001</v>
      </c>
      <c r="D117" s="115">
        <v>247.596</v>
      </c>
      <c r="E117" s="115">
        <v>206.86500000000001</v>
      </c>
      <c r="F117" s="115">
        <v>898.65800000000002</v>
      </c>
      <c r="G117" s="115">
        <v>849.85500000000002</v>
      </c>
      <c r="H117" s="115">
        <v>798.72400000000005</v>
      </c>
      <c r="I117" s="115">
        <v>1265.241</v>
      </c>
      <c r="J117" s="115">
        <v>1236.4390000000001</v>
      </c>
      <c r="K117" s="115">
        <v>1199.0519999999999</v>
      </c>
      <c r="L117" s="115">
        <v>1155.73</v>
      </c>
      <c r="M117" s="115">
        <v>1104.865</v>
      </c>
      <c r="N117" s="115">
        <v>1047.1980000000001</v>
      </c>
      <c r="O117" s="115">
        <v>980.14700000000005</v>
      </c>
      <c r="P117" s="115">
        <v>948.69799999999998</v>
      </c>
      <c r="Q117" s="115">
        <v>916.42100000000005</v>
      </c>
      <c r="R117" s="115">
        <v>884.62800000000004</v>
      </c>
      <c r="S117" s="115">
        <v>723.93399999999997</v>
      </c>
      <c r="T117" s="115">
        <v>498.84100000000001</v>
      </c>
      <c r="U117" s="115">
        <v>470.185</v>
      </c>
      <c r="V117" s="115">
        <v>442.3</v>
      </c>
      <c r="W117" s="115">
        <v>420.23599999999999</v>
      </c>
      <c r="X117" s="115">
        <v>396.88</v>
      </c>
      <c r="Y117" s="115">
        <v>371.35899999999998</v>
      </c>
      <c r="Z117" s="115">
        <v>346.03</v>
      </c>
      <c r="AA117" s="115">
        <v>320.24599999999998</v>
      </c>
      <c r="AB117" s="115">
        <v>293.94499999999999</v>
      </c>
      <c r="AC117" s="115">
        <v>263.85399999999998</v>
      </c>
      <c r="AD117" s="43"/>
      <c r="AE117" s="43"/>
      <c r="AF117" s="43"/>
      <c r="AG117" s="43"/>
      <c r="AH117" s="43"/>
      <c r="AI117" s="43"/>
    </row>
    <row r="118" spans="1:35" x14ac:dyDescent="0.25">
      <c r="A118" s="115" t="s">
        <v>1265</v>
      </c>
      <c r="B118" s="115"/>
      <c r="C118" s="115">
        <v>238.477</v>
      </c>
      <c r="D118" s="115">
        <v>220.535</v>
      </c>
      <c r="E118" s="115">
        <v>220.35400000000001</v>
      </c>
      <c r="F118" s="115">
        <v>776.495</v>
      </c>
      <c r="G118" s="115">
        <v>725.34199999999998</v>
      </c>
      <c r="H118" s="115">
        <v>672.78700000000003</v>
      </c>
      <c r="I118" s="115">
        <v>1074.0329999999999</v>
      </c>
      <c r="J118" s="115">
        <v>1030.5340000000001</v>
      </c>
      <c r="K118" s="115">
        <v>979.69100000000003</v>
      </c>
      <c r="L118" s="115">
        <v>922.327</v>
      </c>
      <c r="M118" s="115">
        <v>858.20100000000002</v>
      </c>
      <c r="N118" s="115">
        <v>788.46199999999999</v>
      </c>
      <c r="O118" s="115">
        <v>781.60199999999998</v>
      </c>
      <c r="P118" s="115">
        <v>748.28599999999994</v>
      </c>
      <c r="Q118" s="115">
        <v>712.28700000000003</v>
      </c>
      <c r="R118" s="115">
        <v>679.00199999999995</v>
      </c>
      <c r="S118" s="115">
        <v>626.62699999999995</v>
      </c>
      <c r="T118" s="115">
        <v>402.928</v>
      </c>
      <c r="U118" s="115">
        <v>380.46300000000002</v>
      </c>
      <c r="V118" s="115">
        <v>359.55900000000003</v>
      </c>
      <c r="W118" s="115">
        <v>344.03199999999998</v>
      </c>
      <c r="X118" s="115">
        <v>327.99799999999999</v>
      </c>
      <c r="Y118" s="115">
        <v>309.916</v>
      </c>
      <c r="Z118" s="115">
        <v>292.851</v>
      </c>
      <c r="AA118" s="115">
        <v>275.61599999999999</v>
      </c>
      <c r="AB118" s="115">
        <v>258.166</v>
      </c>
      <c r="AC118" s="115">
        <v>242.125</v>
      </c>
      <c r="AD118" s="43"/>
      <c r="AE118" s="43"/>
      <c r="AF118" s="43"/>
      <c r="AG118" s="43"/>
      <c r="AH118" s="43"/>
      <c r="AI118" s="43"/>
    </row>
    <row r="119" spans="1:35" x14ac:dyDescent="0.25">
      <c r="A119" s="115" t="s">
        <v>1266</v>
      </c>
      <c r="B119" s="115"/>
      <c r="C119" s="115">
        <v>929.91399999999999</v>
      </c>
      <c r="D119" s="115">
        <v>342.98</v>
      </c>
      <c r="E119" s="115">
        <v>344.43099999999998</v>
      </c>
      <c r="F119" s="115">
        <v>661.36</v>
      </c>
      <c r="G119" s="115">
        <v>626.17999999999995</v>
      </c>
      <c r="H119" s="115">
        <v>591.59699999999998</v>
      </c>
      <c r="I119" s="115">
        <v>889.68499999999995</v>
      </c>
      <c r="J119" s="115">
        <v>848.94500000000005</v>
      </c>
      <c r="K119" s="115">
        <v>854.26900000000001</v>
      </c>
      <c r="L119" s="115">
        <v>801.67</v>
      </c>
      <c r="M119" s="115">
        <v>742.22699999999998</v>
      </c>
      <c r="N119" s="115">
        <v>676.72400000000005</v>
      </c>
      <c r="O119" s="115">
        <v>702.58900000000006</v>
      </c>
      <c r="P119" s="115">
        <v>676.99</v>
      </c>
      <c r="Q119" s="115">
        <v>649.09199999999998</v>
      </c>
      <c r="R119" s="115">
        <v>625.43499999999995</v>
      </c>
      <c r="S119" s="115">
        <v>1617.577</v>
      </c>
      <c r="T119" s="115">
        <v>365.45400000000001</v>
      </c>
      <c r="U119" s="115">
        <v>353.17200000000003</v>
      </c>
      <c r="V119" s="115">
        <v>342.65100000000001</v>
      </c>
      <c r="W119" s="115">
        <v>336.48200000000003</v>
      </c>
      <c r="X119" s="115">
        <v>330.02600000000001</v>
      </c>
      <c r="Y119" s="115">
        <v>320.33699999999999</v>
      </c>
      <c r="Z119" s="115">
        <v>312.24799999999999</v>
      </c>
      <c r="AA119" s="115">
        <v>304.31</v>
      </c>
      <c r="AB119" s="115">
        <v>296.09899999999999</v>
      </c>
      <c r="AC119" s="115">
        <v>286.89499999999998</v>
      </c>
      <c r="AD119" s="43"/>
      <c r="AE119" s="43"/>
      <c r="AF119" s="43"/>
      <c r="AG119" s="43"/>
      <c r="AH119" s="43"/>
      <c r="AI119" s="43"/>
    </row>
    <row r="120" spans="1:35" x14ac:dyDescent="0.25">
      <c r="A120" s="115" t="s">
        <v>1267</v>
      </c>
      <c r="B120" s="115"/>
      <c r="C120" s="115">
        <v>745.18399999999997</v>
      </c>
      <c r="D120" s="115">
        <v>412.72</v>
      </c>
      <c r="E120" s="115">
        <v>406.83100000000002</v>
      </c>
      <c r="F120" s="115">
        <v>680.77499999999998</v>
      </c>
      <c r="G120" s="115">
        <v>643.46699999999998</v>
      </c>
      <c r="H120" s="115">
        <v>608.26700000000005</v>
      </c>
      <c r="I120" s="115">
        <v>891.00199999999995</v>
      </c>
      <c r="J120" s="115">
        <v>851.12699999999995</v>
      </c>
      <c r="K120" s="115">
        <v>881.60699999999997</v>
      </c>
      <c r="L120" s="115">
        <v>823.77300000000002</v>
      </c>
      <c r="M120" s="115">
        <v>760.70799999999997</v>
      </c>
      <c r="N120" s="115">
        <v>694.73400000000004</v>
      </c>
      <c r="O120" s="115">
        <v>716.69299999999998</v>
      </c>
      <c r="P120" s="115">
        <v>691.91700000000003</v>
      </c>
      <c r="Q120" s="115">
        <v>666.92200000000003</v>
      </c>
      <c r="R120" s="115">
        <v>643.95699999999999</v>
      </c>
      <c r="S120" s="115">
        <v>1612.616</v>
      </c>
      <c r="T120" s="115">
        <v>368.61700000000002</v>
      </c>
      <c r="U120" s="115">
        <v>357.483</v>
      </c>
      <c r="V120" s="115">
        <v>347.98399999999998</v>
      </c>
      <c r="W120" s="115">
        <v>344.61</v>
      </c>
      <c r="X120" s="115">
        <v>338.464</v>
      </c>
      <c r="Y120" s="115">
        <v>329.06700000000001</v>
      </c>
      <c r="Z120" s="115">
        <v>321.45999999999998</v>
      </c>
      <c r="AA120" s="115">
        <v>313.87299999999999</v>
      </c>
      <c r="AB120" s="115">
        <v>306.36500000000001</v>
      </c>
      <c r="AC120" s="115">
        <v>297.81099999999998</v>
      </c>
      <c r="AD120" s="43"/>
      <c r="AE120" s="43"/>
      <c r="AF120" s="43"/>
      <c r="AG120" s="43"/>
      <c r="AH120" s="43"/>
      <c r="AI120" s="43"/>
    </row>
    <row r="121" spans="1:35" x14ac:dyDescent="0.25">
      <c r="A121" s="115" t="s">
        <v>1268</v>
      </c>
      <c r="B121" s="115"/>
      <c r="C121" s="115">
        <v>1043.913</v>
      </c>
      <c r="D121" s="115">
        <v>730.57500000000005</v>
      </c>
      <c r="E121" s="115">
        <v>682.80799999999999</v>
      </c>
      <c r="F121" s="115">
        <v>872.78899999999999</v>
      </c>
      <c r="G121" s="115">
        <v>813.66200000000003</v>
      </c>
      <c r="H121" s="115">
        <v>765.16200000000003</v>
      </c>
      <c r="I121" s="115">
        <v>936.94899999999996</v>
      </c>
      <c r="J121" s="115">
        <v>898.87900000000002</v>
      </c>
      <c r="K121" s="115">
        <v>1036.527</v>
      </c>
      <c r="L121" s="115">
        <v>959.69</v>
      </c>
      <c r="M121" s="115">
        <v>885.49099999999999</v>
      </c>
      <c r="N121" s="115">
        <v>813.72199999999998</v>
      </c>
      <c r="O121" s="115">
        <v>814.33199999999999</v>
      </c>
      <c r="P121" s="115">
        <v>770.45699999999999</v>
      </c>
      <c r="Q121" s="115">
        <v>717.173</v>
      </c>
      <c r="R121" s="115">
        <v>664.89700000000005</v>
      </c>
      <c r="S121" s="115">
        <v>1484.4259999999999</v>
      </c>
      <c r="T121" s="115">
        <v>406.91899999999998</v>
      </c>
      <c r="U121" s="115">
        <v>400.68299999999999</v>
      </c>
      <c r="V121" s="115">
        <v>396.47300000000001</v>
      </c>
      <c r="W121" s="115">
        <v>395.678</v>
      </c>
      <c r="X121" s="115">
        <v>395.23399999999998</v>
      </c>
      <c r="Y121" s="115">
        <v>390.185</v>
      </c>
      <c r="Z121" s="115">
        <v>387.57600000000002</v>
      </c>
      <c r="AA121" s="115">
        <v>384.65100000000001</v>
      </c>
      <c r="AB121" s="115">
        <v>381.47399999999999</v>
      </c>
      <c r="AC121" s="115">
        <v>377.23399999999998</v>
      </c>
      <c r="AD121" s="43"/>
      <c r="AE121" s="43"/>
      <c r="AF121" s="43"/>
      <c r="AG121" s="43"/>
      <c r="AH121" s="43"/>
      <c r="AI121" s="43"/>
    </row>
    <row r="122" spans="1:35" x14ac:dyDescent="0.25">
      <c r="A122" s="115" t="s">
        <v>1269</v>
      </c>
      <c r="B122" s="115"/>
      <c r="C122" s="115">
        <v>1716.277</v>
      </c>
      <c r="D122" s="115">
        <v>1622.8140000000001</v>
      </c>
      <c r="E122" s="115">
        <v>1504.4680000000001</v>
      </c>
      <c r="F122" s="115">
        <v>1487.7929999999999</v>
      </c>
      <c r="G122" s="115">
        <v>1427.4490000000001</v>
      </c>
      <c r="H122" s="115">
        <v>1353.9559999999999</v>
      </c>
      <c r="I122" s="115">
        <v>1266.6110000000001</v>
      </c>
      <c r="J122" s="115">
        <v>806.80200000000002</v>
      </c>
      <c r="K122" s="115">
        <v>807.27499999999998</v>
      </c>
      <c r="L122" s="115">
        <v>785.51199999999994</v>
      </c>
      <c r="M122" s="115">
        <v>757.976</v>
      </c>
      <c r="N122" s="115">
        <v>725.37800000000004</v>
      </c>
      <c r="O122" s="115">
        <v>696.87900000000002</v>
      </c>
      <c r="P122" s="115">
        <v>332.39699999999999</v>
      </c>
      <c r="Q122" s="115">
        <v>322.66699999999997</v>
      </c>
      <c r="R122" s="115">
        <v>314.65300000000002</v>
      </c>
      <c r="S122" s="115">
        <v>510.42700000000002</v>
      </c>
      <c r="T122" s="115">
        <v>296.34899999999999</v>
      </c>
      <c r="U122" s="115">
        <v>290.21199999999999</v>
      </c>
      <c r="V122" s="115">
        <v>285.61700000000002</v>
      </c>
      <c r="W122" s="115">
        <v>280.84399999999999</v>
      </c>
      <c r="X122" s="115">
        <v>277.38099999999997</v>
      </c>
      <c r="Y122" s="115">
        <v>272.649</v>
      </c>
      <c r="Z122" s="115">
        <v>269.23200000000003</v>
      </c>
      <c r="AA122" s="115">
        <v>266.15899999999999</v>
      </c>
      <c r="AB122" s="115">
        <v>263.29300000000001</v>
      </c>
      <c r="AC122" s="115">
        <v>260.43299999999999</v>
      </c>
      <c r="AD122" s="43"/>
      <c r="AE122" s="43"/>
      <c r="AF122" s="43"/>
      <c r="AG122" s="43"/>
      <c r="AH122" s="43"/>
      <c r="AI122" s="43"/>
    </row>
    <row r="123" spans="1:35" x14ac:dyDescent="0.25">
      <c r="A123" s="115" t="s">
        <v>1270</v>
      </c>
      <c r="B123" s="115"/>
      <c r="C123" s="115">
        <v>1488.8869999999999</v>
      </c>
      <c r="D123" s="115">
        <v>1412.3779999999999</v>
      </c>
      <c r="E123" s="115">
        <v>1461.1130000000001</v>
      </c>
      <c r="F123" s="115">
        <v>1444.335</v>
      </c>
      <c r="G123" s="115">
        <v>1379.316</v>
      </c>
      <c r="H123" s="115">
        <v>1301.05</v>
      </c>
      <c r="I123" s="115">
        <v>1209.5940000000001</v>
      </c>
      <c r="J123" s="115">
        <v>815.36400000000003</v>
      </c>
      <c r="K123" s="115">
        <v>813.03800000000001</v>
      </c>
      <c r="L123" s="115">
        <v>787.77</v>
      </c>
      <c r="M123" s="115">
        <v>755.13</v>
      </c>
      <c r="N123" s="115">
        <v>716.09500000000003</v>
      </c>
      <c r="O123" s="115">
        <v>682.64599999999996</v>
      </c>
      <c r="P123" s="115">
        <v>311.86500000000001</v>
      </c>
      <c r="Q123" s="115">
        <v>303.01400000000001</v>
      </c>
      <c r="R123" s="115">
        <v>295.85599999999999</v>
      </c>
      <c r="S123" s="115">
        <v>489.613</v>
      </c>
      <c r="T123" s="115">
        <v>279.01900000000001</v>
      </c>
      <c r="U123" s="115">
        <v>273.916</v>
      </c>
      <c r="V123" s="115">
        <v>270.35899999999998</v>
      </c>
      <c r="W123" s="115">
        <v>266.387</v>
      </c>
      <c r="X123" s="115">
        <v>263.709</v>
      </c>
      <c r="Y123" s="115">
        <v>259.70299999999997</v>
      </c>
      <c r="Z123" s="115">
        <v>256.96600000000001</v>
      </c>
      <c r="AA123" s="115">
        <v>254.48500000000001</v>
      </c>
      <c r="AB123" s="115">
        <v>252.10400000000001</v>
      </c>
      <c r="AC123" s="115">
        <v>249.63800000000001</v>
      </c>
      <c r="AD123" s="43"/>
      <c r="AE123" s="43"/>
      <c r="AF123" s="43"/>
      <c r="AG123" s="43"/>
      <c r="AH123" s="43"/>
      <c r="AI123" s="43"/>
    </row>
    <row r="124" spans="1:35" x14ac:dyDescent="0.25">
      <c r="A124" s="115" t="s">
        <v>1271</v>
      </c>
      <c r="B124" s="115"/>
      <c r="C124" s="115">
        <v>1597.883</v>
      </c>
      <c r="D124" s="115">
        <v>1470.2159999999999</v>
      </c>
      <c r="E124" s="115">
        <v>1461.6590000000001</v>
      </c>
      <c r="F124" s="115">
        <v>1435.453</v>
      </c>
      <c r="G124" s="115">
        <v>1359.473</v>
      </c>
      <c r="H124" s="115">
        <v>1271.03</v>
      </c>
      <c r="I124" s="115">
        <v>1170.8440000000001</v>
      </c>
      <c r="J124" s="115">
        <v>795.78</v>
      </c>
      <c r="K124" s="115">
        <v>795.87699999999995</v>
      </c>
      <c r="L124" s="115">
        <v>770.9</v>
      </c>
      <c r="M124" s="115">
        <v>739.01099999999997</v>
      </c>
      <c r="N124" s="115">
        <v>701.24699999999996</v>
      </c>
      <c r="O124" s="115">
        <v>668.125</v>
      </c>
      <c r="P124" s="115">
        <v>310.43700000000001</v>
      </c>
      <c r="Q124" s="115">
        <v>302.51900000000001</v>
      </c>
      <c r="R124" s="115">
        <v>296.13900000000001</v>
      </c>
      <c r="S124" s="115">
        <v>493.78699999999998</v>
      </c>
      <c r="T124" s="115">
        <v>280.44799999999998</v>
      </c>
      <c r="U124" s="115">
        <v>275.76299999999998</v>
      </c>
      <c r="V124" s="115">
        <v>272.59199999999998</v>
      </c>
      <c r="W124" s="115">
        <v>268.72399999999999</v>
      </c>
      <c r="X124" s="115">
        <v>266.173</v>
      </c>
      <c r="Y124" s="115">
        <v>262.17</v>
      </c>
      <c r="Z124" s="115">
        <v>259.46499999999997</v>
      </c>
      <c r="AA124" s="115">
        <v>256.97699999999998</v>
      </c>
      <c r="AB124" s="115">
        <v>254.54499999999999</v>
      </c>
      <c r="AC124" s="115">
        <v>251.98500000000001</v>
      </c>
      <c r="AD124" s="43"/>
      <c r="AE124" s="43"/>
      <c r="AF124" s="43"/>
      <c r="AG124" s="43"/>
      <c r="AH124" s="43"/>
      <c r="AI124" s="43"/>
    </row>
    <row r="125" spans="1:35" x14ac:dyDescent="0.25">
      <c r="A125" s="115" t="s">
        <v>1272</v>
      </c>
      <c r="B125" s="115"/>
      <c r="C125" s="115">
        <v>1459.6410000000001</v>
      </c>
      <c r="D125" s="115">
        <v>1359.2760000000001</v>
      </c>
      <c r="E125" s="115">
        <v>1388.527</v>
      </c>
      <c r="F125" s="115">
        <v>1366.4880000000001</v>
      </c>
      <c r="G125" s="115">
        <v>1291.3240000000001</v>
      </c>
      <c r="H125" s="115">
        <v>1204.29</v>
      </c>
      <c r="I125" s="115">
        <v>1106.162</v>
      </c>
      <c r="J125" s="115">
        <v>762.58699999999999</v>
      </c>
      <c r="K125" s="115">
        <v>767.15700000000004</v>
      </c>
      <c r="L125" s="115">
        <v>747.07</v>
      </c>
      <c r="M125" s="115">
        <v>721.05</v>
      </c>
      <c r="N125" s="115">
        <v>690.072</v>
      </c>
      <c r="O125" s="115">
        <v>662.49300000000005</v>
      </c>
      <c r="P125" s="115">
        <v>318.048</v>
      </c>
      <c r="Q125" s="115">
        <v>311.04000000000002</v>
      </c>
      <c r="R125" s="115">
        <v>305.52300000000002</v>
      </c>
      <c r="S125" s="115">
        <v>523.51400000000001</v>
      </c>
      <c r="T125" s="115">
        <v>290.428</v>
      </c>
      <c r="U125" s="115">
        <v>286.185</v>
      </c>
      <c r="V125" s="115">
        <v>283.43299999999999</v>
      </c>
      <c r="W125" s="115">
        <v>279.61599999999999</v>
      </c>
      <c r="X125" s="115">
        <v>277.10500000000002</v>
      </c>
      <c r="Y125" s="115">
        <v>272.87599999999998</v>
      </c>
      <c r="Z125" s="115">
        <v>269.94400000000002</v>
      </c>
      <c r="AA125" s="115">
        <v>267.137</v>
      </c>
      <c r="AB125" s="115">
        <v>264.29700000000003</v>
      </c>
      <c r="AC125" s="115">
        <v>261.23099999999999</v>
      </c>
      <c r="AD125" s="43"/>
      <c r="AE125" s="43"/>
      <c r="AF125" s="43"/>
      <c r="AG125" s="43"/>
      <c r="AH125" s="43"/>
      <c r="AI125" s="43"/>
    </row>
    <row r="126" spans="1:35" x14ac:dyDescent="0.25">
      <c r="A126" s="115" t="s">
        <v>1273</v>
      </c>
      <c r="B126" s="115"/>
      <c r="C126" s="115">
        <v>1394.9290000000001</v>
      </c>
      <c r="D126" s="115">
        <v>1297.5999999999999</v>
      </c>
      <c r="E126" s="115">
        <v>1367.963</v>
      </c>
      <c r="F126" s="115">
        <v>1350.837</v>
      </c>
      <c r="G126" s="115">
        <v>1283.5989999999999</v>
      </c>
      <c r="H126" s="115">
        <v>1204.4449999999999</v>
      </c>
      <c r="I126" s="115">
        <v>1113.748</v>
      </c>
      <c r="J126" s="115">
        <v>751.79200000000003</v>
      </c>
      <c r="K126" s="115">
        <v>760.58100000000002</v>
      </c>
      <c r="L126" s="115">
        <v>745.25599999999997</v>
      </c>
      <c r="M126" s="115">
        <v>725.32399999999996</v>
      </c>
      <c r="N126" s="115">
        <v>701.58699999999999</v>
      </c>
      <c r="O126" s="115">
        <v>679.05700000000002</v>
      </c>
      <c r="P126" s="115">
        <v>349.43099999999998</v>
      </c>
      <c r="Q126" s="115">
        <v>341.27600000000001</v>
      </c>
      <c r="R126" s="115">
        <v>334.87200000000001</v>
      </c>
      <c r="S126" s="115">
        <v>582.61500000000001</v>
      </c>
      <c r="T126" s="115">
        <v>316.42500000000001</v>
      </c>
      <c r="U126" s="115">
        <v>311.16399999999999</v>
      </c>
      <c r="V126" s="115">
        <v>307.48099999999999</v>
      </c>
      <c r="W126" s="115">
        <v>302.78800000000001</v>
      </c>
      <c r="X126" s="115">
        <v>299.52</v>
      </c>
      <c r="Y126" s="115">
        <v>294.28100000000001</v>
      </c>
      <c r="Z126" s="115">
        <v>290.423</v>
      </c>
      <c r="AA126" s="115">
        <v>286.7</v>
      </c>
      <c r="AB126" s="115">
        <v>282.92700000000002</v>
      </c>
      <c r="AC126" s="115">
        <v>278.90499999999997</v>
      </c>
      <c r="AD126" s="43"/>
      <c r="AE126" s="43"/>
      <c r="AF126" s="43"/>
      <c r="AG126" s="43"/>
      <c r="AH126" s="43"/>
      <c r="AI126" s="43"/>
    </row>
    <row r="127" spans="1:35" x14ac:dyDescent="0.25">
      <c r="A127" s="115" t="s">
        <v>1274</v>
      </c>
      <c r="B127" s="115"/>
      <c r="C127" s="115">
        <v>1303.0530000000001</v>
      </c>
      <c r="D127" s="115">
        <v>444.68799999999999</v>
      </c>
      <c r="E127" s="115">
        <v>280.44200000000001</v>
      </c>
      <c r="F127" s="115">
        <v>283.87299999999999</v>
      </c>
      <c r="G127" s="115">
        <v>256.75</v>
      </c>
      <c r="H127" s="115">
        <v>233.405</v>
      </c>
      <c r="I127" s="115">
        <v>241.31100000000001</v>
      </c>
      <c r="J127" s="115">
        <v>244.84800000000001</v>
      </c>
      <c r="K127" s="115">
        <v>283.53399999999999</v>
      </c>
      <c r="L127" s="115">
        <v>278.87700000000001</v>
      </c>
      <c r="M127" s="115">
        <v>239.268</v>
      </c>
      <c r="N127" s="115">
        <v>215.154</v>
      </c>
      <c r="O127" s="115">
        <v>221.47300000000001</v>
      </c>
      <c r="P127" s="115">
        <v>214.47499999999999</v>
      </c>
      <c r="Q127" s="115">
        <v>191.48500000000001</v>
      </c>
      <c r="R127" s="115">
        <v>169.40799999999999</v>
      </c>
      <c r="S127" s="115">
        <v>279.07600000000002</v>
      </c>
      <c r="T127" s="115">
        <v>146.708</v>
      </c>
      <c r="U127" s="115">
        <v>139.601</v>
      </c>
      <c r="V127" s="115">
        <v>103.839</v>
      </c>
      <c r="W127" s="115">
        <v>104.386</v>
      </c>
      <c r="X127" s="115">
        <v>104.46899999999999</v>
      </c>
      <c r="Y127" s="115">
        <v>104.04</v>
      </c>
      <c r="Z127" s="115">
        <v>104.17100000000001</v>
      </c>
      <c r="AA127" s="115">
        <v>104.32599999999999</v>
      </c>
      <c r="AB127" s="115">
        <v>104.601</v>
      </c>
      <c r="AC127" s="115">
        <v>104.989</v>
      </c>
      <c r="AD127" s="43"/>
      <c r="AE127" s="43"/>
      <c r="AF127" s="43"/>
      <c r="AG127" s="43"/>
      <c r="AH127" s="43"/>
      <c r="AI127" s="43"/>
    </row>
    <row r="128" spans="1:35" x14ac:dyDescent="0.25">
      <c r="A128" s="115" t="s">
        <v>1275</v>
      </c>
      <c r="B128" s="115"/>
      <c r="C128" s="115">
        <v>1299.989</v>
      </c>
      <c r="D128" s="115">
        <v>468.74400000000003</v>
      </c>
      <c r="E128" s="115">
        <v>294.57</v>
      </c>
      <c r="F128" s="115">
        <v>293.411</v>
      </c>
      <c r="G128" s="115">
        <v>257.863</v>
      </c>
      <c r="H128" s="115">
        <v>227.238</v>
      </c>
      <c r="I128" s="115">
        <v>234.245</v>
      </c>
      <c r="J128" s="115">
        <v>236.25899999999999</v>
      </c>
      <c r="K128" s="115">
        <v>272.17700000000002</v>
      </c>
      <c r="L128" s="115">
        <v>264.274</v>
      </c>
      <c r="M128" s="115">
        <v>217.43100000000001</v>
      </c>
      <c r="N128" s="115">
        <v>191.78800000000001</v>
      </c>
      <c r="O128" s="115">
        <v>196.584</v>
      </c>
      <c r="P128" s="115">
        <v>190.49600000000001</v>
      </c>
      <c r="Q128" s="115">
        <v>171.965</v>
      </c>
      <c r="R128" s="115">
        <v>154.49299999999999</v>
      </c>
      <c r="S128" s="115">
        <v>261.017</v>
      </c>
      <c r="T128" s="115">
        <v>136.72800000000001</v>
      </c>
      <c r="U128" s="115">
        <v>131.11600000000001</v>
      </c>
      <c r="V128" s="115">
        <v>99.84</v>
      </c>
      <c r="W128" s="115">
        <v>100.373</v>
      </c>
      <c r="X128" s="115">
        <v>100.45699999999999</v>
      </c>
      <c r="Y128" s="115">
        <v>100.033</v>
      </c>
      <c r="Z128" s="115">
        <v>100.158</v>
      </c>
      <c r="AA128" s="115">
        <v>100.295</v>
      </c>
      <c r="AB128" s="115">
        <v>100.548</v>
      </c>
      <c r="AC128" s="115">
        <v>100.916</v>
      </c>
      <c r="AD128" s="43"/>
      <c r="AE128" s="43"/>
      <c r="AF128" s="43"/>
      <c r="AG128" s="43"/>
      <c r="AH128" s="43"/>
      <c r="AI128" s="43"/>
    </row>
    <row r="129" spans="1:35" x14ac:dyDescent="0.25">
      <c r="A129" s="115" t="s">
        <v>1276</v>
      </c>
      <c r="B129" s="115"/>
      <c r="C129" s="115">
        <v>1129.2329999999999</v>
      </c>
      <c r="D129" s="115">
        <v>469.32400000000001</v>
      </c>
      <c r="E129" s="115">
        <v>313.49099999999999</v>
      </c>
      <c r="F129" s="115">
        <v>314.91000000000003</v>
      </c>
      <c r="G129" s="115">
        <v>268.31900000000002</v>
      </c>
      <c r="H129" s="115">
        <v>226.35599999999999</v>
      </c>
      <c r="I129" s="115">
        <v>233.553</v>
      </c>
      <c r="J129" s="115">
        <v>236.095</v>
      </c>
      <c r="K129" s="115">
        <v>273.30500000000001</v>
      </c>
      <c r="L129" s="115">
        <v>269.34199999999998</v>
      </c>
      <c r="M129" s="115">
        <v>231.75800000000001</v>
      </c>
      <c r="N129" s="115">
        <v>204.00399999999999</v>
      </c>
      <c r="O129" s="115">
        <v>209.239</v>
      </c>
      <c r="P129" s="115">
        <v>202.255</v>
      </c>
      <c r="Q129" s="115">
        <v>181.816</v>
      </c>
      <c r="R129" s="115">
        <v>162.52199999999999</v>
      </c>
      <c r="S129" s="115">
        <v>268.49799999999999</v>
      </c>
      <c r="T129" s="115">
        <v>142.626</v>
      </c>
      <c r="U129" s="115">
        <v>136.33500000000001</v>
      </c>
      <c r="V129" s="115">
        <v>103.49</v>
      </c>
      <c r="W129" s="115">
        <v>103.931</v>
      </c>
      <c r="X129" s="115">
        <v>103.861</v>
      </c>
      <c r="Y129" s="115">
        <v>103.279</v>
      </c>
      <c r="Z129" s="115">
        <v>103.28700000000001</v>
      </c>
      <c r="AA129" s="115">
        <v>103.312</v>
      </c>
      <c r="AB129" s="115">
        <v>103.47799999999999</v>
      </c>
      <c r="AC129" s="115">
        <v>103.78400000000001</v>
      </c>
      <c r="AD129" s="43"/>
      <c r="AE129" s="43"/>
      <c r="AF129" s="43"/>
      <c r="AG129" s="43"/>
      <c r="AH129" s="43"/>
      <c r="AI129" s="43"/>
    </row>
    <row r="130" spans="1:35" x14ac:dyDescent="0.25">
      <c r="A130" s="115" t="s">
        <v>1277</v>
      </c>
      <c r="B130" s="115"/>
      <c r="C130" s="115">
        <v>1286.886</v>
      </c>
      <c r="D130" s="115">
        <v>517.99300000000005</v>
      </c>
      <c r="E130" s="115">
        <v>324.01100000000002</v>
      </c>
      <c r="F130" s="115">
        <v>321.95</v>
      </c>
      <c r="G130" s="115">
        <v>266.61799999999999</v>
      </c>
      <c r="H130" s="115">
        <v>218.84800000000001</v>
      </c>
      <c r="I130" s="115">
        <v>226.03700000000001</v>
      </c>
      <c r="J130" s="115">
        <v>228.24100000000001</v>
      </c>
      <c r="K130" s="115">
        <v>264.52800000000002</v>
      </c>
      <c r="L130" s="115">
        <v>259.44799999999998</v>
      </c>
      <c r="M130" s="115">
        <v>223.20599999999999</v>
      </c>
      <c r="N130" s="115">
        <v>201.06</v>
      </c>
      <c r="O130" s="115">
        <v>207.03399999999999</v>
      </c>
      <c r="P130" s="115">
        <v>200.43</v>
      </c>
      <c r="Q130" s="115">
        <v>179.00299999999999</v>
      </c>
      <c r="R130" s="115">
        <v>158.69200000000001</v>
      </c>
      <c r="S130" s="115">
        <v>263.57600000000002</v>
      </c>
      <c r="T130" s="115">
        <v>138.322</v>
      </c>
      <c r="U130" s="115">
        <v>132.001</v>
      </c>
      <c r="V130" s="115">
        <v>99.126000000000005</v>
      </c>
      <c r="W130" s="115">
        <v>99.94</v>
      </c>
      <c r="X130" s="115">
        <v>100.321</v>
      </c>
      <c r="Y130" s="115">
        <v>100.169</v>
      </c>
      <c r="Z130" s="115">
        <v>100.54</v>
      </c>
      <c r="AA130" s="115">
        <v>100.92100000000001</v>
      </c>
      <c r="AB130" s="115">
        <v>101.401</v>
      </c>
      <c r="AC130" s="115">
        <v>101.979</v>
      </c>
      <c r="AD130" s="43"/>
      <c r="AE130" s="43"/>
      <c r="AF130" s="43"/>
      <c r="AG130" s="43"/>
      <c r="AH130" s="43"/>
      <c r="AI130" s="43"/>
    </row>
    <row r="131" spans="1:35" x14ac:dyDescent="0.25">
      <c r="A131" s="115" t="s">
        <v>1278</v>
      </c>
      <c r="B131" s="115"/>
      <c r="C131" s="115">
        <v>1374.0630000000001</v>
      </c>
      <c r="D131" s="115">
        <v>600.85199999999998</v>
      </c>
      <c r="E131" s="115">
        <v>399.79</v>
      </c>
      <c r="F131" s="115">
        <v>384.57600000000002</v>
      </c>
      <c r="G131" s="115">
        <v>327.81099999999998</v>
      </c>
      <c r="H131" s="115">
        <v>287.48099999999999</v>
      </c>
      <c r="I131" s="115">
        <v>296.43799999999999</v>
      </c>
      <c r="J131" s="115">
        <v>298.81799999999998</v>
      </c>
      <c r="K131" s="115">
        <v>346.41899999999998</v>
      </c>
      <c r="L131" s="115">
        <v>336.58199999999999</v>
      </c>
      <c r="M131" s="115">
        <v>279.76</v>
      </c>
      <c r="N131" s="115">
        <v>250.00200000000001</v>
      </c>
      <c r="O131" s="115">
        <v>256.68799999999999</v>
      </c>
      <c r="P131" s="115">
        <v>247.251</v>
      </c>
      <c r="Q131" s="115">
        <v>218.34700000000001</v>
      </c>
      <c r="R131" s="115">
        <v>189.79599999999999</v>
      </c>
      <c r="S131" s="115">
        <v>297.67700000000002</v>
      </c>
      <c r="T131" s="115">
        <v>158.602</v>
      </c>
      <c r="U131" s="115">
        <v>148.80600000000001</v>
      </c>
      <c r="V131" s="115">
        <v>102.307</v>
      </c>
      <c r="W131" s="115">
        <v>102.911</v>
      </c>
      <c r="X131" s="115">
        <v>102.904</v>
      </c>
      <c r="Y131" s="115">
        <v>102.50700000000001</v>
      </c>
      <c r="Z131" s="115">
        <v>102.604</v>
      </c>
      <c r="AA131" s="115">
        <v>102.748</v>
      </c>
      <c r="AB131" s="115">
        <v>103.02200000000001</v>
      </c>
      <c r="AC131" s="115">
        <v>103.42100000000001</v>
      </c>
      <c r="AD131" s="43"/>
      <c r="AE131" s="43"/>
      <c r="AF131" s="43"/>
      <c r="AG131" s="43"/>
      <c r="AH131" s="43"/>
      <c r="AI131" s="43"/>
    </row>
    <row r="132" spans="1:35" x14ac:dyDescent="0.25">
      <c r="A132" s="115" t="s">
        <v>1000</v>
      </c>
      <c r="B132" s="115"/>
      <c r="C132" s="115">
        <v>14.359</v>
      </c>
      <c r="D132" s="115">
        <v>15.599</v>
      </c>
      <c r="E132" s="115">
        <v>16.358000000000001</v>
      </c>
      <c r="F132" s="115">
        <v>16.553999999999998</v>
      </c>
      <c r="G132" s="115">
        <v>16.469000000000001</v>
      </c>
      <c r="H132" s="115">
        <v>16.311</v>
      </c>
      <c r="I132" s="115">
        <v>12.292999999999999</v>
      </c>
      <c r="J132" s="115">
        <v>12.944000000000001</v>
      </c>
      <c r="K132" s="115">
        <v>12.794</v>
      </c>
      <c r="L132" s="115">
        <v>12.619</v>
      </c>
      <c r="M132" s="115">
        <v>12.558</v>
      </c>
      <c r="N132" s="115">
        <v>12.37</v>
      </c>
      <c r="O132" s="115">
        <v>12.401</v>
      </c>
      <c r="P132" s="115">
        <v>13.432</v>
      </c>
      <c r="Q132" s="115">
        <v>13.215</v>
      </c>
      <c r="R132" s="115">
        <v>13.108000000000001</v>
      </c>
      <c r="S132" s="115">
        <v>9.1709999999999994</v>
      </c>
      <c r="T132" s="115">
        <v>8.1129999999999995</v>
      </c>
      <c r="U132" s="115">
        <v>7.94</v>
      </c>
      <c r="V132" s="115">
        <v>7.5389999999999997</v>
      </c>
      <c r="W132" s="115">
        <v>7.53</v>
      </c>
      <c r="X132" s="115">
        <v>7.3840000000000003</v>
      </c>
      <c r="Y132" s="115">
        <v>7.2450000000000001</v>
      </c>
      <c r="Z132" s="115">
        <v>7.1150000000000002</v>
      </c>
      <c r="AA132" s="115">
        <v>6.9960000000000004</v>
      </c>
      <c r="AB132" s="115">
        <v>6.883</v>
      </c>
      <c r="AC132" s="115">
        <v>6.5629999999999997</v>
      </c>
      <c r="AD132" s="43"/>
      <c r="AE132" s="43"/>
      <c r="AF132" s="43"/>
      <c r="AG132" s="43"/>
      <c r="AH132" s="43"/>
      <c r="AI132" s="43"/>
    </row>
    <row r="133" spans="1:35" x14ac:dyDescent="0.25">
      <c r="A133" s="115" t="s">
        <v>64</v>
      </c>
      <c r="B133" s="115"/>
      <c r="C133" s="115">
        <v>11.736000000000001</v>
      </c>
      <c r="D133" s="115">
        <v>14.01</v>
      </c>
      <c r="E133" s="115">
        <v>14.01</v>
      </c>
      <c r="F133" s="115">
        <v>14.01</v>
      </c>
      <c r="G133" s="115">
        <v>14.01</v>
      </c>
      <c r="H133" s="115">
        <v>14.01</v>
      </c>
      <c r="I133" s="115">
        <v>9.6289999999999996</v>
      </c>
      <c r="J133" s="115">
        <v>9.6289999999999996</v>
      </c>
      <c r="K133" s="115">
        <v>9.6289999999999996</v>
      </c>
      <c r="L133" s="115">
        <v>9.6289999999999996</v>
      </c>
      <c r="M133" s="115">
        <v>9.6289999999999996</v>
      </c>
      <c r="N133" s="115">
        <v>9.6289999999999996</v>
      </c>
      <c r="O133" s="115">
        <v>9.6289999999999996</v>
      </c>
      <c r="P133" s="115">
        <v>9.6289999999999996</v>
      </c>
      <c r="Q133" s="115">
        <v>9.6289999999999996</v>
      </c>
      <c r="R133" s="115">
        <v>9.6289999999999996</v>
      </c>
      <c r="S133" s="115">
        <v>4.3659999999999997</v>
      </c>
      <c r="T133" s="115">
        <v>4.3659999999999997</v>
      </c>
      <c r="U133" s="115">
        <v>4.3659999999999997</v>
      </c>
      <c r="V133" s="115">
        <v>4.3659999999999997</v>
      </c>
      <c r="W133" s="115">
        <v>4.3659999999999997</v>
      </c>
      <c r="X133" s="115">
        <v>4.3659999999999997</v>
      </c>
      <c r="Y133" s="115">
        <v>4.3659999999999997</v>
      </c>
      <c r="Z133" s="115">
        <v>4.3659999999999997</v>
      </c>
      <c r="AA133" s="115">
        <v>4.3659999999999997</v>
      </c>
      <c r="AB133" s="115">
        <v>4.3659999999999997</v>
      </c>
      <c r="AC133" s="115">
        <v>4.1470000000000002</v>
      </c>
      <c r="AD133" s="43"/>
      <c r="AE133" s="43"/>
      <c r="AF133" s="43"/>
      <c r="AG133" s="43"/>
      <c r="AH133" s="43"/>
      <c r="AI133" s="43"/>
    </row>
    <row r="134" spans="1:35" x14ac:dyDescent="0.25">
      <c r="A134" s="115" t="s">
        <v>714</v>
      </c>
      <c r="B134" s="115"/>
      <c r="C134" s="115">
        <v>0.27800000000000002</v>
      </c>
      <c r="D134" s="115">
        <v>0.159</v>
      </c>
      <c r="E134" s="115">
        <v>0.23400000000000001</v>
      </c>
      <c r="F134" s="115">
        <v>0.255</v>
      </c>
      <c r="G134" s="115">
        <v>0.249</v>
      </c>
      <c r="H134" s="115">
        <v>0.23400000000000001</v>
      </c>
      <c r="I134" s="115">
        <v>0.25600000000000001</v>
      </c>
      <c r="J134" s="115">
        <v>0.34499999999999997</v>
      </c>
      <c r="K134" s="115">
        <v>0.33200000000000002</v>
      </c>
      <c r="L134" s="115">
        <v>0.314</v>
      </c>
      <c r="M134" s="115">
        <v>0.311</v>
      </c>
      <c r="N134" s="115">
        <v>0.29199999999999998</v>
      </c>
      <c r="O134" s="115">
        <v>0.29899999999999999</v>
      </c>
      <c r="P134" s="115">
        <v>0.434</v>
      </c>
      <c r="Q134" s="115">
        <v>0.40799999999999997</v>
      </c>
      <c r="R134" s="115">
        <v>0.39600000000000002</v>
      </c>
      <c r="S134" s="115">
        <v>0.54200000000000004</v>
      </c>
      <c r="T134" s="115">
        <v>0.41799999999999998</v>
      </c>
      <c r="U134" s="115">
        <v>0.39800000000000002</v>
      </c>
      <c r="V134" s="115">
        <v>0.35</v>
      </c>
      <c r="W134" s="115">
        <v>0.35099999999999998</v>
      </c>
      <c r="X134" s="115">
        <v>0.33400000000000002</v>
      </c>
      <c r="Y134" s="115">
        <v>0.318</v>
      </c>
      <c r="Z134" s="115">
        <v>0.30299999999999999</v>
      </c>
      <c r="AA134" s="115">
        <v>0.28899999999999998</v>
      </c>
      <c r="AB134" s="115">
        <v>0.27600000000000002</v>
      </c>
      <c r="AC134" s="115">
        <v>0.26900000000000002</v>
      </c>
      <c r="AD134" s="43"/>
      <c r="AE134" s="43"/>
      <c r="AF134" s="43"/>
      <c r="AG134" s="43"/>
      <c r="AH134" s="43"/>
      <c r="AI134" s="43"/>
    </row>
    <row r="135" spans="1:35" x14ac:dyDescent="0.25">
      <c r="A135" s="115" t="s">
        <v>63</v>
      </c>
      <c r="B135" s="115"/>
      <c r="C135" s="115">
        <v>2.6230000000000002</v>
      </c>
      <c r="D135" s="115">
        <v>1.589</v>
      </c>
      <c r="E135" s="115">
        <v>2.347</v>
      </c>
      <c r="F135" s="115">
        <v>2.5430000000000001</v>
      </c>
      <c r="G135" s="115">
        <v>2.4590000000000001</v>
      </c>
      <c r="H135" s="115">
        <v>2.3010000000000002</v>
      </c>
      <c r="I135" s="115">
        <v>2.6640000000000001</v>
      </c>
      <c r="J135" s="115">
        <v>3.3149999999999999</v>
      </c>
      <c r="K135" s="115">
        <v>3.1659999999999999</v>
      </c>
      <c r="L135" s="115">
        <v>2.99</v>
      </c>
      <c r="M135" s="115">
        <v>2.93</v>
      </c>
      <c r="N135" s="115">
        <v>2.7410000000000001</v>
      </c>
      <c r="O135" s="115">
        <v>2.7730000000000001</v>
      </c>
      <c r="P135" s="115">
        <v>3.8029999999999999</v>
      </c>
      <c r="Q135" s="115">
        <v>3.5859999999999999</v>
      </c>
      <c r="R135" s="115">
        <v>3.4790000000000001</v>
      </c>
      <c r="S135" s="115">
        <v>4.8040000000000003</v>
      </c>
      <c r="T135" s="115">
        <v>3.7469999999999999</v>
      </c>
      <c r="U135" s="115">
        <v>3.5739999999999998</v>
      </c>
      <c r="V135" s="115">
        <v>3.173</v>
      </c>
      <c r="W135" s="115">
        <v>3.1640000000000001</v>
      </c>
      <c r="X135" s="115">
        <v>3.0179999999999998</v>
      </c>
      <c r="Y135" s="115">
        <v>2.879</v>
      </c>
      <c r="Z135" s="115">
        <v>2.7490000000000001</v>
      </c>
      <c r="AA135" s="115">
        <v>2.629</v>
      </c>
      <c r="AB135" s="115">
        <v>2.516</v>
      </c>
      <c r="AC135" s="115">
        <v>2.415</v>
      </c>
      <c r="AD135" s="43"/>
      <c r="AE135" s="43"/>
      <c r="AF135" s="43"/>
      <c r="AG135" s="43"/>
      <c r="AH135" s="43"/>
      <c r="AI135" s="43"/>
    </row>
    <row r="136" spans="1:35" x14ac:dyDescent="0.25">
      <c r="A136" s="115" t="s">
        <v>713</v>
      </c>
      <c r="B136" s="115"/>
      <c r="C136" s="115">
        <v>1.409</v>
      </c>
      <c r="D136" s="115">
        <v>0.92300000000000004</v>
      </c>
      <c r="E136" s="115">
        <v>1.208</v>
      </c>
      <c r="F136" s="115">
        <v>1.3</v>
      </c>
      <c r="G136" s="115">
        <v>1.323</v>
      </c>
      <c r="H136" s="115">
        <v>1.292</v>
      </c>
      <c r="I136" s="115">
        <v>1.343</v>
      </c>
      <c r="J136" s="115">
        <v>1.6439999999999999</v>
      </c>
      <c r="K136" s="115">
        <v>1.57</v>
      </c>
      <c r="L136" s="115">
        <v>1.534</v>
      </c>
      <c r="M136" s="115">
        <v>1.5629999999999999</v>
      </c>
      <c r="N136" s="115">
        <v>1.5109999999999999</v>
      </c>
      <c r="O136" s="115">
        <v>1.524</v>
      </c>
      <c r="P136" s="115">
        <v>2.1749999999999998</v>
      </c>
      <c r="Q136" s="115">
        <v>2.077</v>
      </c>
      <c r="R136" s="115">
        <v>2.0409999999999999</v>
      </c>
      <c r="S136" s="115">
        <v>2.5779999999999998</v>
      </c>
      <c r="T136" s="115">
        <v>2.3530000000000002</v>
      </c>
      <c r="U136" s="115">
        <v>2.2570000000000001</v>
      </c>
      <c r="V136" s="115">
        <v>2.036</v>
      </c>
      <c r="W136" s="115">
        <v>2.0310000000000001</v>
      </c>
      <c r="X136" s="115">
        <v>1.9430000000000001</v>
      </c>
      <c r="Y136" s="115">
        <v>1.859</v>
      </c>
      <c r="Z136" s="115">
        <v>1.7809999999999999</v>
      </c>
      <c r="AA136" s="115">
        <v>1.7090000000000001</v>
      </c>
      <c r="AB136" s="115">
        <v>1.64</v>
      </c>
      <c r="AC136" s="115">
        <v>1.575</v>
      </c>
      <c r="AD136" s="43"/>
      <c r="AE136" s="43"/>
      <c r="AF136" s="43"/>
      <c r="AG136" s="43"/>
      <c r="AH136" s="43"/>
      <c r="AI136" s="43"/>
    </row>
    <row r="137" spans="1:35" x14ac:dyDescent="0.25">
      <c r="A137" s="115" t="s">
        <v>712</v>
      </c>
      <c r="B137" s="115"/>
      <c r="C137" s="115">
        <v>0.86699999999999999</v>
      </c>
      <c r="D137" s="115">
        <v>0.46100000000000002</v>
      </c>
      <c r="E137" s="115">
        <v>0.84099999999999997</v>
      </c>
      <c r="F137" s="115">
        <v>0.91900000000000004</v>
      </c>
      <c r="G137" s="115">
        <v>0.81599999999999995</v>
      </c>
      <c r="H137" s="115">
        <v>0.70699999999999996</v>
      </c>
      <c r="I137" s="115">
        <v>0.995</v>
      </c>
      <c r="J137" s="115">
        <v>1.232</v>
      </c>
      <c r="K137" s="115">
        <v>1.173</v>
      </c>
      <c r="L137" s="115">
        <v>1.054</v>
      </c>
      <c r="M137" s="115">
        <v>0.96599999999999997</v>
      </c>
      <c r="N137" s="115">
        <v>0.85299999999999998</v>
      </c>
      <c r="O137" s="115">
        <v>0.86299999999999999</v>
      </c>
      <c r="P137" s="115">
        <v>1.0649999999999999</v>
      </c>
      <c r="Q137" s="115">
        <v>0.97799999999999998</v>
      </c>
      <c r="R137" s="115">
        <v>0.92300000000000004</v>
      </c>
      <c r="S137" s="115">
        <v>1.5209999999999999</v>
      </c>
      <c r="T137" s="115">
        <v>0.84299999999999997</v>
      </c>
      <c r="U137" s="115">
        <v>0.79200000000000004</v>
      </c>
      <c r="V137" s="115">
        <v>0.67400000000000004</v>
      </c>
      <c r="W137" s="115">
        <v>0.67</v>
      </c>
      <c r="X137" s="115">
        <v>0.63400000000000001</v>
      </c>
      <c r="Y137" s="115">
        <v>0.59899999999999998</v>
      </c>
      <c r="Z137" s="115">
        <v>0.56699999999999995</v>
      </c>
      <c r="AA137" s="115">
        <v>0.53800000000000003</v>
      </c>
      <c r="AB137" s="115">
        <v>0.51</v>
      </c>
      <c r="AC137" s="115">
        <v>0.48299999999999998</v>
      </c>
      <c r="AD137" s="43"/>
      <c r="AE137" s="43"/>
      <c r="AF137" s="43"/>
      <c r="AG137" s="43"/>
      <c r="AH137" s="43"/>
      <c r="AI137" s="43"/>
    </row>
    <row r="138" spans="1:35" x14ac:dyDescent="0.25">
      <c r="A138" s="115" t="s">
        <v>711</v>
      </c>
      <c r="B138" s="115"/>
      <c r="C138" s="115">
        <v>6.9000000000000006E-2</v>
      </c>
      <c r="D138" s="115">
        <v>4.7E-2</v>
      </c>
      <c r="E138" s="115">
        <v>6.4000000000000001E-2</v>
      </c>
      <c r="F138" s="115">
        <v>6.9000000000000006E-2</v>
      </c>
      <c r="G138" s="115">
        <v>7.0000000000000007E-2</v>
      </c>
      <c r="H138" s="115">
        <v>6.7000000000000004E-2</v>
      </c>
      <c r="I138" s="115">
        <v>7.0999999999999994E-2</v>
      </c>
      <c r="J138" s="115">
        <v>9.4E-2</v>
      </c>
      <c r="K138" s="115">
        <v>9.0999999999999998E-2</v>
      </c>
      <c r="L138" s="115">
        <v>8.7999999999999995E-2</v>
      </c>
      <c r="M138" s="115">
        <v>8.8999999999999996E-2</v>
      </c>
      <c r="N138" s="115">
        <v>8.5000000000000006E-2</v>
      </c>
      <c r="O138" s="115">
        <v>8.6999999999999994E-2</v>
      </c>
      <c r="P138" s="115">
        <v>0.13</v>
      </c>
      <c r="Q138" s="115">
        <v>0.123</v>
      </c>
      <c r="R138" s="115">
        <v>0.12</v>
      </c>
      <c r="S138" s="115">
        <v>0.16200000000000001</v>
      </c>
      <c r="T138" s="115">
        <v>0.13300000000000001</v>
      </c>
      <c r="U138" s="115">
        <v>0.127</v>
      </c>
      <c r="V138" s="115">
        <v>0.113</v>
      </c>
      <c r="W138" s="115">
        <v>0.113</v>
      </c>
      <c r="X138" s="115">
        <v>0.108</v>
      </c>
      <c r="Y138" s="115">
        <v>0.10299999999999999</v>
      </c>
      <c r="Z138" s="115">
        <v>9.8000000000000004E-2</v>
      </c>
      <c r="AA138" s="115">
        <v>9.4E-2</v>
      </c>
      <c r="AB138" s="115">
        <v>0.09</v>
      </c>
      <c r="AC138" s="115">
        <v>8.7999999999999995E-2</v>
      </c>
      <c r="AD138" s="43"/>
      <c r="AE138" s="43"/>
      <c r="AF138" s="43"/>
      <c r="AG138" s="43"/>
      <c r="AH138" s="43"/>
      <c r="AI138" s="43"/>
    </row>
    <row r="139" spans="1:35" x14ac:dyDescent="0.25">
      <c r="A139" s="115" t="s">
        <v>1236</v>
      </c>
      <c r="B139" s="115"/>
      <c r="C139" s="115"/>
      <c r="D139" s="115"/>
      <c r="E139" s="115"/>
      <c r="F139" s="115">
        <v>0.86399999999999999</v>
      </c>
      <c r="G139" s="115">
        <v>0.85199999999999998</v>
      </c>
      <c r="H139" s="115">
        <v>0.84199999999999997</v>
      </c>
      <c r="I139" s="115">
        <v>0.80400000000000005</v>
      </c>
      <c r="J139" s="115">
        <v>0.871</v>
      </c>
      <c r="K139" s="115">
        <v>0.89700000000000002</v>
      </c>
      <c r="L139" s="115">
        <v>0.88600000000000001</v>
      </c>
      <c r="M139" s="115">
        <v>0.84599999999999997</v>
      </c>
      <c r="N139" s="115">
        <v>0.79900000000000004</v>
      </c>
      <c r="O139" s="115">
        <v>0.75900000000000001</v>
      </c>
      <c r="P139" s="115">
        <v>0.71399999999999997</v>
      </c>
      <c r="Q139" s="115">
        <v>0.66400000000000003</v>
      </c>
      <c r="R139" s="115">
        <v>0.61799999999999999</v>
      </c>
      <c r="S139" s="115">
        <v>4.82</v>
      </c>
      <c r="T139" s="115">
        <v>0.48699999999999999</v>
      </c>
      <c r="U139" s="115">
        <v>0.42199999999999999</v>
      </c>
      <c r="V139" s="115">
        <v>0.373</v>
      </c>
      <c r="W139" s="115">
        <v>0.32700000000000001</v>
      </c>
      <c r="X139" s="115">
        <v>0.29099999999999998</v>
      </c>
      <c r="Y139" s="115">
        <v>0.22</v>
      </c>
      <c r="Z139" s="115">
        <v>0.157</v>
      </c>
      <c r="AA139" s="115">
        <v>0.1</v>
      </c>
      <c r="AB139" s="115">
        <v>4.7E-2</v>
      </c>
      <c r="AC139" s="115">
        <v>0</v>
      </c>
      <c r="AD139" s="43"/>
      <c r="AE139" s="43"/>
      <c r="AF139" s="43"/>
      <c r="AG139" s="43"/>
      <c r="AH139" s="43"/>
      <c r="AI139" s="43"/>
    </row>
    <row r="140" spans="1:35" x14ac:dyDescent="0.25">
      <c r="A140" s="115" t="s">
        <v>633</v>
      </c>
      <c r="B140" s="115">
        <v>5.1029999999999998</v>
      </c>
      <c r="C140" s="115">
        <v>5.4829999999999997</v>
      </c>
      <c r="D140" s="115">
        <v>5.9050000000000002</v>
      </c>
      <c r="E140" s="115">
        <v>6.2530000000000001</v>
      </c>
      <c r="F140" s="115">
        <v>6.415</v>
      </c>
      <c r="G140" s="115">
        <v>6.6189999999999998</v>
      </c>
      <c r="H140" s="115">
        <v>6.8150000000000004</v>
      </c>
      <c r="I140" s="115">
        <v>6.9290000000000003</v>
      </c>
      <c r="J140" s="115">
        <v>7.1829999999999998</v>
      </c>
      <c r="K140" s="115">
        <v>7.3559999999999999</v>
      </c>
      <c r="L140" s="115">
        <v>7.476</v>
      </c>
      <c r="M140" s="115">
        <v>7.5279999999999996</v>
      </c>
      <c r="N140" s="115">
        <v>7.5359999999999996</v>
      </c>
      <c r="O140" s="115">
        <v>7.665</v>
      </c>
      <c r="P140" s="115">
        <v>7.7210000000000001</v>
      </c>
      <c r="Q140" s="115">
        <v>7.7640000000000002</v>
      </c>
      <c r="R140" s="115">
        <v>7.8289999999999997</v>
      </c>
      <c r="S140" s="115">
        <v>7.242</v>
      </c>
      <c r="T140" s="115">
        <v>7.6760000000000002</v>
      </c>
      <c r="U140" s="115">
        <v>7.6130000000000004</v>
      </c>
      <c r="V140" s="115">
        <v>7.6120000000000001</v>
      </c>
      <c r="W140" s="115">
        <v>7.6429999999999998</v>
      </c>
      <c r="X140" s="115">
        <v>7.6870000000000003</v>
      </c>
      <c r="Y140" s="115">
        <v>7.718</v>
      </c>
      <c r="Z140" s="115">
        <v>7.7770000000000001</v>
      </c>
      <c r="AA140" s="115">
        <v>7.8109999999999999</v>
      </c>
      <c r="AB140" s="115">
        <v>7.8529999999999998</v>
      </c>
      <c r="AC140" s="115">
        <v>7.84</v>
      </c>
      <c r="AD140" s="43"/>
      <c r="AE140" s="43"/>
      <c r="AF140" s="43"/>
      <c r="AG140" s="43"/>
      <c r="AH140" s="43"/>
      <c r="AI140" s="43"/>
    </row>
    <row r="141" spans="1:35" x14ac:dyDescent="0.25">
      <c r="A141" s="115" t="s">
        <v>1002</v>
      </c>
      <c r="B141" s="115"/>
      <c r="C141" s="115">
        <v>2.1829999999999998</v>
      </c>
      <c r="D141" s="115">
        <v>2.621</v>
      </c>
      <c r="E141" s="115">
        <v>3.0259999999999998</v>
      </c>
      <c r="F141" s="115">
        <v>3.327</v>
      </c>
      <c r="G141" s="115">
        <v>3.5739999999999998</v>
      </c>
      <c r="H141" s="115">
        <v>3.8170000000000002</v>
      </c>
      <c r="I141" s="115">
        <v>3.073</v>
      </c>
      <c r="J141" s="115">
        <v>3.5590000000000002</v>
      </c>
      <c r="K141" s="115">
        <v>3.8380000000000001</v>
      </c>
      <c r="L141" s="115">
        <v>4.101</v>
      </c>
      <c r="M141" s="115">
        <v>4.3949999999999996</v>
      </c>
      <c r="N141" s="115">
        <v>4.6390000000000002</v>
      </c>
      <c r="O141" s="115">
        <v>4.9610000000000003</v>
      </c>
      <c r="P141" s="115">
        <v>5.7089999999999996</v>
      </c>
      <c r="Q141" s="115">
        <v>5.9470000000000001</v>
      </c>
      <c r="R141" s="115">
        <v>6.226</v>
      </c>
      <c r="S141" s="115">
        <v>4.585</v>
      </c>
      <c r="T141" s="115">
        <v>4.2430000000000003</v>
      </c>
      <c r="U141" s="115">
        <v>4.335</v>
      </c>
      <c r="V141" s="115">
        <v>4.3049999999999997</v>
      </c>
      <c r="W141" s="115">
        <v>4.4880000000000004</v>
      </c>
      <c r="X141" s="115">
        <v>4.5999999999999996</v>
      </c>
      <c r="Y141" s="115">
        <v>4.7169999999999996</v>
      </c>
      <c r="Z141" s="115">
        <v>4.8380000000000001</v>
      </c>
      <c r="AA141" s="115">
        <v>4.9740000000000002</v>
      </c>
      <c r="AB141" s="115">
        <v>5.1139999999999999</v>
      </c>
      <c r="AC141" s="115">
        <v>5.0860000000000003</v>
      </c>
      <c r="AD141" s="43"/>
      <c r="AE141" s="43"/>
      <c r="AF141" s="43"/>
      <c r="AG141" s="43"/>
      <c r="AH141" s="43"/>
      <c r="AI141" s="43"/>
    </row>
    <row r="142" spans="1:35" x14ac:dyDescent="0.25">
      <c r="A142" s="115" t="s">
        <v>1001</v>
      </c>
      <c r="B142" s="115"/>
      <c r="C142" s="115">
        <v>0.39900000000000002</v>
      </c>
      <c r="D142" s="115">
        <v>0.26700000000000002</v>
      </c>
      <c r="E142" s="115">
        <v>0.434</v>
      </c>
      <c r="F142" s="115">
        <v>0.51100000000000001</v>
      </c>
      <c r="G142" s="115">
        <v>0.53400000000000003</v>
      </c>
      <c r="H142" s="115">
        <v>0.53800000000000003</v>
      </c>
      <c r="I142" s="115">
        <v>0.66600000000000004</v>
      </c>
      <c r="J142" s="115">
        <v>0.91200000000000003</v>
      </c>
      <c r="K142" s="115">
        <v>0.95</v>
      </c>
      <c r="L142" s="115">
        <v>0.97199999999999998</v>
      </c>
      <c r="M142" s="115">
        <v>1.0249999999999999</v>
      </c>
      <c r="N142" s="115">
        <v>1.028</v>
      </c>
      <c r="O142" s="115">
        <v>1.109</v>
      </c>
      <c r="P142" s="115">
        <v>1.6160000000000001</v>
      </c>
      <c r="Q142" s="115">
        <v>1.6140000000000001</v>
      </c>
      <c r="R142" s="115">
        <v>1.653</v>
      </c>
      <c r="S142" s="115">
        <v>2.4020000000000001</v>
      </c>
      <c r="T142" s="115">
        <v>1.96</v>
      </c>
      <c r="U142" s="115">
        <v>1.9510000000000001</v>
      </c>
      <c r="V142" s="115">
        <v>1.8120000000000001</v>
      </c>
      <c r="W142" s="115">
        <v>1.8859999999999999</v>
      </c>
      <c r="X142" s="115">
        <v>1.88</v>
      </c>
      <c r="Y142" s="115">
        <v>1.8740000000000001</v>
      </c>
      <c r="Z142" s="115">
        <v>1.869</v>
      </c>
      <c r="AA142" s="115">
        <v>1.869</v>
      </c>
      <c r="AB142" s="115">
        <v>1.87</v>
      </c>
      <c r="AC142" s="115">
        <v>1.8720000000000001</v>
      </c>
      <c r="AD142" s="43"/>
      <c r="AE142" s="43"/>
      <c r="AF142" s="43"/>
      <c r="AG142" s="43"/>
      <c r="AH142" s="43"/>
      <c r="AI142" s="43"/>
    </row>
    <row r="143" spans="1:35" x14ac:dyDescent="0.25">
      <c r="A143" s="115" t="s">
        <v>1186</v>
      </c>
      <c r="B143" s="115"/>
      <c r="C143" s="115">
        <v>-1.0269999999999999</v>
      </c>
      <c r="D143" s="115">
        <v>-0.95899999999999996</v>
      </c>
      <c r="E143" s="115">
        <v>-0.88400000000000001</v>
      </c>
      <c r="F143" s="115">
        <v>-0.91200000000000003</v>
      </c>
      <c r="G143" s="115">
        <v>-0.85399999999999998</v>
      </c>
      <c r="H143" s="115">
        <v>-0.78900000000000003</v>
      </c>
      <c r="I143" s="115">
        <v>-0.72799999999999998</v>
      </c>
      <c r="J143" s="115">
        <v>-0.81499999999999995</v>
      </c>
      <c r="K143" s="115">
        <v>-0.75</v>
      </c>
      <c r="L143" s="115">
        <v>-0.77</v>
      </c>
      <c r="M143" s="115">
        <v>-0.79500000000000004</v>
      </c>
      <c r="N143" s="115">
        <v>-0.81599999999999995</v>
      </c>
      <c r="O143" s="115">
        <v>-0.70799999999999996</v>
      </c>
      <c r="P143" s="115">
        <v>-0.74399999999999999</v>
      </c>
      <c r="Q143" s="115">
        <v>-0.76200000000000001</v>
      </c>
      <c r="R143" s="115">
        <v>-0.69299999999999995</v>
      </c>
      <c r="S143" s="115">
        <v>-0.78700000000000003</v>
      </c>
      <c r="T143" s="115">
        <v>-0.70899999999999996</v>
      </c>
      <c r="U143" s="115">
        <v>-0.70399999999999996</v>
      </c>
      <c r="V143" s="115">
        <v>-0.65300000000000002</v>
      </c>
      <c r="W143" s="115">
        <v>-0.84599999999999997</v>
      </c>
      <c r="X143" s="115">
        <v>-0.72699999999999998</v>
      </c>
      <c r="Y143" s="115">
        <v>-0.77100000000000002</v>
      </c>
      <c r="Z143" s="115">
        <v>-0.75</v>
      </c>
      <c r="AA143" s="115">
        <v>-0.748</v>
      </c>
      <c r="AB143" s="115">
        <v>-0.747</v>
      </c>
      <c r="AC143" s="115">
        <v>-0.745</v>
      </c>
      <c r="AD143" s="43"/>
      <c r="AE143" s="43"/>
      <c r="AF143" s="43"/>
      <c r="AG143" s="43"/>
      <c r="AH143" s="43"/>
      <c r="AI143" s="43"/>
    </row>
    <row r="144" spans="1:35" x14ac:dyDescent="0.25">
      <c r="A144" s="115" t="s">
        <v>1185</v>
      </c>
      <c r="B144" s="115"/>
      <c r="C144" s="115">
        <v>-0.38600000000000001</v>
      </c>
      <c r="D144" s="115">
        <v>-0.216</v>
      </c>
      <c r="E144" s="115">
        <v>-0.32900000000000001</v>
      </c>
      <c r="F144" s="115">
        <v>-0.35699999999999998</v>
      </c>
      <c r="G144" s="115">
        <v>-0.33300000000000002</v>
      </c>
      <c r="H144" s="115">
        <v>-0.30399999999999999</v>
      </c>
      <c r="I144" s="115">
        <v>-0.379</v>
      </c>
      <c r="J144" s="115">
        <v>-0.44800000000000001</v>
      </c>
      <c r="K144" s="115">
        <v>-0.43</v>
      </c>
      <c r="L144" s="115">
        <v>-0.40100000000000002</v>
      </c>
      <c r="M144" s="115">
        <v>-0.38400000000000001</v>
      </c>
      <c r="N144" s="115">
        <v>-0.35199999999999998</v>
      </c>
      <c r="O144" s="115">
        <v>-0.35499999999999998</v>
      </c>
      <c r="P144" s="115">
        <v>-0.47299999999999998</v>
      </c>
      <c r="Q144" s="115">
        <v>-0.443</v>
      </c>
      <c r="R144" s="115">
        <v>-0.42399999999999999</v>
      </c>
      <c r="S144" s="115">
        <v>-0.63200000000000001</v>
      </c>
      <c r="T144" s="115">
        <v>-0.46100000000000002</v>
      </c>
      <c r="U144" s="115">
        <v>-0.438</v>
      </c>
      <c r="V144" s="115">
        <v>-0.38600000000000001</v>
      </c>
      <c r="W144" s="115">
        <v>-0.38200000000000001</v>
      </c>
      <c r="X144" s="115">
        <v>-0.36599999999999999</v>
      </c>
      <c r="Y144" s="115">
        <v>-0.34899999999999998</v>
      </c>
      <c r="Z144" s="115">
        <v>-0.33400000000000002</v>
      </c>
      <c r="AA144" s="115">
        <v>-0.32</v>
      </c>
      <c r="AB144" s="115">
        <v>-0.307</v>
      </c>
      <c r="AC144" s="115">
        <v>-0.29599999999999999</v>
      </c>
      <c r="AD144" s="43"/>
      <c r="AE144" s="43"/>
      <c r="AF144" s="43"/>
      <c r="AG144" s="43"/>
      <c r="AH144" s="43"/>
      <c r="AI144" s="43"/>
    </row>
    <row r="145" spans="1:35" x14ac:dyDescent="0.25">
      <c r="A145" s="115" t="s">
        <v>1183</v>
      </c>
      <c r="B145" s="115"/>
      <c r="C145" s="115">
        <v>2.298</v>
      </c>
      <c r="D145" s="115">
        <v>1.482</v>
      </c>
      <c r="E145" s="115">
        <v>2.0030000000000001</v>
      </c>
      <c r="F145" s="115">
        <v>2.5169999999999999</v>
      </c>
      <c r="G145" s="115">
        <v>2.0840000000000001</v>
      </c>
      <c r="H145" s="115">
        <v>2.0579999999999998</v>
      </c>
      <c r="I145" s="115">
        <v>2.2280000000000002</v>
      </c>
      <c r="J145" s="115">
        <v>2.42</v>
      </c>
      <c r="K145" s="115">
        <v>2.4500000000000002</v>
      </c>
      <c r="L145" s="115">
        <v>2.3570000000000002</v>
      </c>
      <c r="M145" s="115">
        <v>2.3029999999999999</v>
      </c>
      <c r="N145" s="115">
        <v>2.222</v>
      </c>
      <c r="O145" s="115">
        <v>1.738</v>
      </c>
      <c r="P145" s="115">
        <v>1.84</v>
      </c>
      <c r="Q145" s="115">
        <v>1.7350000000000001</v>
      </c>
      <c r="R145" s="115">
        <v>1.526</v>
      </c>
      <c r="S145" s="115">
        <v>3.3519999999999999</v>
      </c>
      <c r="T145" s="115">
        <v>4.8000000000000001E-2</v>
      </c>
      <c r="U145" s="115">
        <v>1.3959999999999999</v>
      </c>
      <c r="V145" s="115">
        <v>1.2310000000000001</v>
      </c>
      <c r="W145" s="115">
        <v>0.90900000000000003</v>
      </c>
      <c r="X145" s="115">
        <v>0.871</v>
      </c>
      <c r="Y145" s="115">
        <v>0.88400000000000001</v>
      </c>
      <c r="Z145" s="115">
        <v>0.78400000000000003</v>
      </c>
      <c r="AA145" s="115">
        <v>0.79500000000000004</v>
      </c>
      <c r="AB145" s="115">
        <v>0.75800000000000001</v>
      </c>
      <c r="AC145" s="115">
        <v>0.77200000000000002</v>
      </c>
      <c r="AD145" s="43"/>
      <c r="AE145" s="43"/>
      <c r="AF145" s="43"/>
      <c r="AG145" s="43"/>
      <c r="AH145" s="43"/>
      <c r="AI145" s="43"/>
    </row>
    <row r="146" spans="1:35" x14ac:dyDescent="0.25">
      <c r="A146" s="115" t="s">
        <v>1187</v>
      </c>
      <c r="B146" s="115"/>
      <c r="C146" s="115">
        <v>-2.1000000000000001E-2</v>
      </c>
      <c r="D146" s="115">
        <v>-1.4E-2</v>
      </c>
      <c r="E146" s="115">
        <v>-2.3E-2</v>
      </c>
      <c r="F146" s="115">
        <v>-2.7E-2</v>
      </c>
      <c r="G146" s="115">
        <v>-2.8000000000000001E-2</v>
      </c>
      <c r="H146" s="115">
        <v>-2.8000000000000001E-2</v>
      </c>
      <c r="I146" s="115">
        <v>-3.5000000000000003E-2</v>
      </c>
      <c r="J146" s="115">
        <v>-4.8000000000000001E-2</v>
      </c>
      <c r="K146" s="115">
        <v>-0.05</v>
      </c>
      <c r="L146" s="115">
        <v>-5.0999999999999997E-2</v>
      </c>
      <c r="M146" s="115">
        <v>-5.3999999999999999E-2</v>
      </c>
      <c r="N146" s="115">
        <v>-5.3999999999999999E-2</v>
      </c>
      <c r="O146" s="115">
        <v>-5.8000000000000003E-2</v>
      </c>
      <c r="P146" s="115">
        <v>-8.5000000000000006E-2</v>
      </c>
      <c r="Q146" s="115">
        <v>-8.4000000000000005E-2</v>
      </c>
      <c r="R146" s="115">
        <v>-8.6999999999999994E-2</v>
      </c>
      <c r="S146" s="115">
        <v>-0.126</v>
      </c>
      <c r="T146" s="115">
        <v>-0.10299999999999999</v>
      </c>
      <c r="U146" s="115">
        <v>-0.10199999999999999</v>
      </c>
      <c r="V146" s="115">
        <v>-9.5000000000000001E-2</v>
      </c>
      <c r="W146" s="115">
        <v>-9.9000000000000005E-2</v>
      </c>
      <c r="X146" s="115">
        <v>-9.8000000000000004E-2</v>
      </c>
      <c r="Y146" s="115">
        <v>-9.8000000000000004E-2</v>
      </c>
      <c r="Z146" s="115">
        <v>-9.8000000000000004E-2</v>
      </c>
      <c r="AA146" s="115">
        <v>-9.8000000000000004E-2</v>
      </c>
      <c r="AB146" s="115">
        <v>-9.8000000000000004E-2</v>
      </c>
      <c r="AC146" s="115">
        <v>-9.8000000000000004E-2</v>
      </c>
      <c r="AD146" s="43"/>
      <c r="AE146" s="43"/>
      <c r="AF146" s="43"/>
      <c r="AG146" s="43"/>
      <c r="AH146" s="43"/>
      <c r="AI146" s="43"/>
    </row>
    <row r="147" spans="1:35" x14ac:dyDescent="0.25">
      <c r="A147" s="115" t="s">
        <v>1188</v>
      </c>
      <c r="B147" s="115"/>
      <c r="C147" s="115">
        <v>0</v>
      </c>
      <c r="D147" s="115">
        <v>0</v>
      </c>
      <c r="E147" s="115">
        <v>0</v>
      </c>
      <c r="F147" s="115">
        <v>0</v>
      </c>
      <c r="G147" s="115">
        <v>0</v>
      </c>
      <c r="H147" s="115">
        <v>0</v>
      </c>
      <c r="I147" s="115">
        <v>0</v>
      </c>
      <c r="J147" s="115">
        <v>0</v>
      </c>
      <c r="K147" s="115">
        <v>0</v>
      </c>
      <c r="L147" s="115">
        <v>0</v>
      </c>
      <c r="M147" s="115">
        <v>0</v>
      </c>
      <c r="N147" s="115">
        <v>0</v>
      </c>
      <c r="O147" s="115">
        <v>0</v>
      </c>
      <c r="P147" s="115">
        <v>0</v>
      </c>
      <c r="Q147" s="115">
        <v>0</v>
      </c>
      <c r="R147" s="115">
        <v>0</v>
      </c>
      <c r="S147" s="115">
        <v>0</v>
      </c>
      <c r="T147" s="115">
        <v>0</v>
      </c>
      <c r="U147" s="115">
        <v>0</v>
      </c>
      <c r="V147" s="115">
        <v>0</v>
      </c>
      <c r="W147" s="115">
        <v>0</v>
      </c>
      <c r="X147" s="115">
        <v>0</v>
      </c>
      <c r="Y147" s="115">
        <v>0</v>
      </c>
      <c r="Z147" s="115">
        <v>0</v>
      </c>
      <c r="AA147" s="115">
        <v>0</v>
      </c>
      <c r="AB147" s="115">
        <v>0</v>
      </c>
      <c r="AC147" s="115">
        <v>0</v>
      </c>
      <c r="AD147" s="43"/>
      <c r="AE147" s="43"/>
      <c r="AF147" s="43"/>
      <c r="AG147" s="43"/>
      <c r="AH147" s="43"/>
      <c r="AI147" s="43"/>
    </row>
    <row r="148" spans="1:35" x14ac:dyDescent="0.25">
      <c r="A148" s="115" t="s">
        <v>1172</v>
      </c>
      <c r="B148" s="115"/>
      <c r="C148" s="115">
        <v>7.181</v>
      </c>
      <c r="D148" s="115">
        <v>4.4820000000000002</v>
      </c>
      <c r="E148" s="115">
        <v>6.0919999999999996</v>
      </c>
      <c r="F148" s="115">
        <v>8.8460000000000001</v>
      </c>
      <c r="G148" s="115">
        <v>6.1020000000000003</v>
      </c>
      <c r="H148" s="115">
        <v>5.4820000000000002</v>
      </c>
      <c r="I148" s="115">
        <v>5.3529999999999998</v>
      </c>
      <c r="J148" s="115">
        <v>6.6630000000000003</v>
      </c>
      <c r="K148" s="115">
        <v>6.0229999999999997</v>
      </c>
      <c r="L148" s="115">
        <v>5.8150000000000004</v>
      </c>
      <c r="M148" s="115">
        <v>5.6849999999999996</v>
      </c>
      <c r="N148" s="115">
        <v>5.5910000000000002</v>
      </c>
      <c r="O148" s="115">
        <v>4.4859999999999998</v>
      </c>
      <c r="P148" s="115">
        <v>4.9880000000000004</v>
      </c>
      <c r="Q148" s="115">
        <v>4.8109999999999999</v>
      </c>
      <c r="R148" s="115">
        <v>4.2709999999999999</v>
      </c>
      <c r="S148" s="115">
        <v>10.698</v>
      </c>
      <c r="T148" s="115">
        <v>-1.149</v>
      </c>
      <c r="U148" s="115">
        <v>3.7269999999999999</v>
      </c>
      <c r="V148" s="115">
        <v>3.2850000000000001</v>
      </c>
      <c r="W148" s="115">
        <v>2.4430000000000001</v>
      </c>
      <c r="X148" s="115">
        <v>2.2280000000000002</v>
      </c>
      <c r="Y148" s="115">
        <v>2.2989999999999999</v>
      </c>
      <c r="Z148" s="115">
        <v>2.0129999999999999</v>
      </c>
      <c r="AA148" s="115">
        <v>1.954</v>
      </c>
      <c r="AB148" s="115">
        <v>1.909</v>
      </c>
      <c r="AC148" s="115">
        <v>1.857</v>
      </c>
      <c r="AD148" s="43"/>
      <c r="AE148" s="43"/>
      <c r="AF148" s="43"/>
      <c r="AG148" s="43"/>
      <c r="AH148" s="43"/>
      <c r="AI148" s="43"/>
    </row>
    <row r="149" spans="1:35" x14ac:dyDescent="0.25">
      <c r="A149" s="115" t="s">
        <v>1178</v>
      </c>
      <c r="B149" s="115"/>
      <c r="C149" s="115">
        <v>0.80500000000000005</v>
      </c>
      <c r="D149" s="115">
        <v>0.57999999999999996</v>
      </c>
      <c r="E149" s="115">
        <v>0.68300000000000005</v>
      </c>
      <c r="F149" s="115">
        <v>0.73699999999999999</v>
      </c>
      <c r="G149" s="115">
        <v>0.73399999999999999</v>
      </c>
      <c r="H149" s="115">
        <v>0.73399999999999999</v>
      </c>
      <c r="I149" s="115">
        <v>0.81899999999999995</v>
      </c>
      <c r="J149" s="115">
        <v>0.88900000000000001</v>
      </c>
      <c r="K149" s="115">
        <v>0.90600000000000003</v>
      </c>
      <c r="L149" s="115">
        <v>0.876</v>
      </c>
      <c r="M149" s="115">
        <v>0.84599999999999997</v>
      </c>
      <c r="N149" s="115">
        <v>0.81799999999999995</v>
      </c>
      <c r="O149" s="115">
        <v>0.70399999999999996</v>
      </c>
      <c r="P149" s="115">
        <v>0.75</v>
      </c>
      <c r="Q149" s="115">
        <v>0.71699999999999997</v>
      </c>
      <c r="R149" s="115">
        <v>0.63</v>
      </c>
      <c r="S149" s="115">
        <v>0.75</v>
      </c>
      <c r="T149" s="115">
        <v>0.58699999999999997</v>
      </c>
      <c r="U149" s="115">
        <v>0.56200000000000006</v>
      </c>
      <c r="V149" s="115">
        <v>0.497</v>
      </c>
      <c r="W149" s="115">
        <v>0.316</v>
      </c>
      <c r="X149" s="115">
        <v>0.29599999999999999</v>
      </c>
      <c r="Y149" s="115">
        <v>0.311</v>
      </c>
      <c r="Z149" s="115">
        <v>0.27</v>
      </c>
      <c r="AA149" s="115">
        <v>0.25800000000000001</v>
      </c>
      <c r="AB149" s="115">
        <v>0.249</v>
      </c>
      <c r="AC149" s="115">
        <v>0.23799999999999999</v>
      </c>
      <c r="AD149" s="43"/>
      <c r="AE149" s="43"/>
      <c r="AF149" s="43"/>
      <c r="AG149" s="43"/>
      <c r="AH149" s="43"/>
      <c r="AI149" s="43"/>
    </row>
    <row r="150" spans="1:35" x14ac:dyDescent="0.25">
      <c r="A150" s="115" t="s">
        <v>1175</v>
      </c>
      <c r="B150" s="115"/>
      <c r="C150" s="115">
        <v>5.9809999999999999</v>
      </c>
      <c r="D150" s="115">
        <v>4.5019999999999998</v>
      </c>
      <c r="E150" s="115">
        <v>4.5780000000000003</v>
      </c>
      <c r="F150" s="115">
        <v>5.1989999999999998</v>
      </c>
      <c r="G150" s="115">
        <v>4.6580000000000004</v>
      </c>
      <c r="H150" s="115">
        <v>4.0670000000000002</v>
      </c>
      <c r="I150" s="115">
        <v>4.0330000000000004</v>
      </c>
      <c r="J150" s="115">
        <v>5.1660000000000004</v>
      </c>
      <c r="K150" s="115">
        <v>4.6470000000000002</v>
      </c>
      <c r="L150" s="115">
        <v>4.5679999999999996</v>
      </c>
      <c r="M150" s="115">
        <v>4.5469999999999997</v>
      </c>
      <c r="N150" s="115">
        <v>4.5149999999999997</v>
      </c>
      <c r="O150" s="115">
        <v>3.528</v>
      </c>
      <c r="P150" s="115">
        <v>4.04</v>
      </c>
      <c r="Q150" s="115">
        <v>3.9510000000000001</v>
      </c>
      <c r="R150" s="115">
        <v>3.4609999999999999</v>
      </c>
      <c r="S150" s="115">
        <v>4.33</v>
      </c>
      <c r="T150" s="115">
        <v>3.2229999999999999</v>
      </c>
      <c r="U150" s="115">
        <v>3.052</v>
      </c>
      <c r="V150" s="115">
        <v>2.621</v>
      </c>
      <c r="W150" s="115">
        <v>1.8029999999999999</v>
      </c>
      <c r="X150" s="115">
        <v>1.599</v>
      </c>
      <c r="Y150" s="115">
        <v>1.726</v>
      </c>
      <c r="Z150" s="115">
        <v>1.45</v>
      </c>
      <c r="AA150" s="115">
        <v>1.4</v>
      </c>
      <c r="AB150" s="115">
        <v>1.3640000000000001</v>
      </c>
      <c r="AC150" s="115">
        <v>1.3220000000000001</v>
      </c>
      <c r="AD150" s="43"/>
      <c r="AE150" s="43"/>
      <c r="AF150" s="43"/>
      <c r="AG150" s="43"/>
      <c r="AH150" s="43"/>
      <c r="AI150" s="43"/>
    </row>
    <row r="151" spans="1:35" x14ac:dyDescent="0.25">
      <c r="A151" s="115" t="s">
        <v>1173</v>
      </c>
      <c r="B151" s="115"/>
      <c r="C151" s="115">
        <v>1.921</v>
      </c>
      <c r="D151" s="115">
        <v>1.0389999999999999</v>
      </c>
      <c r="E151" s="115">
        <v>1.49</v>
      </c>
      <c r="F151" s="115">
        <v>1.6779999999999999</v>
      </c>
      <c r="G151" s="115">
        <v>1.484</v>
      </c>
      <c r="H151" s="115">
        <v>1.2829999999999999</v>
      </c>
      <c r="I151" s="115">
        <v>1.6140000000000001</v>
      </c>
      <c r="J151" s="115">
        <v>2.0939999999999999</v>
      </c>
      <c r="K151" s="115">
        <v>1.996</v>
      </c>
      <c r="L151" s="115">
        <v>1.7470000000000001</v>
      </c>
      <c r="M151" s="115">
        <v>1.5229999999999999</v>
      </c>
      <c r="N151" s="115">
        <v>1.3149999999999999</v>
      </c>
      <c r="O151" s="115">
        <v>1.353</v>
      </c>
      <c r="P151" s="115">
        <v>1.627</v>
      </c>
      <c r="Q151" s="115">
        <v>1.452</v>
      </c>
      <c r="R151" s="115">
        <v>1.3220000000000001</v>
      </c>
      <c r="S151" s="115">
        <v>2.0579999999999998</v>
      </c>
      <c r="T151" s="115">
        <v>1.157</v>
      </c>
      <c r="U151" s="115">
        <v>1.0589999999999999</v>
      </c>
      <c r="V151" s="115">
        <v>0.90100000000000002</v>
      </c>
      <c r="W151" s="115">
        <v>0.85499999999999998</v>
      </c>
      <c r="X151" s="115">
        <v>0.78900000000000003</v>
      </c>
      <c r="Y151" s="115">
        <v>0.72599999999999998</v>
      </c>
      <c r="Z151" s="115">
        <v>0.67100000000000004</v>
      </c>
      <c r="AA151" s="115">
        <v>0.62</v>
      </c>
      <c r="AB151" s="115">
        <v>0.57299999999999995</v>
      </c>
      <c r="AC151" s="115">
        <v>0.52900000000000003</v>
      </c>
      <c r="AD151" s="43"/>
      <c r="AE151" s="43"/>
      <c r="AF151" s="43"/>
      <c r="AG151" s="43"/>
      <c r="AH151" s="43"/>
      <c r="AI151" s="43"/>
    </row>
    <row r="152" spans="1:35" x14ac:dyDescent="0.25">
      <c r="A152" s="115" t="s">
        <v>1179</v>
      </c>
      <c r="B152" s="115"/>
      <c r="C152" s="115">
        <v>0.20899999999999999</v>
      </c>
      <c r="D152" s="115">
        <v>4.4999999999999998E-2</v>
      </c>
      <c r="E152" s="115">
        <v>0.14199999999999999</v>
      </c>
      <c r="F152" s="115">
        <v>0.32900000000000001</v>
      </c>
      <c r="G152" s="115">
        <v>0.14399999999999999</v>
      </c>
      <c r="H152" s="115">
        <v>0.14599999999999999</v>
      </c>
      <c r="I152" s="115">
        <v>0.14099999999999999</v>
      </c>
      <c r="J152" s="115">
        <v>0.16200000000000001</v>
      </c>
      <c r="K152" s="115">
        <v>0.154</v>
      </c>
      <c r="L152" s="115">
        <v>0.14499999999999999</v>
      </c>
      <c r="M152" s="115">
        <v>0.13700000000000001</v>
      </c>
      <c r="N152" s="115">
        <v>0.13400000000000001</v>
      </c>
      <c r="O152" s="115">
        <v>0.124</v>
      </c>
      <c r="P152" s="115">
        <v>0.13</v>
      </c>
      <c r="Q152" s="115">
        <v>0.11799999999999999</v>
      </c>
      <c r="R152" s="115">
        <v>0.115</v>
      </c>
      <c r="S152" s="115">
        <v>0.879</v>
      </c>
      <c r="T152" s="115">
        <v>-0.61599999999999999</v>
      </c>
      <c r="U152" s="115">
        <v>0.105</v>
      </c>
      <c r="V152" s="115">
        <v>0.106</v>
      </c>
      <c r="W152" s="115">
        <v>0.104</v>
      </c>
      <c r="X152" s="115">
        <v>0.106</v>
      </c>
      <c r="Y152" s="115">
        <v>9.9000000000000005E-2</v>
      </c>
      <c r="Z152" s="115">
        <v>9.9000000000000005E-2</v>
      </c>
      <c r="AA152" s="115">
        <v>0.1</v>
      </c>
      <c r="AB152" s="115">
        <v>0.10100000000000001</v>
      </c>
      <c r="AC152" s="115">
        <v>0.10199999999999999</v>
      </c>
      <c r="AD152" s="43"/>
      <c r="AE152" s="43"/>
      <c r="AF152" s="43"/>
      <c r="AG152" s="43"/>
      <c r="AH152" s="43"/>
      <c r="AI152" s="43"/>
    </row>
    <row r="153" spans="1:35" x14ac:dyDescent="0.25">
      <c r="A153" s="115" t="s">
        <v>1176</v>
      </c>
      <c r="B153" s="115"/>
      <c r="C153" s="115">
        <v>1.1990000000000001</v>
      </c>
      <c r="D153" s="115">
        <v>-0.02</v>
      </c>
      <c r="E153" s="115">
        <v>1.514</v>
      </c>
      <c r="F153" s="115">
        <v>3.6480000000000001</v>
      </c>
      <c r="G153" s="115">
        <v>1.444</v>
      </c>
      <c r="H153" s="115">
        <v>1.415</v>
      </c>
      <c r="I153" s="115">
        <v>1.32</v>
      </c>
      <c r="J153" s="115">
        <v>1.496</v>
      </c>
      <c r="K153" s="115">
        <v>1.375</v>
      </c>
      <c r="L153" s="115">
        <v>1.2470000000000001</v>
      </c>
      <c r="M153" s="115">
        <v>1.139</v>
      </c>
      <c r="N153" s="115">
        <v>1.0760000000000001</v>
      </c>
      <c r="O153" s="115">
        <v>0.95799999999999996</v>
      </c>
      <c r="P153" s="115">
        <v>0.94799999999999995</v>
      </c>
      <c r="Q153" s="115">
        <v>0.86</v>
      </c>
      <c r="R153" s="115">
        <v>0.81</v>
      </c>
      <c r="S153" s="115">
        <v>6.3680000000000003</v>
      </c>
      <c r="T153" s="115">
        <v>-4.3719999999999999</v>
      </c>
      <c r="U153" s="115">
        <v>0.67500000000000004</v>
      </c>
      <c r="V153" s="115">
        <v>0.66400000000000003</v>
      </c>
      <c r="W153" s="115">
        <v>0.63900000000000001</v>
      </c>
      <c r="X153" s="115">
        <v>0.63</v>
      </c>
      <c r="Y153" s="115">
        <v>0.57299999999999995</v>
      </c>
      <c r="Z153" s="115">
        <v>0.56299999999999994</v>
      </c>
      <c r="AA153" s="115">
        <v>0.55400000000000005</v>
      </c>
      <c r="AB153" s="115">
        <v>0.54500000000000004</v>
      </c>
      <c r="AC153" s="115">
        <v>0.53500000000000003</v>
      </c>
      <c r="AD153" s="43"/>
      <c r="AE153" s="43"/>
      <c r="AF153" s="43"/>
      <c r="AG153" s="43"/>
      <c r="AH153" s="43"/>
      <c r="AI153" s="43"/>
    </row>
    <row r="154" spans="1:35" x14ac:dyDescent="0.25">
      <c r="A154" s="115" t="s">
        <v>1174</v>
      </c>
      <c r="B154" s="115"/>
      <c r="C154" s="115">
        <v>4.0599999999999996</v>
      </c>
      <c r="D154" s="115">
        <v>3.4630000000000001</v>
      </c>
      <c r="E154" s="115">
        <v>3.0880000000000001</v>
      </c>
      <c r="F154" s="115">
        <v>3.5209999999999999</v>
      </c>
      <c r="G154" s="115">
        <v>3.1739999999999999</v>
      </c>
      <c r="H154" s="115">
        <v>2.7839999999999998</v>
      </c>
      <c r="I154" s="115">
        <v>2.419</v>
      </c>
      <c r="J154" s="115">
        <v>3.073</v>
      </c>
      <c r="K154" s="115">
        <v>2.6509999999999998</v>
      </c>
      <c r="L154" s="115">
        <v>2.8210000000000002</v>
      </c>
      <c r="M154" s="115">
        <v>3.024</v>
      </c>
      <c r="N154" s="115">
        <v>3.2010000000000001</v>
      </c>
      <c r="O154" s="115">
        <v>2.1749999999999998</v>
      </c>
      <c r="P154" s="115">
        <v>2.4129999999999998</v>
      </c>
      <c r="Q154" s="115">
        <v>2.4990000000000001</v>
      </c>
      <c r="R154" s="115">
        <v>2.1379999999999999</v>
      </c>
      <c r="S154" s="115">
        <v>2.2719999999999998</v>
      </c>
      <c r="T154" s="115">
        <v>2.0659999999999998</v>
      </c>
      <c r="U154" s="115">
        <v>1.9930000000000001</v>
      </c>
      <c r="V154" s="115">
        <v>1.7210000000000001</v>
      </c>
      <c r="W154" s="115">
        <v>0.94799999999999995</v>
      </c>
      <c r="X154" s="115">
        <v>0.81</v>
      </c>
      <c r="Y154" s="115">
        <v>1</v>
      </c>
      <c r="Z154" s="115">
        <v>0.77900000000000003</v>
      </c>
      <c r="AA154" s="115">
        <v>0.78</v>
      </c>
      <c r="AB154" s="115">
        <v>0.79100000000000004</v>
      </c>
      <c r="AC154" s="115">
        <v>0.79300000000000004</v>
      </c>
      <c r="AD154" s="43"/>
      <c r="AE154" s="43"/>
      <c r="AF154" s="43"/>
      <c r="AG154" s="43"/>
      <c r="AH154" s="43"/>
      <c r="AI154" s="43"/>
    </row>
    <row r="155" spans="1:35" x14ac:dyDescent="0.25">
      <c r="A155" s="115" t="s">
        <v>1189</v>
      </c>
      <c r="B155" s="115"/>
      <c r="C155" s="115">
        <v>-1.708</v>
      </c>
      <c r="D155" s="115">
        <v>-1.2450000000000001</v>
      </c>
      <c r="E155" s="115">
        <v>-1.423</v>
      </c>
      <c r="F155" s="115">
        <v>-1.754</v>
      </c>
      <c r="G155" s="115">
        <v>-1.411</v>
      </c>
      <c r="H155" s="115">
        <v>-1.3169999999999999</v>
      </c>
      <c r="I155" s="115">
        <v>-1.331</v>
      </c>
      <c r="J155" s="115">
        <v>-1.5289999999999999</v>
      </c>
      <c r="K155" s="115">
        <v>-1.4359999999999999</v>
      </c>
      <c r="L155" s="115">
        <v>-1.415</v>
      </c>
      <c r="M155" s="115">
        <v>-1.4139999999999999</v>
      </c>
      <c r="N155" s="115">
        <v>-1.399</v>
      </c>
      <c r="O155" s="115">
        <v>-1.284</v>
      </c>
      <c r="P155" s="115">
        <v>-1.472</v>
      </c>
      <c r="Q155" s="115">
        <v>-1.4419999999999999</v>
      </c>
      <c r="R155" s="115">
        <v>-1.351</v>
      </c>
      <c r="S155" s="115">
        <v>-3.4049999999999998</v>
      </c>
      <c r="T155" s="115">
        <v>-0.438</v>
      </c>
      <c r="U155" s="115">
        <v>-1.375</v>
      </c>
      <c r="V155" s="115">
        <v>-1.266</v>
      </c>
      <c r="W155" s="115">
        <v>-1.458</v>
      </c>
      <c r="X155" s="115">
        <v>-1.323</v>
      </c>
      <c r="Y155" s="115">
        <v>-1.34</v>
      </c>
      <c r="Z155" s="115">
        <v>-1.304</v>
      </c>
      <c r="AA155" s="115">
        <v>-1.2889999999999999</v>
      </c>
      <c r="AB155" s="115">
        <v>-1.2749999999999999</v>
      </c>
      <c r="AC155" s="115">
        <v>-1.2609999999999999</v>
      </c>
      <c r="AD155" s="43"/>
      <c r="AE155" s="43"/>
      <c r="AF155" s="43"/>
      <c r="AG155" s="43"/>
      <c r="AH155" s="43"/>
      <c r="AI155" s="43"/>
    </row>
    <row r="156" spans="1:35" x14ac:dyDescent="0.25">
      <c r="A156" s="115" t="s">
        <v>1181</v>
      </c>
      <c r="B156" s="115"/>
      <c r="C156" s="115">
        <v>0.622</v>
      </c>
      <c r="D156" s="115">
        <v>0.41899999999999998</v>
      </c>
      <c r="E156" s="115">
        <v>0.63300000000000001</v>
      </c>
      <c r="F156" s="115">
        <v>0.91300000000000003</v>
      </c>
      <c r="G156" s="115">
        <v>0.71899999999999997</v>
      </c>
      <c r="H156" s="115">
        <v>0.73</v>
      </c>
      <c r="I156" s="115">
        <v>0.76700000000000002</v>
      </c>
      <c r="J156" s="115">
        <v>0.89800000000000002</v>
      </c>
      <c r="K156" s="115">
        <v>0.93</v>
      </c>
      <c r="L156" s="115">
        <v>0.90800000000000003</v>
      </c>
      <c r="M156" s="115">
        <v>0.92100000000000004</v>
      </c>
      <c r="N156" s="115">
        <v>0.89700000000000002</v>
      </c>
      <c r="O156" s="115">
        <v>0.61</v>
      </c>
      <c r="P156" s="115">
        <v>0.66400000000000003</v>
      </c>
      <c r="Q156" s="115">
        <v>0.623</v>
      </c>
      <c r="R156" s="115">
        <v>0.53700000000000003</v>
      </c>
      <c r="S156" s="115">
        <v>1.379</v>
      </c>
      <c r="T156" s="115">
        <v>-0.152</v>
      </c>
      <c r="U156" s="115">
        <v>0.51300000000000001</v>
      </c>
      <c r="V156" s="115">
        <v>0.433</v>
      </c>
      <c r="W156" s="115">
        <v>0.35899999999999999</v>
      </c>
      <c r="X156" s="115">
        <v>0.34499999999999997</v>
      </c>
      <c r="Y156" s="115">
        <v>0.35</v>
      </c>
      <c r="Z156" s="115">
        <v>0.30299999999999999</v>
      </c>
      <c r="AA156" s="115">
        <v>0.32900000000000001</v>
      </c>
      <c r="AB156" s="115">
        <v>0.30499999999999999</v>
      </c>
      <c r="AC156" s="115">
        <v>0.32900000000000001</v>
      </c>
      <c r="AD156" s="43"/>
      <c r="AE156" s="43"/>
      <c r="AF156" s="43"/>
      <c r="AG156" s="43"/>
      <c r="AH156" s="43"/>
      <c r="AI156" s="43"/>
    </row>
    <row r="157" spans="1:35" x14ac:dyDescent="0.25">
      <c r="A157" s="115" t="s">
        <v>1182</v>
      </c>
      <c r="B157" s="115"/>
      <c r="C157" s="115">
        <v>0.495</v>
      </c>
      <c r="D157" s="115">
        <v>0.32</v>
      </c>
      <c r="E157" s="115">
        <v>0.40100000000000002</v>
      </c>
      <c r="F157" s="115">
        <v>0.379</v>
      </c>
      <c r="G157" s="115">
        <v>0.32200000000000001</v>
      </c>
      <c r="H157" s="115">
        <v>0.27600000000000002</v>
      </c>
      <c r="I157" s="115">
        <v>0.30499999999999999</v>
      </c>
      <c r="J157" s="115">
        <v>0.26800000000000002</v>
      </c>
      <c r="K157" s="115">
        <v>0.24299999999999999</v>
      </c>
      <c r="L157" s="115">
        <v>0.218</v>
      </c>
      <c r="M157" s="115">
        <v>0.19600000000000001</v>
      </c>
      <c r="N157" s="115">
        <v>0.17699999999999999</v>
      </c>
      <c r="O157" s="115">
        <v>0.14099999999999999</v>
      </c>
      <c r="P157" s="115">
        <v>0.127</v>
      </c>
      <c r="Q157" s="115">
        <v>0.115</v>
      </c>
      <c r="R157" s="115">
        <v>0.10199999999999999</v>
      </c>
      <c r="S157" s="115">
        <v>0.104</v>
      </c>
      <c r="T157" s="115">
        <v>9.1999999999999998E-2</v>
      </c>
      <c r="U157" s="115">
        <v>8.3000000000000004E-2</v>
      </c>
      <c r="V157" s="115">
        <v>7.4999999999999997E-2</v>
      </c>
      <c r="W157" s="115">
        <v>5.0999999999999997E-2</v>
      </c>
      <c r="X157" s="115">
        <v>0.05</v>
      </c>
      <c r="Y157" s="115">
        <v>4.5999999999999999E-2</v>
      </c>
      <c r="Z157" s="115">
        <v>4.2999999999999997E-2</v>
      </c>
      <c r="AA157" s="115">
        <v>3.9E-2</v>
      </c>
      <c r="AB157" s="115">
        <v>3.5999999999999997E-2</v>
      </c>
      <c r="AC157" s="115">
        <v>3.6999999999999998E-2</v>
      </c>
      <c r="AD157" s="43"/>
      <c r="AE157" s="43"/>
      <c r="AF157" s="43"/>
      <c r="AG157" s="43"/>
      <c r="AH157" s="43"/>
      <c r="AI157" s="43"/>
    </row>
    <row r="158" spans="1:35" x14ac:dyDescent="0.25">
      <c r="A158" s="115" t="s">
        <v>1177</v>
      </c>
      <c r="B158" s="115"/>
      <c r="C158" s="115">
        <v>0.91800000000000004</v>
      </c>
      <c r="D158" s="115">
        <v>0.57099999999999995</v>
      </c>
      <c r="E158" s="115">
        <v>0.80400000000000005</v>
      </c>
      <c r="F158" s="115">
        <v>0.83299999999999996</v>
      </c>
      <c r="G158" s="115">
        <v>0.93700000000000006</v>
      </c>
      <c r="H158" s="115">
        <v>1.0629999999999999</v>
      </c>
      <c r="I158" s="115">
        <v>1.2729999999999999</v>
      </c>
      <c r="J158" s="115">
        <v>1.167</v>
      </c>
      <c r="K158" s="115">
        <v>1.3180000000000001</v>
      </c>
      <c r="L158" s="115">
        <v>1.226</v>
      </c>
      <c r="M158" s="115">
        <v>1.1220000000000001</v>
      </c>
      <c r="N158" s="115">
        <v>1.0289999999999999</v>
      </c>
      <c r="O158" s="115">
        <v>0.84</v>
      </c>
      <c r="P158" s="115">
        <v>0.81</v>
      </c>
      <c r="Q158" s="115">
        <v>0.72799999999999998</v>
      </c>
      <c r="R158" s="115">
        <v>0.61299999999999999</v>
      </c>
      <c r="S158" s="115">
        <v>0.82</v>
      </c>
      <c r="T158" s="115">
        <v>0.55900000000000005</v>
      </c>
      <c r="U158" s="115">
        <v>0.53200000000000003</v>
      </c>
      <c r="V158" s="115">
        <v>0.47399999999999998</v>
      </c>
      <c r="W158" s="115">
        <v>0.33500000000000002</v>
      </c>
      <c r="X158" s="115">
        <v>0.314</v>
      </c>
      <c r="Y158" s="115">
        <v>0.32</v>
      </c>
      <c r="Z158" s="115">
        <v>0.28499999999999998</v>
      </c>
      <c r="AA158" s="115">
        <v>0.27300000000000002</v>
      </c>
      <c r="AB158" s="115">
        <v>0.26300000000000001</v>
      </c>
      <c r="AC158" s="115">
        <v>0.252</v>
      </c>
      <c r="AD158" s="43"/>
      <c r="AE158" s="43"/>
      <c r="AF158" s="43"/>
      <c r="AG158" s="43"/>
      <c r="AH158" s="43"/>
      <c r="AI158" s="43"/>
    </row>
    <row r="159" spans="1:35" x14ac:dyDescent="0.25">
      <c r="A159" s="115" t="s">
        <v>1180</v>
      </c>
      <c r="B159" s="115"/>
      <c r="C159" s="115">
        <v>0.16700000000000001</v>
      </c>
      <c r="D159" s="115">
        <v>0.11799999999999999</v>
      </c>
      <c r="E159" s="115">
        <v>0.14299999999999999</v>
      </c>
      <c r="F159" s="115">
        <v>0.159</v>
      </c>
      <c r="G159" s="115">
        <v>0.16500000000000001</v>
      </c>
      <c r="H159" s="115">
        <v>0.17199999999999999</v>
      </c>
      <c r="I159" s="115">
        <v>0.19500000000000001</v>
      </c>
      <c r="J159" s="115">
        <v>0.20300000000000001</v>
      </c>
      <c r="K159" s="115">
        <v>0.215</v>
      </c>
      <c r="L159" s="115">
        <v>0.21</v>
      </c>
      <c r="M159" s="115">
        <v>0.20300000000000001</v>
      </c>
      <c r="N159" s="115">
        <v>0.19700000000000001</v>
      </c>
      <c r="O159" s="115">
        <v>0.16</v>
      </c>
      <c r="P159" s="115">
        <v>0.17</v>
      </c>
      <c r="Q159" s="115">
        <v>0.16200000000000001</v>
      </c>
      <c r="R159" s="115">
        <v>0.14299999999999999</v>
      </c>
      <c r="S159" s="115">
        <v>0.24</v>
      </c>
      <c r="T159" s="115">
        <v>0.13700000000000001</v>
      </c>
      <c r="U159" s="115">
        <v>0.13200000000000001</v>
      </c>
      <c r="V159" s="115">
        <v>0.11899999999999999</v>
      </c>
      <c r="W159" s="115">
        <v>7.8E-2</v>
      </c>
      <c r="X159" s="115">
        <v>7.3999999999999996E-2</v>
      </c>
      <c r="Y159" s="115">
        <v>7.9000000000000001E-2</v>
      </c>
      <c r="Z159" s="115">
        <v>7.0000000000000007E-2</v>
      </c>
      <c r="AA159" s="115">
        <v>6.8000000000000005E-2</v>
      </c>
      <c r="AB159" s="115">
        <v>6.7000000000000004E-2</v>
      </c>
      <c r="AC159" s="115">
        <v>6.6000000000000003E-2</v>
      </c>
      <c r="AD159" s="43"/>
      <c r="AE159" s="43"/>
      <c r="AF159" s="43"/>
      <c r="AG159" s="43"/>
      <c r="AH159" s="43"/>
      <c r="AI159" s="43"/>
    </row>
    <row r="160" spans="1:35" x14ac:dyDescent="0.25">
      <c r="A160" s="115" t="s">
        <v>1184</v>
      </c>
      <c r="B160" s="115"/>
      <c r="C160" s="115">
        <v>-0.27400000000000002</v>
      </c>
      <c r="D160" s="115">
        <v>-5.6000000000000001E-2</v>
      </c>
      <c r="E160" s="115">
        <v>-0.187</v>
      </c>
      <c r="F160" s="115">
        <v>-0.45700000000000002</v>
      </c>
      <c r="G160" s="115">
        <v>-0.19600000000000001</v>
      </c>
      <c r="H160" s="115">
        <v>-0.19600000000000001</v>
      </c>
      <c r="I160" s="115">
        <v>-0.188</v>
      </c>
      <c r="J160" s="115">
        <v>-0.218</v>
      </c>
      <c r="K160" s="115">
        <v>-0.20699999999999999</v>
      </c>
      <c r="L160" s="115">
        <v>-0.19400000000000001</v>
      </c>
      <c r="M160" s="115">
        <v>-0.182</v>
      </c>
      <c r="N160" s="115">
        <v>-0.17699999999999999</v>
      </c>
      <c r="O160" s="115">
        <v>-0.16200000000000001</v>
      </c>
      <c r="P160" s="115">
        <v>-0.17</v>
      </c>
      <c r="Q160" s="115">
        <v>-0.153</v>
      </c>
      <c r="R160" s="115">
        <v>-0.14799999999999999</v>
      </c>
      <c r="S160" s="115">
        <v>-1.86</v>
      </c>
      <c r="T160" s="115">
        <v>0.83399999999999996</v>
      </c>
      <c r="U160" s="115">
        <v>-0.13200000000000001</v>
      </c>
      <c r="V160" s="115">
        <v>-0.13300000000000001</v>
      </c>
      <c r="W160" s="115">
        <v>-0.13100000000000001</v>
      </c>
      <c r="X160" s="115">
        <v>-0.13200000000000001</v>
      </c>
      <c r="Y160" s="115">
        <v>-0.122</v>
      </c>
      <c r="Z160" s="115">
        <v>-0.122</v>
      </c>
      <c r="AA160" s="115">
        <v>-0.123</v>
      </c>
      <c r="AB160" s="115">
        <v>-0.123</v>
      </c>
      <c r="AC160" s="115">
        <v>-0.123</v>
      </c>
      <c r="AD160" s="43"/>
      <c r="AE160" s="43"/>
      <c r="AF160" s="43"/>
      <c r="AG160" s="43"/>
      <c r="AH160" s="43"/>
      <c r="AI160" s="43"/>
    </row>
    <row r="161" spans="1:35" x14ac:dyDescent="0.25">
      <c r="A161" s="115" t="s">
        <v>68</v>
      </c>
      <c r="B161" s="115"/>
      <c r="C161" s="115">
        <v>3.097</v>
      </c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43"/>
      <c r="AE161" s="43"/>
      <c r="AF161" s="43"/>
      <c r="AG161" s="43"/>
      <c r="AH161" s="43"/>
      <c r="AI161" s="43"/>
    </row>
    <row r="162" spans="1:35" x14ac:dyDescent="0.25">
      <c r="A162" s="115" t="s">
        <v>67</v>
      </c>
      <c r="B162" s="115"/>
      <c r="C162" s="115">
        <v>2408.6390000000001</v>
      </c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43"/>
      <c r="AE162" s="43"/>
      <c r="AF162" s="43"/>
      <c r="AG162" s="43"/>
      <c r="AH162" s="43"/>
      <c r="AI162" s="43"/>
    </row>
    <row r="163" spans="1:35" x14ac:dyDescent="0.25">
      <c r="A163" s="115" t="s">
        <v>1033</v>
      </c>
      <c r="B163" s="115"/>
      <c r="C163" s="115">
        <v>2.0449999999999999</v>
      </c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43"/>
      <c r="AE163" s="43"/>
      <c r="AF163" s="43"/>
      <c r="AG163" s="43"/>
      <c r="AH163" s="43"/>
      <c r="AI163" s="43"/>
    </row>
    <row r="164" spans="1:35" x14ac:dyDescent="0.25">
      <c r="A164" s="115" t="s">
        <v>1031</v>
      </c>
      <c r="B164" s="115"/>
      <c r="C164" s="115">
        <v>1807.7809999999999</v>
      </c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43"/>
      <c r="AE164" s="43"/>
      <c r="AF164" s="43"/>
      <c r="AG164" s="43"/>
      <c r="AH164" s="43"/>
      <c r="AI164" s="43"/>
    </row>
    <row r="165" spans="1:35" x14ac:dyDescent="0.25">
      <c r="A165" s="115" t="s">
        <v>1026</v>
      </c>
      <c r="B165" s="115"/>
      <c r="C165" s="115">
        <v>136.89699999999999</v>
      </c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43"/>
      <c r="AE165" s="43"/>
      <c r="AF165" s="43"/>
      <c r="AG165" s="43"/>
      <c r="AH165" s="43"/>
      <c r="AI165" s="43"/>
    </row>
    <row r="166" spans="1:35" x14ac:dyDescent="0.25">
      <c r="A166" s="115" t="s">
        <v>1027</v>
      </c>
      <c r="B166" s="115"/>
      <c r="C166" s="115">
        <v>199.01900000000001</v>
      </c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43"/>
      <c r="AE166" s="43"/>
      <c r="AF166" s="43"/>
      <c r="AG166" s="43"/>
      <c r="AH166" s="43"/>
      <c r="AI166" s="43"/>
    </row>
    <row r="167" spans="1:35" x14ac:dyDescent="0.25">
      <c r="A167" s="115" t="s">
        <v>1028</v>
      </c>
      <c r="B167" s="115"/>
      <c r="C167" s="115">
        <v>266.392</v>
      </c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43"/>
      <c r="AE167" s="43"/>
      <c r="AF167" s="43"/>
      <c r="AG167" s="43"/>
      <c r="AH167" s="43"/>
      <c r="AI167" s="43"/>
    </row>
    <row r="168" spans="1:35" x14ac:dyDescent="0.25">
      <c r="A168" s="115" t="s">
        <v>1029</v>
      </c>
      <c r="B168" s="115"/>
      <c r="C168" s="115">
        <v>345.86500000000001</v>
      </c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43"/>
      <c r="AE168" s="43"/>
      <c r="AF168" s="43"/>
      <c r="AG168" s="43"/>
      <c r="AH168" s="43"/>
      <c r="AI168" s="43"/>
    </row>
    <row r="169" spans="1:35" x14ac:dyDescent="0.25">
      <c r="A169" s="115" t="s">
        <v>1030</v>
      </c>
      <c r="B169" s="115"/>
      <c r="C169" s="115">
        <v>859.60799999999995</v>
      </c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43"/>
      <c r="AE169" s="43"/>
      <c r="AF169" s="43"/>
      <c r="AG169" s="43"/>
      <c r="AH169" s="43"/>
      <c r="AI169" s="43"/>
    </row>
    <row r="170" spans="1:35" x14ac:dyDescent="0.25">
      <c r="A170" s="115" t="s">
        <v>65</v>
      </c>
      <c r="B170" s="115"/>
      <c r="C170" s="115">
        <v>813.56100000000004</v>
      </c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43"/>
      <c r="AE170" s="43"/>
      <c r="AF170" s="43"/>
      <c r="AG170" s="43"/>
      <c r="AH170" s="43"/>
      <c r="AI170" s="43"/>
    </row>
    <row r="171" spans="1:35" x14ac:dyDescent="0.25">
      <c r="A171" s="115" t="s">
        <v>66</v>
      </c>
      <c r="B171" s="115"/>
      <c r="C171" s="115">
        <v>994.22</v>
      </c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43"/>
      <c r="AE171" s="43"/>
      <c r="AF171" s="43"/>
      <c r="AG171" s="43"/>
      <c r="AH171" s="43"/>
      <c r="AI171" s="43"/>
    </row>
    <row r="172" spans="1:35" x14ac:dyDescent="0.25">
      <c r="A172" s="115" t="s">
        <v>1070</v>
      </c>
      <c r="B172" s="115"/>
      <c r="C172" s="115">
        <v>1.0509999999999999</v>
      </c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43"/>
      <c r="AE172" s="43"/>
      <c r="AF172" s="43"/>
      <c r="AG172" s="43"/>
      <c r="AH172" s="43"/>
      <c r="AI172" s="43"/>
    </row>
    <row r="173" spans="1:35" x14ac:dyDescent="0.25">
      <c r="A173" s="115" t="s">
        <v>1067</v>
      </c>
      <c r="B173" s="115"/>
      <c r="C173" s="115">
        <v>600.85699999999997</v>
      </c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43"/>
      <c r="AE173" s="43"/>
      <c r="AF173" s="43"/>
      <c r="AG173" s="43"/>
      <c r="AH173" s="43"/>
      <c r="AI173" s="43"/>
    </row>
    <row r="174" spans="1:35" x14ac:dyDescent="0.25">
      <c r="A174" s="115" t="s">
        <v>1062</v>
      </c>
      <c r="B174" s="115"/>
      <c r="C174" s="115">
        <v>43.878</v>
      </c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43"/>
      <c r="AE174" s="43"/>
      <c r="AF174" s="43"/>
      <c r="AG174" s="43"/>
      <c r="AH174" s="43"/>
      <c r="AI174" s="43"/>
    </row>
    <row r="175" spans="1:35" x14ac:dyDescent="0.25">
      <c r="A175" s="115" t="s">
        <v>1063</v>
      </c>
      <c r="B175" s="115"/>
      <c r="C175" s="115">
        <v>71.819999999999993</v>
      </c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43"/>
      <c r="AE175" s="43"/>
      <c r="AF175" s="43"/>
      <c r="AG175" s="43"/>
      <c r="AH175" s="43"/>
      <c r="AI175" s="43"/>
    </row>
    <row r="176" spans="1:35" x14ac:dyDescent="0.25">
      <c r="A176" s="115" t="s">
        <v>1064</v>
      </c>
      <c r="B176" s="115"/>
      <c r="C176" s="115">
        <v>125.9</v>
      </c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43"/>
      <c r="AE176" s="43"/>
      <c r="AF176" s="43"/>
      <c r="AG176" s="43"/>
      <c r="AH176" s="43"/>
      <c r="AI176" s="43"/>
    </row>
    <row r="177" spans="1:35" x14ac:dyDescent="0.25">
      <c r="A177" s="115" t="s">
        <v>1065</v>
      </c>
      <c r="B177" s="115"/>
      <c r="C177" s="115">
        <v>131.65799999999999</v>
      </c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43"/>
      <c r="AE177" s="43"/>
      <c r="AF177" s="43"/>
      <c r="AG177" s="43"/>
      <c r="AH177" s="43"/>
      <c r="AI177" s="43"/>
    </row>
    <row r="178" spans="1:35" x14ac:dyDescent="0.25">
      <c r="A178" s="115" t="s">
        <v>1066</v>
      </c>
      <c r="B178" s="115"/>
      <c r="C178" s="115">
        <v>227.601</v>
      </c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43"/>
      <c r="AE178" s="43"/>
      <c r="AF178" s="43"/>
      <c r="AG178" s="43"/>
      <c r="AH178" s="43"/>
      <c r="AI178" s="43"/>
    </row>
    <row r="179" spans="1:35" x14ac:dyDescent="0.25">
      <c r="A179" s="115" t="s">
        <v>69</v>
      </c>
      <c r="B179" s="115"/>
      <c r="C179" s="115">
        <v>157.84200000000001</v>
      </c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43"/>
      <c r="AE179" s="43"/>
      <c r="AF179" s="43"/>
      <c r="AG179" s="43"/>
      <c r="AH179" s="43"/>
      <c r="AI179" s="43"/>
    </row>
    <row r="180" spans="1:35" x14ac:dyDescent="0.25">
      <c r="A180" s="115" t="s">
        <v>70</v>
      </c>
      <c r="B180" s="115"/>
      <c r="C180" s="115">
        <v>443.01600000000002</v>
      </c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43"/>
      <c r="AE180" s="43"/>
      <c r="AF180" s="43"/>
      <c r="AG180" s="43"/>
      <c r="AH180" s="43"/>
      <c r="AI180" s="43"/>
    </row>
    <row r="181" spans="1:35" x14ac:dyDescent="0.25">
      <c r="A181" s="115" t="s">
        <v>1125</v>
      </c>
      <c r="B181" s="115"/>
      <c r="C181" s="115">
        <v>971.40200000000004</v>
      </c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43"/>
      <c r="AE181" s="43"/>
      <c r="AF181" s="43"/>
      <c r="AG181" s="43"/>
      <c r="AH181" s="43"/>
      <c r="AI181" s="43"/>
    </row>
    <row r="182" spans="1:35" x14ac:dyDescent="0.25">
      <c r="A182" s="115" t="s">
        <v>1126</v>
      </c>
      <c r="B182" s="115"/>
      <c r="C182" s="115">
        <v>1437.2360000000001</v>
      </c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43"/>
      <c r="AE182" s="43"/>
      <c r="AF182" s="43"/>
      <c r="AG182" s="43"/>
      <c r="AH182" s="43"/>
      <c r="AI182" s="43"/>
    </row>
    <row r="183" spans="1:35" x14ac:dyDescent="0.25">
      <c r="A183" s="115" t="s">
        <v>629</v>
      </c>
      <c r="B183" s="115">
        <v>1.0149999999999999</v>
      </c>
      <c r="C183" s="115">
        <v>0.97899999999999998</v>
      </c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43"/>
      <c r="AE183" s="43"/>
      <c r="AF183" s="43"/>
      <c r="AG183" s="43"/>
      <c r="AH183" s="43"/>
      <c r="AI183" s="43"/>
    </row>
    <row r="184" spans="1:35" x14ac:dyDescent="0.25">
      <c r="A184" s="115" t="s">
        <v>1164</v>
      </c>
      <c r="B184" s="115"/>
      <c r="C184" s="115">
        <v>0</v>
      </c>
      <c r="D184" s="115">
        <v>0</v>
      </c>
      <c r="E184" s="115">
        <v>0</v>
      </c>
      <c r="F184" s="115">
        <v>0</v>
      </c>
      <c r="G184" s="115">
        <v>0</v>
      </c>
      <c r="H184" s="115">
        <v>0</v>
      </c>
      <c r="I184" s="115">
        <v>0</v>
      </c>
      <c r="J184" s="115">
        <v>0</v>
      </c>
      <c r="K184" s="115">
        <v>0</v>
      </c>
      <c r="L184" s="115">
        <v>0</v>
      </c>
      <c r="M184" s="115">
        <v>0</v>
      </c>
      <c r="N184" s="115">
        <v>0</v>
      </c>
      <c r="O184" s="115">
        <v>0</v>
      </c>
      <c r="P184" s="115">
        <v>0</v>
      </c>
      <c r="Q184" s="115">
        <v>0</v>
      </c>
      <c r="R184" s="115">
        <v>0</v>
      </c>
      <c r="S184" s="115">
        <v>0</v>
      </c>
      <c r="T184" s="115">
        <v>0</v>
      </c>
      <c r="U184" s="115">
        <v>0</v>
      </c>
      <c r="V184" s="115">
        <v>0</v>
      </c>
      <c r="W184" s="115">
        <v>0</v>
      </c>
      <c r="X184" s="115">
        <v>0</v>
      </c>
      <c r="Y184" s="115">
        <v>0</v>
      </c>
      <c r="Z184" s="115">
        <v>0</v>
      </c>
      <c r="AA184" s="115">
        <v>0</v>
      </c>
      <c r="AB184" s="115">
        <v>0</v>
      </c>
      <c r="AC184" s="115">
        <v>0</v>
      </c>
      <c r="AD184" s="43"/>
      <c r="AE184" s="43"/>
      <c r="AF184" s="43"/>
      <c r="AG184" s="43"/>
      <c r="AH184" s="43"/>
      <c r="AI184" s="43"/>
    </row>
    <row r="185" spans="1:35" x14ac:dyDescent="0.25">
      <c r="A185" s="115" t="s">
        <v>216</v>
      </c>
      <c r="B185" s="115">
        <v>100.41500000000001</v>
      </c>
      <c r="C185" s="115">
        <v>97.085999999999999</v>
      </c>
      <c r="D185" s="115">
        <v>94.679000000000002</v>
      </c>
      <c r="E185" s="115">
        <v>91.71</v>
      </c>
      <c r="F185" s="115">
        <v>87.766999999999996</v>
      </c>
      <c r="G185" s="115">
        <v>84.903999999999996</v>
      </c>
      <c r="H185" s="115">
        <v>82.316999999999993</v>
      </c>
      <c r="I185" s="115">
        <v>80.018000000000001</v>
      </c>
      <c r="J185" s="115">
        <v>77.271000000000001</v>
      </c>
      <c r="K185" s="115">
        <v>74.781000000000006</v>
      </c>
      <c r="L185" s="115">
        <v>72.39</v>
      </c>
      <c r="M185" s="115">
        <v>70.066999999999993</v>
      </c>
      <c r="N185" s="115">
        <v>67.8</v>
      </c>
      <c r="O185" s="115">
        <v>65.941999999999993</v>
      </c>
      <c r="P185" s="115">
        <v>63.924999999999997</v>
      </c>
      <c r="Q185" s="115">
        <v>61.988999999999997</v>
      </c>
      <c r="R185" s="115">
        <v>60.256999999999998</v>
      </c>
      <c r="S185" s="115">
        <v>56.433</v>
      </c>
      <c r="T185" s="115">
        <v>56.695999999999998</v>
      </c>
      <c r="U185" s="115">
        <v>55.276000000000003</v>
      </c>
      <c r="V185" s="115">
        <v>54.005000000000003</v>
      </c>
      <c r="W185" s="115">
        <v>53.021000000000001</v>
      </c>
      <c r="X185" s="115">
        <v>52.11</v>
      </c>
      <c r="Y185" s="115">
        <v>51.174999999999997</v>
      </c>
      <c r="Z185" s="115">
        <v>50.337000000000003</v>
      </c>
      <c r="AA185" s="115">
        <v>49.52</v>
      </c>
      <c r="AB185" s="115">
        <v>48.716999999999999</v>
      </c>
      <c r="AC185" s="115">
        <v>47.92</v>
      </c>
      <c r="AD185" s="43"/>
      <c r="AE185" s="43"/>
      <c r="AF185" s="43"/>
      <c r="AG185" s="43"/>
      <c r="AH185" s="43"/>
      <c r="AI185" s="43"/>
    </row>
    <row r="186" spans="1:35" x14ac:dyDescent="0.25">
      <c r="A186" s="115" t="s">
        <v>573</v>
      </c>
      <c r="B186" s="115">
        <v>260.45800000000003</v>
      </c>
      <c r="C186" s="115">
        <v>253.846</v>
      </c>
      <c r="D186" s="115">
        <v>249.952</v>
      </c>
      <c r="E186" s="115">
        <v>244.435</v>
      </c>
      <c r="F186" s="115">
        <v>236.148</v>
      </c>
      <c r="G186" s="115">
        <v>230.59200000000001</v>
      </c>
      <c r="H186" s="115">
        <v>225.643</v>
      </c>
      <c r="I186" s="115">
        <v>220.66200000000001</v>
      </c>
      <c r="J186" s="115">
        <v>214.36099999999999</v>
      </c>
      <c r="K186" s="115">
        <v>208.68199999999999</v>
      </c>
      <c r="L186" s="115">
        <v>203.197</v>
      </c>
      <c r="M186" s="115">
        <v>197.82599999999999</v>
      </c>
      <c r="N186" s="115">
        <v>192.536</v>
      </c>
      <c r="O186" s="115">
        <v>188.33799999999999</v>
      </c>
      <c r="P186" s="115">
        <v>183.62299999999999</v>
      </c>
      <c r="Q186" s="115">
        <v>179.072</v>
      </c>
      <c r="R186" s="115">
        <v>175.048</v>
      </c>
      <c r="S186" s="115">
        <v>164.18</v>
      </c>
      <c r="T186" s="115">
        <v>165.18600000000001</v>
      </c>
      <c r="U186" s="115">
        <v>161.28</v>
      </c>
      <c r="V186" s="115">
        <v>157.80000000000001</v>
      </c>
      <c r="W186" s="115">
        <v>155.14699999999999</v>
      </c>
      <c r="X186" s="115">
        <v>152.69999999999999</v>
      </c>
      <c r="Y186" s="115">
        <v>150.173</v>
      </c>
      <c r="Z186" s="115">
        <v>147.92400000000001</v>
      </c>
      <c r="AA186" s="115">
        <v>145.726</v>
      </c>
      <c r="AB186" s="115">
        <v>143.566</v>
      </c>
      <c r="AC186" s="115">
        <v>141.363</v>
      </c>
      <c r="AD186" s="43"/>
      <c r="AE186" s="43"/>
      <c r="AF186" s="43"/>
      <c r="AG186" s="43"/>
      <c r="AH186" s="43"/>
      <c r="AI186" s="43"/>
    </row>
    <row r="187" spans="1:35" x14ac:dyDescent="0.25">
      <c r="A187" s="115" t="s">
        <v>588</v>
      </c>
      <c r="B187" s="115">
        <v>0.61699999999999999</v>
      </c>
      <c r="C187" s="115">
        <v>0.81399999999999995</v>
      </c>
      <c r="D187" s="115">
        <v>1.119</v>
      </c>
      <c r="E187" s="115">
        <v>1.4259999999999999</v>
      </c>
      <c r="F187" s="115">
        <v>1.7350000000000001</v>
      </c>
      <c r="G187" s="115">
        <v>2.0430000000000001</v>
      </c>
      <c r="H187" s="115">
        <v>2.3490000000000002</v>
      </c>
      <c r="I187" s="115">
        <v>2.5720000000000001</v>
      </c>
      <c r="J187" s="115">
        <v>2.8</v>
      </c>
      <c r="K187" s="115">
        <v>3.0270000000000001</v>
      </c>
      <c r="L187" s="115">
        <v>3.2570000000000001</v>
      </c>
      <c r="M187" s="115">
        <v>3.4910000000000001</v>
      </c>
      <c r="N187" s="115">
        <v>3.7290000000000001</v>
      </c>
      <c r="O187" s="115">
        <v>3.9649999999999999</v>
      </c>
      <c r="P187" s="115">
        <v>4.2039999999999997</v>
      </c>
      <c r="Q187" s="115">
        <v>4.4489999999999998</v>
      </c>
      <c r="R187" s="115">
        <v>4.6950000000000003</v>
      </c>
      <c r="S187" s="115">
        <v>4.8099999999999996</v>
      </c>
      <c r="T187" s="115">
        <v>4.9249999999999998</v>
      </c>
      <c r="U187" s="115">
        <v>5.0430000000000001</v>
      </c>
      <c r="V187" s="115">
        <v>5.16</v>
      </c>
      <c r="W187" s="115">
        <v>5.2309999999999999</v>
      </c>
      <c r="X187" s="115">
        <v>5.327</v>
      </c>
      <c r="Y187" s="115">
        <v>5.4249999999999998</v>
      </c>
      <c r="Z187" s="115">
        <v>5.5209999999999999</v>
      </c>
      <c r="AA187" s="115">
        <v>5.6159999999999997</v>
      </c>
      <c r="AB187" s="115">
        <v>5.7110000000000003</v>
      </c>
      <c r="AC187" s="115">
        <v>5.8049999999999997</v>
      </c>
      <c r="AD187" s="43"/>
      <c r="AE187" s="43"/>
      <c r="AF187" s="43"/>
      <c r="AG187" s="43"/>
      <c r="AH187" s="43"/>
      <c r="AI187" s="43"/>
    </row>
    <row r="188" spans="1:35" x14ac:dyDescent="0.25">
      <c r="A188" s="115" t="s">
        <v>589</v>
      </c>
      <c r="B188" s="115">
        <v>6.2160000000000002</v>
      </c>
      <c r="C188" s="115">
        <v>6.7880000000000003</v>
      </c>
      <c r="D188" s="115">
        <v>7.2770000000000001</v>
      </c>
      <c r="E188" s="115">
        <v>7.8559999999999999</v>
      </c>
      <c r="F188" s="115">
        <v>8.4550000000000001</v>
      </c>
      <c r="G188" s="115">
        <v>9.1340000000000003</v>
      </c>
      <c r="H188" s="115">
        <v>9.9090000000000007</v>
      </c>
      <c r="I188" s="115">
        <v>10.723000000000001</v>
      </c>
      <c r="J188" s="115">
        <v>11.516</v>
      </c>
      <c r="K188" s="115">
        <v>12.441000000000001</v>
      </c>
      <c r="L188" s="115">
        <v>13.41</v>
      </c>
      <c r="M188" s="115">
        <v>14.419</v>
      </c>
      <c r="N188" s="115">
        <v>15.46</v>
      </c>
      <c r="O188" s="115">
        <v>16.387</v>
      </c>
      <c r="P188" s="115">
        <v>17.309000000000001</v>
      </c>
      <c r="Q188" s="115">
        <v>18.260000000000002</v>
      </c>
      <c r="R188" s="115">
        <v>19.170000000000002</v>
      </c>
      <c r="S188" s="115">
        <v>20.071000000000002</v>
      </c>
      <c r="T188" s="115">
        <v>20.971</v>
      </c>
      <c r="U188" s="115">
        <v>21.876999999999999</v>
      </c>
      <c r="V188" s="115">
        <v>22.731000000000002</v>
      </c>
      <c r="W188" s="115">
        <v>23.273</v>
      </c>
      <c r="X188" s="115">
        <v>23.841999999999999</v>
      </c>
      <c r="Y188" s="115">
        <v>24.428000000000001</v>
      </c>
      <c r="Z188" s="115">
        <v>24.966999999999999</v>
      </c>
      <c r="AA188" s="115">
        <v>25.49</v>
      </c>
      <c r="AB188" s="115">
        <v>26</v>
      </c>
      <c r="AC188" s="115">
        <v>26.491</v>
      </c>
      <c r="AD188" s="43"/>
      <c r="AE188" s="43"/>
      <c r="AF188" s="43"/>
      <c r="AG188" s="43"/>
      <c r="AH188" s="43"/>
      <c r="AI188" s="43"/>
    </row>
    <row r="189" spans="1:35" x14ac:dyDescent="0.25">
      <c r="A189" s="115" t="s">
        <v>590</v>
      </c>
      <c r="B189" s="115">
        <v>35.497</v>
      </c>
      <c r="C189" s="115">
        <v>37.264000000000003</v>
      </c>
      <c r="D189" s="115">
        <v>38.406999999999996</v>
      </c>
      <c r="E189" s="115">
        <v>40.201999999999998</v>
      </c>
      <c r="F189" s="115">
        <v>41.752000000000002</v>
      </c>
      <c r="G189" s="115">
        <v>43.817</v>
      </c>
      <c r="H189" s="115">
        <v>46.183999999999997</v>
      </c>
      <c r="I189" s="115">
        <v>48.984999999999999</v>
      </c>
      <c r="J189" s="115">
        <v>51.322000000000003</v>
      </c>
      <c r="K189" s="115">
        <v>54.005000000000003</v>
      </c>
      <c r="L189" s="115">
        <v>56.433999999999997</v>
      </c>
      <c r="M189" s="115">
        <v>58.622</v>
      </c>
      <c r="N189" s="115">
        <v>60.515999999999998</v>
      </c>
      <c r="O189" s="115">
        <v>61.831000000000003</v>
      </c>
      <c r="P189" s="115">
        <v>63.343000000000004</v>
      </c>
      <c r="Q189" s="115">
        <v>64.441999999999993</v>
      </c>
      <c r="R189" s="115">
        <v>65.147999999999996</v>
      </c>
      <c r="S189" s="115">
        <v>64.603999999999999</v>
      </c>
      <c r="T189" s="115">
        <v>66.745000000000005</v>
      </c>
      <c r="U189" s="115">
        <v>67.010999999999996</v>
      </c>
      <c r="V189" s="115">
        <v>67.063999999999993</v>
      </c>
      <c r="W189" s="115">
        <v>67.064999999999998</v>
      </c>
      <c r="X189" s="115">
        <v>66.998999999999995</v>
      </c>
      <c r="Y189" s="115">
        <v>66.864999999999995</v>
      </c>
      <c r="Z189" s="115">
        <v>66.730999999999995</v>
      </c>
      <c r="AA189" s="115">
        <v>66.55</v>
      </c>
      <c r="AB189" s="115">
        <v>66.317999999999998</v>
      </c>
      <c r="AC189" s="115">
        <v>66.040000000000006</v>
      </c>
      <c r="AD189" s="43"/>
      <c r="AE189" s="43"/>
      <c r="AF189" s="43"/>
      <c r="AG189" s="43"/>
      <c r="AH189" s="43"/>
      <c r="AI189" s="43"/>
    </row>
    <row r="190" spans="1:35" x14ac:dyDescent="0.25">
      <c r="A190" s="115" t="s">
        <v>591</v>
      </c>
      <c r="B190" s="115">
        <v>102.74299999999999</v>
      </c>
      <c r="C190" s="115">
        <v>101.97799999999999</v>
      </c>
      <c r="D190" s="115">
        <v>102.1</v>
      </c>
      <c r="E190" s="115">
        <v>101.233</v>
      </c>
      <c r="F190" s="115">
        <v>99.17</v>
      </c>
      <c r="G190" s="115">
        <v>97.6</v>
      </c>
      <c r="H190" s="115">
        <v>95.644999999999996</v>
      </c>
      <c r="I190" s="115">
        <v>93.644999999999996</v>
      </c>
      <c r="J190" s="115">
        <v>92.438999999999993</v>
      </c>
      <c r="K190" s="115">
        <v>90.582999999999998</v>
      </c>
      <c r="L190" s="115">
        <v>88.275999999999996</v>
      </c>
      <c r="M190" s="115">
        <v>85.372</v>
      </c>
      <c r="N190" s="115">
        <v>82.108000000000004</v>
      </c>
      <c r="O190" s="115">
        <v>79.171999999999997</v>
      </c>
      <c r="P190" s="115">
        <v>75.153999999999996</v>
      </c>
      <c r="Q190" s="115">
        <v>71.31</v>
      </c>
      <c r="R190" s="115">
        <v>67.998999999999995</v>
      </c>
      <c r="S190" s="115">
        <v>60.628</v>
      </c>
      <c r="T190" s="115">
        <v>60.033000000000001</v>
      </c>
      <c r="U190" s="115">
        <v>56.633000000000003</v>
      </c>
      <c r="V190" s="115">
        <v>53.725999999999999</v>
      </c>
      <c r="W190" s="115">
        <v>51.722000000000001</v>
      </c>
      <c r="X190" s="115">
        <v>49.85</v>
      </c>
      <c r="Y190" s="115">
        <v>47.856999999999999</v>
      </c>
      <c r="Z190" s="115">
        <v>46.100999999999999</v>
      </c>
      <c r="AA190" s="115">
        <v>44.378999999999998</v>
      </c>
      <c r="AB190" s="115">
        <v>42.686999999999998</v>
      </c>
      <c r="AC190" s="115">
        <v>41.033000000000001</v>
      </c>
      <c r="AD190" s="43"/>
      <c r="AE190" s="43"/>
      <c r="AF190" s="43"/>
      <c r="AG190" s="43"/>
      <c r="AH190" s="43"/>
      <c r="AI190" s="43"/>
    </row>
    <row r="191" spans="1:35" x14ac:dyDescent="0.25">
      <c r="A191" s="115" t="s">
        <v>5</v>
      </c>
      <c r="B191" s="115">
        <v>43.912999999999997</v>
      </c>
      <c r="C191" s="115">
        <v>40.822000000000003</v>
      </c>
      <c r="D191" s="115">
        <v>38.813000000000002</v>
      </c>
      <c r="E191" s="115">
        <v>36.838999999999999</v>
      </c>
      <c r="F191" s="115">
        <v>34.963000000000001</v>
      </c>
      <c r="G191" s="115">
        <v>33.127000000000002</v>
      </c>
      <c r="H191" s="115">
        <v>31.306999999999999</v>
      </c>
      <c r="I191" s="115">
        <v>29.36</v>
      </c>
      <c r="J191" s="115">
        <v>27.512</v>
      </c>
      <c r="K191" s="115">
        <v>25.66</v>
      </c>
      <c r="L191" s="115">
        <v>23.901</v>
      </c>
      <c r="M191" s="115">
        <v>22.231000000000002</v>
      </c>
      <c r="N191" s="115">
        <v>20.646000000000001</v>
      </c>
      <c r="O191" s="115">
        <v>19.052</v>
      </c>
      <c r="P191" s="115">
        <v>17.454000000000001</v>
      </c>
      <c r="Q191" s="115">
        <v>15.96</v>
      </c>
      <c r="R191" s="115">
        <v>14.523</v>
      </c>
      <c r="S191" s="115">
        <v>13.138</v>
      </c>
      <c r="T191" s="115">
        <v>11.787000000000001</v>
      </c>
      <c r="U191" s="115">
        <v>10.502000000000001</v>
      </c>
      <c r="V191" s="115">
        <v>9.2759999999999998</v>
      </c>
      <c r="W191" s="115">
        <v>8.8770000000000007</v>
      </c>
      <c r="X191" s="115">
        <v>8.3450000000000006</v>
      </c>
      <c r="Y191" s="115">
        <v>7.9160000000000004</v>
      </c>
      <c r="Z191" s="115">
        <v>7.4640000000000004</v>
      </c>
      <c r="AA191" s="115">
        <v>7.077</v>
      </c>
      <c r="AB191" s="115">
        <v>6.7590000000000003</v>
      </c>
      <c r="AC191" s="115">
        <v>6.4880000000000004</v>
      </c>
      <c r="AD191" s="43"/>
      <c r="AE191" s="43"/>
      <c r="AF191" s="43"/>
      <c r="AG191" s="43"/>
      <c r="AH191" s="43"/>
      <c r="AI191" s="43"/>
    </row>
    <row r="192" spans="1:35" x14ac:dyDescent="0.25">
      <c r="A192" s="115" t="s">
        <v>586</v>
      </c>
      <c r="B192" s="115">
        <v>11.458</v>
      </c>
      <c r="C192" s="115">
        <v>12.433</v>
      </c>
      <c r="D192" s="115">
        <v>12.516999999999999</v>
      </c>
      <c r="E192" s="115">
        <v>14.035</v>
      </c>
      <c r="F192" s="115">
        <v>15.012</v>
      </c>
      <c r="G192" s="115">
        <v>17.038</v>
      </c>
      <c r="H192" s="115">
        <v>20.233000000000001</v>
      </c>
      <c r="I192" s="115">
        <v>24.457999999999998</v>
      </c>
      <c r="J192" s="115">
        <v>26.763999999999999</v>
      </c>
      <c r="K192" s="115">
        <v>30.184999999999999</v>
      </c>
      <c r="L192" s="115">
        <v>33.073999999999998</v>
      </c>
      <c r="M192" s="115">
        <v>35.36</v>
      </c>
      <c r="N192" s="115">
        <v>37.128</v>
      </c>
      <c r="O192" s="115">
        <v>38.414000000000001</v>
      </c>
      <c r="P192" s="115">
        <v>38.957999999999998</v>
      </c>
      <c r="Q192" s="115">
        <v>39.179000000000002</v>
      </c>
      <c r="R192" s="115">
        <v>39.085000000000001</v>
      </c>
      <c r="S192" s="115">
        <v>38.534999999999997</v>
      </c>
      <c r="T192" s="115">
        <v>38.152000000000001</v>
      </c>
      <c r="U192" s="115">
        <v>37.768000000000001</v>
      </c>
      <c r="V192" s="115">
        <v>37.421999999999997</v>
      </c>
      <c r="W192" s="115">
        <v>37.067999999999998</v>
      </c>
      <c r="X192" s="115">
        <v>36.723999999999997</v>
      </c>
      <c r="Y192" s="115">
        <v>36.39</v>
      </c>
      <c r="Z192" s="115">
        <v>36.061999999999998</v>
      </c>
      <c r="AA192" s="115">
        <v>35.741999999999997</v>
      </c>
      <c r="AB192" s="115">
        <v>35.43</v>
      </c>
      <c r="AC192" s="115">
        <v>35.088999999999999</v>
      </c>
      <c r="AD192" s="43"/>
      <c r="AE192" s="43"/>
      <c r="AF192" s="43"/>
      <c r="AG192" s="43"/>
      <c r="AH192" s="43"/>
      <c r="AI192" s="43"/>
    </row>
    <row r="193" spans="1:35" x14ac:dyDescent="0.25">
      <c r="A193" s="115" t="s">
        <v>592</v>
      </c>
      <c r="B193" s="115">
        <v>52.265000000000001</v>
      </c>
      <c r="C193" s="115">
        <v>50.145000000000003</v>
      </c>
      <c r="D193" s="115">
        <v>48.183999999999997</v>
      </c>
      <c r="E193" s="115">
        <v>45.805999999999997</v>
      </c>
      <c r="F193" s="115">
        <v>42.732999999999997</v>
      </c>
      <c r="G193" s="115">
        <v>40.216000000000001</v>
      </c>
      <c r="H193" s="115">
        <v>37.776000000000003</v>
      </c>
      <c r="I193" s="115">
        <v>35.450000000000003</v>
      </c>
      <c r="J193" s="115">
        <v>31.056000000000001</v>
      </c>
      <c r="K193" s="115">
        <v>27.212</v>
      </c>
      <c r="L193" s="115">
        <v>23.748000000000001</v>
      </c>
      <c r="M193" s="115">
        <v>20.768000000000001</v>
      </c>
      <c r="N193" s="115">
        <v>18.106000000000002</v>
      </c>
      <c r="O193" s="115">
        <v>16.067</v>
      </c>
      <c r="P193" s="115">
        <v>14.196</v>
      </c>
      <c r="Q193" s="115">
        <v>12.504</v>
      </c>
      <c r="R193" s="115">
        <v>11.023999999999999</v>
      </c>
      <c r="S193" s="115">
        <v>8.8019999999999996</v>
      </c>
      <c r="T193" s="115">
        <v>7.8739999999999997</v>
      </c>
      <c r="U193" s="115">
        <v>6.766</v>
      </c>
      <c r="V193" s="115">
        <v>5.7770000000000001</v>
      </c>
      <c r="W193" s="115">
        <v>4.9630000000000001</v>
      </c>
      <c r="X193" s="115">
        <v>4.2149999999999999</v>
      </c>
      <c r="Y193" s="115">
        <v>3.5249999999999999</v>
      </c>
      <c r="Z193" s="115">
        <v>2.895</v>
      </c>
      <c r="AA193" s="115">
        <v>2.3170000000000002</v>
      </c>
      <c r="AB193" s="115">
        <v>1.784</v>
      </c>
      <c r="AC193" s="115">
        <v>1.2450000000000001</v>
      </c>
      <c r="AD193" s="43"/>
      <c r="AE193" s="43"/>
      <c r="AF193" s="43"/>
      <c r="AG193" s="43"/>
      <c r="AH193" s="43"/>
      <c r="AI193" s="43"/>
    </row>
    <row r="194" spans="1:35" x14ac:dyDescent="0.25">
      <c r="A194" s="115" t="s">
        <v>580</v>
      </c>
      <c r="B194" s="115">
        <v>50.896999999999998</v>
      </c>
      <c r="C194" s="115">
        <v>49.848999999999997</v>
      </c>
      <c r="D194" s="115">
        <v>49.664000000000001</v>
      </c>
      <c r="E194" s="115">
        <v>49.473999999999997</v>
      </c>
      <c r="F194" s="115">
        <v>49.552</v>
      </c>
      <c r="G194" s="115">
        <v>49.588999999999999</v>
      </c>
      <c r="H194" s="115">
        <v>49.554000000000002</v>
      </c>
      <c r="I194" s="115">
        <v>49.232999999999997</v>
      </c>
      <c r="J194" s="115">
        <v>49.176000000000002</v>
      </c>
      <c r="K194" s="115">
        <v>49.021999999999998</v>
      </c>
      <c r="L194" s="115">
        <v>49.005000000000003</v>
      </c>
      <c r="M194" s="115">
        <v>49.125999999999998</v>
      </c>
      <c r="N194" s="115">
        <v>49.378</v>
      </c>
      <c r="O194" s="115">
        <v>49.128</v>
      </c>
      <c r="P194" s="115">
        <v>48.890999999999998</v>
      </c>
      <c r="Q194" s="115">
        <v>48.790999999999997</v>
      </c>
      <c r="R194" s="115">
        <v>48.567999999999998</v>
      </c>
      <c r="S194" s="115">
        <v>48.451000000000001</v>
      </c>
      <c r="T194" s="115">
        <v>48.145000000000003</v>
      </c>
      <c r="U194" s="115">
        <v>47.868000000000002</v>
      </c>
      <c r="V194" s="115">
        <v>47.524999999999999</v>
      </c>
      <c r="W194" s="115">
        <v>47.539000000000001</v>
      </c>
      <c r="X194" s="115">
        <v>47.38</v>
      </c>
      <c r="Y194" s="115">
        <v>47.398000000000003</v>
      </c>
      <c r="Z194" s="115">
        <v>47.298999999999999</v>
      </c>
      <c r="AA194" s="115">
        <v>47.256999999999998</v>
      </c>
      <c r="AB194" s="115">
        <v>47.281999999999996</v>
      </c>
      <c r="AC194" s="115">
        <v>47.335999999999999</v>
      </c>
      <c r="AD194" s="43"/>
      <c r="AE194" s="43"/>
      <c r="AF194" s="43"/>
      <c r="AG194" s="43"/>
      <c r="AH194" s="43"/>
      <c r="AI194" s="43"/>
    </row>
    <row r="195" spans="1:35" x14ac:dyDescent="0.25">
      <c r="A195" s="115" t="s">
        <v>645</v>
      </c>
      <c r="B195" s="115"/>
      <c r="C195" s="115">
        <v>1.2929999999999999</v>
      </c>
      <c r="D195" s="115">
        <v>0.49299999999999999</v>
      </c>
      <c r="E195" s="115">
        <v>0.497</v>
      </c>
      <c r="F195" s="115">
        <v>0.22700000000000001</v>
      </c>
      <c r="G195" s="115">
        <v>0.26700000000000002</v>
      </c>
      <c r="H195" s="115">
        <v>0.33700000000000002</v>
      </c>
      <c r="I195" s="115">
        <v>0.51900000000000002</v>
      </c>
      <c r="J195" s="115">
        <v>0.254</v>
      </c>
      <c r="K195" s="115">
        <v>0.34799999999999998</v>
      </c>
      <c r="L195" s="115">
        <v>0.20699999999999999</v>
      </c>
      <c r="M195" s="115">
        <v>6.5000000000000002E-2</v>
      </c>
      <c r="N195" s="115">
        <v>-6.9000000000000006E-2</v>
      </c>
      <c r="O195" s="115">
        <v>0.42899999999999999</v>
      </c>
      <c r="P195" s="115">
        <v>0.41199999999999998</v>
      </c>
      <c r="Q195" s="115">
        <v>0.27700000000000002</v>
      </c>
      <c r="R195" s="115">
        <v>0.4</v>
      </c>
      <c r="S195" s="115">
        <v>0.156</v>
      </c>
      <c r="T195" s="115">
        <v>0.34100000000000003</v>
      </c>
      <c r="U195" s="115">
        <v>0.315</v>
      </c>
      <c r="V195" s="115">
        <v>0.38400000000000001</v>
      </c>
      <c r="W195" s="115">
        <v>3.4000000000000002E-2</v>
      </c>
      <c r="X195" s="115">
        <v>0.20399999999999999</v>
      </c>
      <c r="Y195" s="115">
        <v>2.9000000000000001E-2</v>
      </c>
      <c r="Z195" s="115">
        <v>0.14599999999999999</v>
      </c>
      <c r="AA195" s="115">
        <v>8.7999999999999995E-2</v>
      </c>
      <c r="AB195" s="115">
        <v>2.1999999999999999E-2</v>
      </c>
      <c r="AC195" s="115">
        <v>-3.2000000000000001E-2</v>
      </c>
      <c r="AD195" s="43"/>
      <c r="AE195" s="43"/>
      <c r="AF195" s="43"/>
      <c r="AG195" s="43"/>
      <c r="AH195" s="43"/>
      <c r="AI195" s="43"/>
    </row>
    <row r="196" spans="1:35" x14ac:dyDescent="0.25">
      <c r="A196" s="115" t="s">
        <v>331</v>
      </c>
      <c r="B196" s="115">
        <v>1.397</v>
      </c>
      <c r="C196" s="115">
        <v>2.3759999999999999</v>
      </c>
      <c r="D196" s="115">
        <v>3.7269999999999999</v>
      </c>
      <c r="E196" s="115">
        <v>5.024</v>
      </c>
      <c r="F196" s="115">
        <v>6.4370000000000003</v>
      </c>
      <c r="G196" s="115">
        <v>7.7869999999999999</v>
      </c>
      <c r="H196" s="115">
        <v>9.07</v>
      </c>
      <c r="I196" s="115">
        <v>10.276</v>
      </c>
      <c r="J196" s="115">
        <v>11.593999999999999</v>
      </c>
      <c r="K196" s="115">
        <v>12.840999999999999</v>
      </c>
      <c r="L196" s="115">
        <v>14.115</v>
      </c>
      <c r="M196" s="115">
        <v>15.419</v>
      </c>
      <c r="N196" s="115">
        <v>16.748999999999999</v>
      </c>
      <c r="O196" s="115">
        <v>17.745999999999999</v>
      </c>
      <c r="P196" s="115">
        <v>18.757000000000001</v>
      </c>
      <c r="Q196" s="115">
        <v>19.788</v>
      </c>
      <c r="R196" s="115">
        <v>20.696000000000002</v>
      </c>
      <c r="S196" s="115">
        <v>21.667000000000002</v>
      </c>
      <c r="T196" s="115">
        <v>22.484000000000002</v>
      </c>
      <c r="U196" s="115">
        <v>23.274999999999999</v>
      </c>
      <c r="V196" s="115">
        <v>23.978999999999999</v>
      </c>
      <c r="W196" s="115">
        <v>24.597000000000001</v>
      </c>
      <c r="X196" s="115">
        <v>24.884</v>
      </c>
      <c r="Y196" s="115">
        <v>25.225000000000001</v>
      </c>
      <c r="Z196" s="115">
        <v>25.507000000000001</v>
      </c>
      <c r="AA196" s="115">
        <v>25.786000000000001</v>
      </c>
      <c r="AB196" s="115">
        <v>26.065999999999999</v>
      </c>
      <c r="AC196" s="115">
        <v>26.337</v>
      </c>
      <c r="AD196" s="43"/>
      <c r="AE196" s="43"/>
      <c r="AF196" s="43"/>
      <c r="AG196" s="43"/>
      <c r="AH196" s="43"/>
      <c r="AI196" s="43"/>
    </row>
    <row r="197" spans="1:35" x14ac:dyDescent="0.25">
      <c r="A197" s="115" t="s">
        <v>317</v>
      </c>
      <c r="B197" s="115">
        <v>5.5869999999999997</v>
      </c>
      <c r="C197" s="115">
        <v>6.6509999999999998</v>
      </c>
      <c r="D197" s="115">
        <v>7.1239999999999997</v>
      </c>
      <c r="E197" s="115">
        <v>7.6109999999999998</v>
      </c>
      <c r="F197" s="115">
        <v>8.1519999999999992</v>
      </c>
      <c r="G197" s="115">
        <v>8.6739999999999995</v>
      </c>
      <c r="H197" s="115">
        <v>9.1760000000000002</v>
      </c>
      <c r="I197" s="115">
        <v>9.5980000000000008</v>
      </c>
      <c r="J197" s="115">
        <v>10.07</v>
      </c>
      <c r="K197" s="115">
        <v>10.521000000000001</v>
      </c>
      <c r="L197" s="115">
        <v>10.989000000000001</v>
      </c>
      <c r="M197" s="115">
        <v>11.477</v>
      </c>
      <c r="N197" s="115">
        <v>11.981999999999999</v>
      </c>
      <c r="O197" s="115">
        <v>12.33</v>
      </c>
      <c r="P197" s="115">
        <v>12.68</v>
      </c>
      <c r="Q197" s="115">
        <v>13.042999999999999</v>
      </c>
      <c r="R197" s="115">
        <v>13.349</v>
      </c>
      <c r="S197" s="115">
        <v>13.646000000000001</v>
      </c>
      <c r="T197" s="115">
        <v>13.874000000000001</v>
      </c>
      <c r="U197" s="115">
        <v>14.090999999999999</v>
      </c>
      <c r="V197" s="115">
        <v>14.271000000000001</v>
      </c>
      <c r="W197" s="115">
        <v>14.065</v>
      </c>
      <c r="X197" s="115">
        <v>14.151</v>
      </c>
      <c r="Y197" s="115">
        <v>14.257999999999999</v>
      </c>
      <c r="Z197" s="115">
        <v>14.327999999999999</v>
      </c>
      <c r="AA197" s="115">
        <v>14.394</v>
      </c>
      <c r="AB197" s="115">
        <v>14.457000000000001</v>
      </c>
      <c r="AC197" s="115">
        <v>14.512</v>
      </c>
      <c r="AD197" s="43"/>
      <c r="AE197" s="43"/>
      <c r="AF197" s="43"/>
      <c r="AG197" s="43"/>
      <c r="AH197" s="43"/>
      <c r="AI197" s="43"/>
    </row>
    <row r="198" spans="1:35" x14ac:dyDescent="0.25">
      <c r="A198" s="115" t="s">
        <v>581</v>
      </c>
      <c r="B198" s="115">
        <v>43.912999999999997</v>
      </c>
      <c r="C198" s="115">
        <v>40.822000000000003</v>
      </c>
      <c r="D198" s="115">
        <v>38.813000000000002</v>
      </c>
      <c r="E198" s="115">
        <v>36.838999999999999</v>
      </c>
      <c r="F198" s="115">
        <v>34.963000000000001</v>
      </c>
      <c r="G198" s="115">
        <v>33.127000000000002</v>
      </c>
      <c r="H198" s="115">
        <v>31.306999999999999</v>
      </c>
      <c r="I198" s="115">
        <v>29.36</v>
      </c>
      <c r="J198" s="115">
        <v>27.512</v>
      </c>
      <c r="K198" s="115">
        <v>25.66</v>
      </c>
      <c r="L198" s="115">
        <v>23.901</v>
      </c>
      <c r="M198" s="115">
        <v>22.231000000000002</v>
      </c>
      <c r="N198" s="115">
        <v>20.646000000000001</v>
      </c>
      <c r="O198" s="115">
        <v>19.052</v>
      </c>
      <c r="P198" s="115">
        <v>17.454000000000001</v>
      </c>
      <c r="Q198" s="115">
        <v>15.96</v>
      </c>
      <c r="R198" s="115">
        <v>14.523</v>
      </c>
      <c r="S198" s="115">
        <v>13.138</v>
      </c>
      <c r="T198" s="115">
        <v>11.787000000000001</v>
      </c>
      <c r="U198" s="115">
        <v>10.502000000000001</v>
      </c>
      <c r="V198" s="115">
        <v>9.2759999999999998</v>
      </c>
      <c r="W198" s="115">
        <v>8.8770000000000007</v>
      </c>
      <c r="X198" s="115">
        <v>8.3450000000000006</v>
      </c>
      <c r="Y198" s="115">
        <v>7.9160000000000004</v>
      </c>
      <c r="Z198" s="115">
        <v>7.4640000000000004</v>
      </c>
      <c r="AA198" s="115">
        <v>7.077</v>
      </c>
      <c r="AB198" s="115">
        <v>6.7590000000000003</v>
      </c>
      <c r="AC198" s="115">
        <v>6.4880000000000004</v>
      </c>
      <c r="AD198" s="43"/>
      <c r="AE198" s="43"/>
      <c r="AF198" s="43"/>
      <c r="AG198" s="43"/>
      <c r="AH198" s="43"/>
      <c r="AI198" s="43"/>
    </row>
    <row r="199" spans="1:35" x14ac:dyDescent="0.25">
      <c r="A199" s="115" t="s">
        <v>576</v>
      </c>
      <c r="B199" s="115">
        <v>100.41500000000001</v>
      </c>
      <c r="C199" s="115">
        <v>97.798000000000002</v>
      </c>
      <c r="D199" s="115">
        <v>96.213999999999999</v>
      </c>
      <c r="E199" s="115">
        <v>94</v>
      </c>
      <c r="F199" s="115">
        <v>90.710999999999999</v>
      </c>
      <c r="G199" s="115">
        <v>88.474999999999994</v>
      </c>
      <c r="H199" s="115">
        <v>86.47</v>
      </c>
      <c r="I199" s="115">
        <v>84.507000000000005</v>
      </c>
      <c r="J199" s="115">
        <v>82.028000000000006</v>
      </c>
      <c r="K199" s="115">
        <v>79.787000000000006</v>
      </c>
      <c r="L199" s="115">
        <v>77.617000000000004</v>
      </c>
      <c r="M199" s="115">
        <v>75.489000000000004</v>
      </c>
      <c r="N199" s="115">
        <v>73.387</v>
      </c>
      <c r="O199" s="115">
        <v>71.709000000000003</v>
      </c>
      <c r="P199" s="115">
        <v>69.826999999999998</v>
      </c>
      <c r="Q199" s="115">
        <v>68.004000000000005</v>
      </c>
      <c r="R199" s="115">
        <v>66.385999999999996</v>
      </c>
      <c r="S199" s="115">
        <v>62.192</v>
      </c>
      <c r="T199" s="115">
        <v>62.649000000000001</v>
      </c>
      <c r="U199" s="115">
        <v>61.176000000000002</v>
      </c>
      <c r="V199" s="115">
        <v>59.866</v>
      </c>
      <c r="W199" s="115">
        <v>58.88</v>
      </c>
      <c r="X199" s="115">
        <v>57.972000000000001</v>
      </c>
      <c r="Y199" s="115">
        <v>57.029000000000003</v>
      </c>
      <c r="Z199" s="115">
        <v>56.194000000000003</v>
      </c>
      <c r="AA199" s="115">
        <v>55.377000000000002</v>
      </c>
      <c r="AB199" s="115">
        <v>54.573</v>
      </c>
      <c r="AC199" s="115">
        <v>53.764000000000003</v>
      </c>
      <c r="AD199" s="43"/>
      <c r="AE199" s="43"/>
      <c r="AF199" s="43"/>
      <c r="AG199" s="43"/>
      <c r="AH199" s="43"/>
      <c r="AI199" s="43"/>
    </row>
    <row r="200" spans="1:35" x14ac:dyDescent="0.25">
      <c r="A200" s="115" t="s">
        <v>574</v>
      </c>
      <c r="B200" s="115">
        <v>260.45800000000003</v>
      </c>
      <c r="C200" s="115">
        <v>253.41</v>
      </c>
      <c r="D200" s="115">
        <v>249.04900000000001</v>
      </c>
      <c r="E200" s="115">
        <v>243.066</v>
      </c>
      <c r="F200" s="115">
        <v>234.315</v>
      </c>
      <c r="G200" s="115">
        <v>228.29499999999999</v>
      </c>
      <c r="H200" s="115">
        <v>222.88399999999999</v>
      </c>
      <c r="I200" s="115">
        <v>217.59100000000001</v>
      </c>
      <c r="J200" s="115">
        <v>210.97800000000001</v>
      </c>
      <c r="K200" s="115">
        <v>204.99</v>
      </c>
      <c r="L200" s="115">
        <v>199.19499999999999</v>
      </c>
      <c r="M200" s="115">
        <v>193.51599999999999</v>
      </c>
      <c r="N200" s="115">
        <v>187.91800000000001</v>
      </c>
      <c r="O200" s="115">
        <v>183.41300000000001</v>
      </c>
      <c r="P200" s="115">
        <v>178.39400000000001</v>
      </c>
      <c r="Q200" s="115">
        <v>173.53800000000001</v>
      </c>
      <c r="R200" s="115">
        <v>169.21</v>
      </c>
      <c r="S200" s="115">
        <v>158.24199999999999</v>
      </c>
      <c r="T200" s="115">
        <v>159.124</v>
      </c>
      <c r="U200" s="115">
        <v>155.10599999999999</v>
      </c>
      <c r="V200" s="115">
        <v>151.51400000000001</v>
      </c>
      <c r="W200" s="115">
        <v>148.75</v>
      </c>
      <c r="X200" s="115">
        <v>146.19300000000001</v>
      </c>
      <c r="Y200" s="115">
        <v>143.55600000000001</v>
      </c>
      <c r="Z200" s="115">
        <v>141.197</v>
      </c>
      <c r="AA200" s="115">
        <v>138.88900000000001</v>
      </c>
      <c r="AB200" s="115">
        <v>136.619</v>
      </c>
      <c r="AC200" s="115">
        <v>134.31200000000001</v>
      </c>
      <c r="AD200" s="43"/>
      <c r="AE200" s="43"/>
      <c r="AF200" s="43"/>
      <c r="AG200" s="43"/>
      <c r="AH200" s="43"/>
      <c r="AI200" s="43"/>
    </row>
    <row r="201" spans="1:35" x14ac:dyDescent="0.25">
      <c r="A201" s="115" t="s">
        <v>587</v>
      </c>
      <c r="B201" s="115">
        <v>260.45800000000003</v>
      </c>
      <c r="C201" s="115">
        <v>253.41</v>
      </c>
      <c r="D201" s="115">
        <v>249.04900000000001</v>
      </c>
      <c r="E201" s="115">
        <v>243.066</v>
      </c>
      <c r="F201" s="115">
        <v>234.315</v>
      </c>
      <c r="G201" s="115">
        <v>228.29499999999999</v>
      </c>
      <c r="H201" s="115">
        <v>222.88399999999999</v>
      </c>
      <c r="I201" s="115">
        <v>217.59100000000001</v>
      </c>
      <c r="J201" s="115">
        <v>210.97800000000001</v>
      </c>
      <c r="K201" s="115">
        <v>204.99</v>
      </c>
      <c r="L201" s="115">
        <v>199.19499999999999</v>
      </c>
      <c r="M201" s="115">
        <v>193.51599999999999</v>
      </c>
      <c r="N201" s="115">
        <v>187.91800000000001</v>
      </c>
      <c r="O201" s="115">
        <v>183.41300000000001</v>
      </c>
      <c r="P201" s="115">
        <v>178.39400000000001</v>
      </c>
      <c r="Q201" s="115">
        <v>173.53800000000001</v>
      </c>
      <c r="R201" s="115">
        <v>169.21</v>
      </c>
      <c r="S201" s="115">
        <v>158.24199999999999</v>
      </c>
      <c r="T201" s="115">
        <v>159.124</v>
      </c>
      <c r="U201" s="115">
        <v>155.10599999999999</v>
      </c>
      <c r="V201" s="115">
        <v>151.51400000000001</v>
      </c>
      <c r="W201" s="115">
        <v>148.75</v>
      </c>
      <c r="X201" s="115">
        <v>146.19300000000001</v>
      </c>
      <c r="Y201" s="115">
        <v>143.55600000000001</v>
      </c>
      <c r="Z201" s="115">
        <v>141.197</v>
      </c>
      <c r="AA201" s="115">
        <v>138.88900000000001</v>
      </c>
      <c r="AB201" s="115">
        <v>136.619</v>
      </c>
      <c r="AC201" s="115">
        <v>134.31200000000001</v>
      </c>
      <c r="AD201" s="43"/>
      <c r="AE201" s="43"/>
      <c r="AF201" s="43"/>
      <c r="AG201" s="43"/>
      <c r="AH201" s="43"/>
      <c r="AI201" s="43"/>
    </row>
    <row r="202" spans="1:35" x14ac:dyDescent="0.25">
      <c r="A202" s="115" t="s">
        <v>593</v>
      </c>
      <c r="B202" s="115">
        <v>38.957000000000001</v>
      </c>
      <c r="C202" s="115">
        <v>36.622</v>
      </c>
      <c r="D202" s="115">
        <v>35.081000000000003</v>
      </c>
      <c r="E202" s="115">
        <v>32.423999999999999</v>
      </c>
      <c r="F202" s="115">
        <v>29.594000000000001</v>
      </c>
      <c r="G202" s="115">
        <v>27.303000000000001</v>
      </c>
      <c r="H202" s="115">
        <v>25.241</v>
      </c>
      <c r="I202" s="115">
        <v>22.428000000000001</v>
      </c>
      <c r="J202" s="115">
        <v>19.838000000000001</v>
      </c>
      <c r="K202" s="115">
        <v>17.38</v>
      </c>
      <c r="L202" s="115">
        <v>15.15</v>
      </c>
      <c r="M202" s="115">
        <v>13.138999999999999</v>
      </c>
      <c r="N202" s="115">
        <v>11.333</v>
      </c>
      <c r="O202" s="115">
        <v>9.8360000000000003</v>
      </c>
      <c r="P202" s="115">
        <v>8.5079999999999991</v>
      </c>
      <c r="Q202" s="115">
        <v>7.3440000000000003</v>
      </c>
      <c r="R202" s="115">
        <v>6.3689999999999998</v>
      </c>
      <c r="S202" s="115">
        <v>4.7539999999999996</v>
      </c>
      <c r="T202" s="115">
        <v>4.2089999999999996</v>
      </c>
      <c r="U202" s="115">
        <v>3.6</v>
      </c>
      <c r="V202" s="115">
        <v>3.0579999999999998</v>
      </c>
      <c r="W202" s="115">
        <v>2.6549999999999998</v>
      </c>
      <c r="X202" s="115">
        <v>2.2719999999999998</v>
      </c>
      <c r="Y202" s="115">
        <v>1.915</v>
      </c>
      <c r="Z202" s="115">
        <v>1.585</v>
      </c>
      <c r="AA202" s="115">
        <v>1.278</v>
      </c>
      <c r="AB202" s="115">
        <v>0.99299999999999999</v>
      </c>
      <c r="AC202" s="115">
        <v>0.7</v>
      </c>
      <c r="AD202" s="43"/>
      <c r="AE202" s="43"/>
      <c r="AF202" s="43"/>
      <c r="AG202" s="43"/>
      <c r="AH202" s="43"/>
      <c r="AI202" s="43"/>
    </row>
    <row r="203" spans="1:35" x14ac:dyDescent="0.25">
      <c r="A203" s="115" t="s">
        <v>594</v>
      </c>
      <c r="B203" s="115">
        <v>24.164000000000001</v>
      </c>
      <c r="C203" s="115">
        <v>20.234999999999999</v>
      </c>
      <c r="D203" s="115">
        <v>17.783999999999999</v>
      </c>
      <c r="E203" s="115">
        <v>15.488</v>
      </c>
      <c r="F203" s="115">
        <v>12.709</v>
      </c>
      <c r="G203" s="115">
        <v>10.478</v>
      </c>
      <c r="H203" s="115">
        <v>8.5389999999999997</v>
      </c>
      <c r="I203" s="115">
        <v>6.8579999999999997</v>
      </c>
      <c r="J203" s="115">
        <v>5.3890000000000002</v>
      </c>
      <c r="K203" s="115">
        <v>4.0350000000000001</v>
      </c>
      <c r="L203" s="115">
        <v>2.9220000000000002</v>
      </c>
      <c r="M203" s="115">
        <v>2.0150000000000001</v>
      </c>
      <c r="N203" s="115">
        <v>1.2829999999999999</v>
      </c>
      <c r="O203" s="115">
        <v>1.081</v>
      </c>
      <c r="P203" s="115">
        <v>0.90900000000000003</v>
      </c>
      <c r="Q203" s="115">
        <v>0.76400000000000001</v>
      </c>
      <c r="R203" s="115">
        <v>0.64300000000000002</v>
      </c>
      <c r="S203" s="115">
        <v>0.51100000000000001</v>
      </c>
      <c r="T203" s="115">
        <v>0.42899999999999999</v>
      </c>
      <c r="U203" s="115">
        <v>0.35099999999999998</v>
      </c>
      <c r="V203" s="115">
        <v>0.28399999999999997</v>
      </c>
      <c r="W203" s="115">
        <v>0.23699999999999999</v>
      </c>
      <c r="X203" s="115">
        <v>0.19500000000000001</v>
      </c>
      <c r="Y203" s="115">
        <v>0.158</v>
      </c>
      <c r="Z203" s="115">
        <v>0.125</v>
      </c>
      <c r="AA203" s="115">
        <v>9.7000000000000003E-2</v>
      </c>
      <c r="AB203" s="115">
        <v>7.1999999999999995E-2</v>
      </c>
      <c r="AC203" s="115">
        <v>4.9000000000000002E-2</v>
      </c>
      <c r="AD203" s="43"/>
      <c r="AE203" s="43"/>
      <c r="AF203" s="43"/>
      <c r="AG203" s="43"/>
      <c r="AH203" s="43"/>
      <c r="AI203" s="43"/>
    </row>
    <row r="204" spans="1:35" x14ac:dyDescent="0.25">
      <c r="A204" s="115" t="s">
        <v>4</v>
      </c>
      <c r="B204" s="115">
        <v>6.984</v>
      </c>
      <c r="C204" s="115">
        <v>9.0269999999999992</v>
      </c>
      <c r="D204" s="115">
        <v>10.851000000000001</v>
      </c>
      <c r="E204" s="115">
        <v>12.635</v>
      </c>
      <c r="F204" s="115">
        <v>14.589</v>
      </c>
      <c r="G204" s="115">
        <v>16.460999999999999</v>
      </c>
      <c r="H204" s="115">
        <v>18.247</v>
      </c>
      <c r="I204" s="115">
        <v>19.873000000000001</v>
      </c>
      <c r="J204" s="115">
        <v>21.664000000000001</v>
      </c>
      <c r="K204" s="115">
        <v>23.361999999999998</v>
      </c>
      <c r="L204" s="115">
        <v>25.103999999999999</v>
      </c>
      <c r="M204" s="115">
        <v>26.896000000000001</v>
      </c>
      <c r="N204" s="115">
        <v>28.731999999999999</v>
      </c>
      <c r="O204" s="115">
        <v>30.076000000000001</v>
      </c>
      <c r="P204" s="115">
        <v>31.437000000000001</v>
      </c>
      <c r="Q204" s="115">
        <v>32.831000000000003</v>
      </c>
      <c r="R204" s="115">
        <v>34.045000000000002</v>
      </c>
      <c r="S204" s="115">
        <v>35.313000000000002</v>
      </c>
      <c r="T204" s="115">
        <v>36.357999999999997</v>
      </c>
      <c r="U204" s="115">
        <v>37.366</v>
      </c>
      <c r="V204" s="115">
        <v>38.249000000000002</v>
      </c>
      <c r="W204" s="115">
        <v>38.661999999999999</v>
      </c>
      <c r="X204" s="115">
        <v>39.034999999999997</v>
      </c>
      <c r="Y204" s="115">
        <v>39.482999999999997</v>
      </c>
      <c r="Z204" s="115">
        <v>39.835000000000001</v>
      </c>
      <c r="AA204" s="115">
        <v>40.18</v>
      </c>
      <c r="AB204" s="115">
        <v>40.523000000000003</v>
      </c>
      <c r="AC204" s="115">
        <v>40.848999999999997</v>
      </c>
      <c r="AD204" s="43"/>
      <c r="AE204" s="43"/>
      <c r="AF204" s="43"/>
      <c r="AG204" s="43"/>
      <c r="AH204" s="43"/>
      <c r="AI204" s="43"/>
    </row>
    <row r="205" spans="1:35" x14ac:dyDescent="0.25">
      <c r="A205" s="115" t="s">
        <v>0</v>
      </c>
      <c r="B205" s="115">
        <v>11.458</v>
      </c>
      <c r="C205" s="115">
        <v>12.433</v>
      </c>
      <c r="D205" s="115">
        <v>12.516999999999999</v>
      </c>
      <c r="E205" s="115">
        <v>14.035</v>
      </c>
      <c r="F205" s="115">
        <v>15.012</v>
      </c>
      <c r="G205" s="115">
        <v>17.038</v>
      </c>
      <c r="H205" s="115">
        <v>20.233000000000001</v>
      </c>
      <c r="I205" s="115">
        <v>24.457999999999998</v>
      </c>
      <c r="J205" s="115">
        <v>26.763999999999999</v>
      </c>
      <c r="K205" s="115">
        <v>30.184999999999999</v>
      </c>
      <c r="L205" s="115">
        <v>33.073999999999998</v>
      </c>
      <c r="M205" s="115">
        <v>35.36</v>
      </c>
      <c r="N205" s="115">
        <v>37.128</v>
      </c>
      <c r="O205" s="115">
        <v>38.414000000000001</v>
      </c>
      <c r="P205" s="115">
        <v>38.957999999999998</v>
      </c>
      <c r="Q205" s="115">
        <v>39.179000000000002</v>
      </c>
      <c r="R205" s="115">
        <v>39.085000000000001</v>
      </c>
      <c r="S205" s="115">
        <v>38.534999999999997</v>
      </c>
      <c r="T205" s="115">
        <v>38.152000000000001</v>
      </c>
      <c r="U205" s="115">
        <v>37.768000000000001</v>
      </c>
      <c r="V205" s="115">
        <v>37.421999999999997</v>
      </c>
      <c r="W205" s="115">
        <v>37.067999999999998</v>
      </c>
      <c r="X205" s="115">
        <v>36.723999999999997</v>
      </c>
      <c r="Y205" s="115">
        <v>36.39</v>
      </c>
      <c r="Z205" s="115">
        <v>36.061999999999998</v>
      </c>
      <c r="AA205" s="115">
        <v>35.741999999999997</v>
      </c>
      <c r="AB205" s="115">
        <v>35.43</v>
      </c>
      <c r="AC205" s="115">
        <v>35.088999999999999</v>
      </c>
      <c r="AD205" s="43"/>
      <c r="AE205" s="43"/>
      <c r="AF205" s="43"/>
      <c r="AG205" s="43"/>
      <c r="AH205" s="43"/>
      <c r="AI205" s="43"/>
    </row>
    <row r="206" spans="1:35" x14ac:dyDescent="0.25">
      <c r="A206" s="115" t="s">
        <v>646</v>
      </c>
      <c r="B206" s="115"/>
      <c r="C206" s="115">
        <v>-0.90800000000000003</v>
      </c>
      <c r="D206" s="115">
        <v>6.3E-2</v>
      </c>
      <c r="E206" s="115">
        <v>-1.3720000000000001</v>
      </c>
      <c r="F206" s="115">
        <v>-0.83</v>
      </c>
      <c r="G206" s="115">
        <v>-1.881</v>
      </c>
      <c r="H206" s="115">
        <v>-3.05</v>
      </c>
      <c r="I206" s="115">
        <v>-4.0970000000000004</v>
      </c>
      <c r="J206" s="115">
        <v>-2.1800000000000002</v>
      </c>
      <c r="K206" s="115">
        <v>-3.2970000000000002</v>
      </c>
      <c r="L206" s="115">
        <v>-2.7690000000000001</v>
      </c>
      <c r="M206" s="115">
        <v>-2.1709999999999998</v>
      </c>
      <c r="N206" s="115">
        <v>-1.66</v>
      </c>
      <c r="O206" s="115">
        <v>-1.1870000000000001</v>
      </c>
      <c r="P206" s="115">
        <v>-0.45200000000000001</v>
      </c>
      <c r="Q206" s="115">
        <v>-0.13400000000000001</v>
      </c>
      <c r="R206" s="115">
        <v>0.17399999999999999</v>
      </c>
      <c r="S206" s="115">
        <v>0.48399999999999999</v>
      </c>
      <c r="T206" s="115">
        <v>0.29899999999999999</v>
      </c>
      <c r="U206" s="115">
        <v>0.28799999999999998</v>
      </c>
      <c r="V206" s="115">
        <v>0.23899999999999999</v>
      </c>
      <c r="W206" s="115">
        <v>0.23400000000000001</v>
      </c>
      <c r="X206" s="115">
        <v>0.22</v>
      </c>
      <c r="Y206" s="115">
        <v>0.20399999999999999</v>
      </c>
      <c r="Z206" s="115">
        <v>0.192</v>
      </c>
      <c r="AA206" s="115">
        <v>0.17799999999999999</v>
      </c>
      <c r="AB206" s="115">
        <v>0.16600000000000001</v>
      </c>
      <c r="AC206" s="115">
        <v>0.161</v>
      </c>
      <c r="AD206" s="43"/>
      <c r="AE206" s="43"/>
      <c r="AF206" s="43"/>
      <c r="AG206" s="43"/>
      <c r="AH206" s="43"/>
      <c r="AI206" s="43"/>
    </row>
    <row r="207" spans="1:35" x14ac:dyDescent="0.25">
      <c r="A207" s="115" t="s">
        <v>582</v>
      </c>
      <c r="B207" s="115">
        <v>11.458</v>
      </c>
      <c r="C207" s="115">
        <v>12.433</v>
      </c>
      <c r="D207" s="115">
        <v>12.516999999999999</v>
      </c>
      <c r="E207" s="115">
        <v>14.035</v>
      </c>
      <c r="F207" s="115">
        <v>15.012</v>
      </c>
      <c r="G207" s="115">
        <v>17.038</v>
      </c>
      <c r="H207" s="115">
        <v>20.233000000000001</v>
      </c>
      <c r="I207" s="115">
        <v>24.457999999999998</v>
      </c>
      <c r="J207" s="115">
        <v>26.763999999999999</v>
      </c>
      <c r="K207" s="115">
        <v>30.184999999999999</v>
      </c>
      <c r="L207" s="115">
        <v>33.073999999999998</v>
      </c>
      <c r="M207" s="115">
        <v>35.36</v>
      </c>
      <c r="N207" s="115">
        <v>37.128</v>
      </c>
      <c r="O207" s="115">
        <v>38.414000000000001</v>
      </c>
      <c r="P207" s="115">
        <v>38.957999999999998</v>
      </c>
      <c r="Q207" s="115">
        <v>39.179000000000002</v>
      </c>
      <c r="R207" s="115">
        <v>39.085000000000001</v>
      </c>
      <c r="S207" s="115">
        <v>38.534999999999997</v>
      </c>
      <c r="T207" s="115">
        <v>38.152000000000001</v>
      </c>
      <c r="U207" s="115">
        <v>37.768000000000001</v>
      </c>
      <c r="V207" s="115">
        <v>37.421999999999997</v>
      </c>
      <c r="W207" s="115">
        <v>37.067999999999998</v>
      </c>
      <c r="X207" s="115">
        <v>36.723999999999997</v>
      </c>
      <c r="Y207" s="115">
        <v>36.39</v>
      </c>
      <c r="Z207" s="115">
        <v>36.061999999999998</v>
      </c>
      <c r="AA207" s="115">
        <v>35.741999999999997</v>
      </c>
      <c r="AB207" s="115">
        <v>35.43</v>
      </c>
      <c r="AC207" s="115">
        <v>35.088999999999999</v>
      </c>
      <c r="AD207" s="43"/>
      <c r="AE207" s="43"/>
      <c r="AF207" s="43"/>
      <c r="AG207" s="43"/>
      <c r="AH207" s="43"/>
      <c r="AI207" s="43"/>
    </row>
    <row r="208" spans="1:35" x14ac:dyDescent="0.25">
      <c r="A208" s="115" t="s">
        <v>1</v>
      </c>
      <c r="B208" s="115">
        <v>91</v>
      </c>
      <c r="C208" s="115">
        <v>89.096999999999994</v>
      </c>
      <c r="D208" s="115">
        <v>88.978999999999999</v>
      </c>
      <c r="E208" s="115">
        <v>86.763999999999996</v>
      </c>
      <c r="F208" s="115">
        <v>82.988</v>
      </c>
      <c r="G208" s="115">
        <v>79.971999999999994</v>
      </c>
      <c r="H208" s="115">
        <v>76.412000000000006</v>
      </c>
      <c r="I208" s="115">
        <v>72.209000000000003</v>
      </c>
      <c r="J208" s="115">
        <v>68.207999999999998</v>
      </c>
      <c r="K208" s="115">
        <v>63.76</v>
      </c>
      <c r="L208" s="115">
        <v>59.594999999999999</v>
      </c>
      <c r="M208" s="115">
        <v>55.725999999999999</v>
      </c>
      <c r="N208" s="115">
        <v>52.078000000000003</v>
      </c>
      <c r="O208" s="115">
        <v>48.137</v>
      </c>
      <c r="P208" s="115">
        <v>44.374000000000002</v>
      </c>
      <c r="Q208" s="115">
        <v>40.872999999999998</v>
      </c>
      <c r="R208" s="115">
        <v>38.146999999999998</v>
      </c>
      <c r="S208" s="115">
        <v>30.309000000000001</v>
      </c>
      <c r="T208" s="115">
        <v>31.925000000000001</v>
      </c>
      <c r="U208" s="115">
        <v>29.616</v>
      </c>
      <c r="V208" s="115">
        <v>27.670999999999999</v>
      </c>
      <c r="W208" s="115">
        <v>26.053999999999998</v>
      </c>
      <c r="X208" s="115">
        <v>24.747</v>
      </c>
      <c r="Y208" s="115">
        <v>23.207000000000001</v>
      </c>
      <c r="Z208" s="115">
        <v>21.984999999999999</v>
      </c>
      <c r="AA208" s="115">
        <v>20.742999999999999</v>
      </c>
      <c r="AB208" s="115">
        <v>19.463999999999999</v>
      </c>
      <c r="AC208" s="115">
        <v>18.158999999999999</v>
      </c>
      <c r="AD208" s="43"/>
      <c r="AE208" s="43"/>
      <c r="AF208" s="43"/>
      <c r="AG208" s="43"/>
      <c r="AH208" s="43"/>
      <c r="AI208" s="43"/>
    </row>
    <row r="209" spans="1:35" x14ac:dyDescent="0.25">
      <c r="A209" s="115" t="s">
        <v>647</v>
      </c>
      <c r="B209" s="115"/>
      <c r="C209" s="115">
        <v>2.06</v>
      </c>
      <c r="D209" s="115">
        <v>0.17499999999999999</v>
      </c>
      <c r="E209" s="115">
        <v>2.2650000000000001</v>
      </c>
      <c r="F209" s="115">
        <v>3.8170000000000002</v>
      </c>
      <c r="G209" s="115">
        <v>3.0510000000000002</v>
      </c>
      <c r="H209" s="115">
        <v>3.5870000000000002</v>
      </c>
      <c r="I209" s="115">
        <v>4.2220000000000004</v>
      </c>
      <c r="J209" s="115">
        <v>4.0140000000000002</v>
      </c>
      <c r="K209" s="115">
        <v>4.4539999999999997</v>
      </c>
      <c r="L209" s="115">
        <v>4.1630000000000003</v>
      </c>
      <c r="M209" s="115">
        <v>3.8610000000000002</v>
      </c>
      <c r="N209" s="115">
        <v>3.6320000000000001</v>
      </c>
      <c r="O209" s="115">
        <v>3.9180000000000001</v>
      </c>
      <c r="P209" s="115">
        <v>3.7389999999999999</v>
      </c>
      <c r="Q209" s="115">
        <v>3.4740000000000002</v>
      </c>
      <c r="R209" s="115">
        <v>2.6989999999999998</v>
      </c>
      <c r="S209" s="115">
        <v>7.7480000000000002</v>
      </c>
      <c r="T209" s="115">
        <v>-1.655</v>
      </c>
      <c r="U209" s="115">
        <v>2.254</v>
      </c>
      <c r="V209" s="115">
        <v>1.891</v>
      </c>
      <c r="W209" s="115">
        <v>1.5609999999999999</v>
      </c>
      <c r="X209" s="115">
        <v>1.2549999999999999</v>
      </c>
      <c r="Y209" s="115">
        <v>1.4890000000000001</v>
      </c>
      <c r="Z209" s="115">
        <v>1.173</v>
      </c>
      <c r="AA209" s="115">
        <v>1.1970000000000001</v>
      </c>
      <c r="AB209" s="115">
        <v>1.2370000000000001</v>
      </c>
      <c r="AC209" s="115">
        <v>1.254</v>
      </c>
      <c r="AD209" s="43"/>
      <c r="AE209" s="43"/>
      <c r="AF209" s="43"/>
      <c r="AG209" s="43"/>
      <c r="AH209" s="43"/>
      <c r="AI209" s="43"/>
    </row>
    <row r="210" spans="1:35" x14ac:dyDescent="0.25">
      <c r="A210" s="115" t="s">
        <v>583</v>
      </c>
      <c r="B210" s="115">
        <v>91</v>
      </c>
      <c r="C210" s="115">
        <v>89.096999999999994</v>
      </c>
      <c r="D210" s="115">
        <v>88.978999999999999</v>
      </c>
      <c r="E210" s="115">
        <v>86.763999999999996</v>
      </c>
      <c r="F210" s="115">
        <v>82.988</v>
      </c>
      <c r="G210" s="115">
        <v>79.971999999999994</v>
      </c>
      <c r="H210" s="115">
        <v>76.412000000000006</v>
      </c>
      <c r="I210" s="115">
        <v>72.209000000000003</v>
      </c>
      <c r="J210" s="115">
        <v>68.207999999999998</v>
      </c>
      <c r="K210" s="115">
        <v>63.76</v>
      </c>
      <c r="L210" s="115">
        <v>59.594999999999999</v>
      </c>
      <c r="M210" s="115">
        <v>55.725999999999999</v>
      </c>
      <c r="N210" s="115">
        <v>52.078000000000003</v>
      </c>
      <c r="O210" s="115">
        <v>48.137</v>
      </c>
      <c r="P210" s="115">
        <v>44.374000000000002</v>
      </c>
      <c r="Q210" s="115">
        <v>40.872999999999998</v>
      </c>
      <c r="R210" s="115">
        <v>38.146999999999998</v>
      </c>
      <c r="S210" s="115">
        <v>30.309000000000001</v>
      </c>
      <c r="T210" s="115">
        <v>31.925000000000001</v>
      </c>
      <c r="U210" s="115">
        <v>29.616</v>
      </c>
      <c r="V210" s="115">
        <v>27.670999999999999</v>
      </c>
      <c r="W210" s="115">
        <v>26.053999999999998</v>
      </c>
      <c r="X210" s="115">
        <v>24.747</v>
      </c>
      <c r="Y210" s="115">
        <v>23.207000000000001</v>
      </c>
      <c r="Z210" s="115">
        <v>21.984999999999999</v>
      </c>
      <c r="AA210" s="115">
        <v>20.742999999999999</v>
      </c>
      <c r="AB210" s="115">
        <v>19.463999999999999</v>
      </c>
      <c r="AC210" s="115">
        <v>18.158999999999999</v>
      </c>
      <c r="AD210" s="43"/>
      <c r="AE210" s="43"/>
      <c r="AF210" s="43"/>
      <c r="AG210" s="43"/>
      <c r="AH210" s="43"/>
      <c r="AI210" s="43"/>
    </row>
    <row r="211" spans="1:35" x14ac:dyDescent="0.25">
      <c r="A211" s="115" t="s">
        <v>636</v>
      </c>
      <c r="B211" s="115"/>
      <c r="C211" s="115">
        <v>18.538</v>
      </c>
      <c r="D211" s="115">
        <v>17.538</v>
      </c>
      <c r="E211" s="115">
        <v>17.222000000000001</v>
      </c>
      <c r="F211" s="115">
        <v>17.044</v>
      </c>
      <c r="G211" s="115">
        <v>16.942</v>
      </c>
      <c r="H211" s="115">
        <v>16.867999999999999</v>
      </c>
      <c r="I211" s="115">
        <v>16.797999999999998</v>
      </c>
      <c r="J211" s="115">
        <v>16.736000000000001</v>
      </c>
      <c r="K211" s="115">
        <v>16.681000000000001</v>
      </c>
      <c r="L211" s="115">
        <v>16.631</v>
      </c>
      <c r="M211" s="115">
        <v>16.585999999999999</v>
      </c>
      <c r="N211" s="115">
        <v>16.545000000000002</v>
      </c>
      <c r="O211" s="115">
        <v>16.506</v>
      </c>
      <c r="P211" s="115">
        <v>16.462</v>
      </c>
      <c r="Q211" s="115">
        <v>16.427</v>
      </c>
      <c r="R211" s="115">
        <v>16.393000000000001</v>
      </c>
      <c r="S211" s="115">
        <v>16.274999999999999</v>
      </c>
      <c r="T211" s="115">
        <v>16.227</v>
      </c>
      <c r="U211" s="115">
        <v>16.149000000000001</v>
      </c>
      <c r="V211" s="115">
        <v>16.073</v>
      </c>
      <c r="W211" s="115">
        <v>15.999000000000001</v>
      </c>
      <c r="X211" s="115">
        <v>15.928000000000001</v>
      </c>
      <c r="Y211" s="115">
        <v>15.859</v>
      </c>
      <c r="Z211" s="115">
        <v>15.792</v>
      </c>
      <c r="AA211" s="115">
        <v>15.727</v>
      </c>
      <c r="AB211" s="115">
        <v>15.663</v>
      </c>
      <c r="AC211" s="115">
        <v>15.606999999999999</v>
      </c>
      <c r="AD211" s="43"/>
      <c r="AE211" s="43"/>
      <c r="AF211" s="43"/>
      <c r="AG211" s="43"/>
      <c r="AH211" s="43"/>
      <c r="AI211" s="43"/>
    </row>
    <row r="212" spans="1:35" x14ac:dyDescent="0.25">
      <c r="A212" s="115" t="s">
        <v>575</v>
      </c>
      <c r="B212" s="115">
        <v>0</v>
      </c>
      <c r="C212" s="115">
        <v>0.435</v>
      </c>
      <c r="D212" s="115">
        <v>0.90300000000000002</v>
      </c>
      <c r="E212" s="115">
        <v>1.369</v>
      </c>
      <c r="F212" s="115">
        <v>1.833</v>
      </c>
      <c r="G212" s="115">
        <v>2.2970000000000002</v>
      </c>
      <c r="H212" s="115">
        <v>2.7589999999999999</v>
      </c>
      <c r="I212" s="115">
        <v>3.0710000000000002</v>
      </c>
      <c r="J212" s="115">
        <v>3.3820000000000001</v>
      </c>
      <c r="K212" s="115">
        <v>3.6920000000000002</v>
      </c>
      <c r="L212" s="115">
        <v>4.0019999999999998</v>
      </c>
      <c r="M212" s="115">
        <v>4.3099999999999996</v>
      </c>
      <c r="N212" s="115">
        <v>4.6180000000000003</v>
      </c>
      <c r="O212" s="115">
        <v>4.9249999999999998</v>
      </c>
      <c r="P212" s="115">
        <v>5.2290000000000001</v>
      </c>
      <c r="Q212" s="115">
        <v>5.5339999999999998</v>
      </c>
      <c r="R212" s="115">
        <v>5.8390000000000004</v>
      </c>
      <c r="S212" s="115">
        <v>5.9379999999999997</v>
      </c>
      <c r="T212" s="115">
        <v>6.0629999999999997</v>
      </c>
      <c r="U212" s="115">
        <v>6.1740000000000004</v>
      </c>
      <c r="V212" s="115">
        <v>6.2859999999999996</v>
      </c>
      <c r="W212" s="115">
        <v>6.3970000000000002</v>
      </c>
      <c r="X212" s="115">
        <v>6.5069999999999997</v>
      </c>
      <c r="Y212" s="115">
        <v>6.6180000000000003</v>
      </c>
      <c r="Z212" s="115">
        <v>6.7270000000000003</v>
      </c>
      <c r="AA212" s="115">
        <v>6.8369999999999997</v>
      </c>
      <c r="AB212" s="115">
        <v>6.9459999999999997</v>
      </c>
      <c r="AC212" s="115">
        <v>7.0510000000000002</v>
      </c>
      <c r="AD212" s="43"/>
      <c r="AE212" s="43"/>
      <c r="AF212" s="43"/>
      <c r="AG212" s="43"/>
      <c r="AH212" s="43"/>
      <c r="AI212" s="43"/>
    </row>
    <row r="213" spans="1:35" x14ac:dyDescent="0.25">
      <c r="A213" s="115" t="s">
        <v>637</v>
      </c>
      <c r="B213" s="115"/>
      <c r="C213" s="115">
        <v>0.435</v>
      </c>
      <c r="D213" s="115">
        <v>0.90300000000000002</v>
      </c>
      <c r="E213" s="115">
        <v>1.369</v>
      </c>
      <c r="F213" s="115">
        <v>1.833</v>
      </c>
      <c r="G213" s="115">
        <v>2.2970000000000002</v>
      </c>
      <c r="H213" s="115">
        <v>2.7589999999999999</v>
      </c>
      <c r="I213" s="115">
        <v>3.0710000000000002</v>
      </c>
      <c r="J213" s="115">
        <v>3.3820000000000001</v>
      </c>
      <c r="K213" s="115">
        <v>3.6920000000000002</v>
      </c>
      <c r="L213" s="115">
        <v>4.0019999999999998</v>
      </c>
      <c r="M213" s="115">
        <v>4.3099999999999996</v>
      </c>
      <c r="N213" s="115">
        <v>4.6180000000000003</v>
      </c>
      <c r="O213" s="115">
        <v>4.9249999999999998</v>
      </c>
      <c r="P213" s="115">
        <v>5.2290000000000001</v>
      </c>
      <c r="Q213" s="115">
        <v>5.5339999999999998</v>
      </c>
      <c r="R213" s="115">
        <v>5.8390000000000004</v>
      </c>
      <c r="S213" s="115">
        <v>5.9379999999999997</v>
      </c>
      <c r="T213" s="115">
        <v>6.0629999999999997</v>
      </c>
      <c r="U213" s="115">
        <v>6.1740000000000004</v>
      </c>
      <c r="V213" s="115">
        <v>6.2859999999999996</v>
      </c>
      <c r="W213" s="115">
        <v>6.3970000000000002</v>
      </c>
      <c r="X213" s="115">
        <v>6.5069999999999997</v>
      </c>
      <c r="Y213" s="115">
        <v>6.6180000000000003</v>
      </c>
      <c r="Z213" s="115">
        <v>6.7270000000000003</v>
      </c>
      <c r="AA213" s="115">
        <v>6.8369999999999997</v>
      </c>
      <c r="AB213" s="115">
        <v>6.9459999999999997</v>
      </c>
      <c r="AC213" s="115">
        <v>7.0510000000000002</v>
      </c>
      <c r="AD213" s="43"/>
      <c r="AE213" s="43"/>
      <c r="AF213" s="43"/>
      <c r="AG213" s="43"/>
      <c r="AH213" s="43"/>
      <c r="AI213" s="43"/>
    </row>
    <row r="214" spans="1:35" x14ac:dyDescent="0.25">
      <c r="A214" s="115" t="s">
        <v>2</v>
      </c>
      <c r="B214" s="115">
        <v>31</v>
      </c>
      <c r="C214" s="115">
        <v>27.902999999999999</v>
      </c>
      <c r="D214" s="115">
        <v>25.251999999999999</v>
      </c>
      <c r="E214" s="115">
        <v>22.315000000000001</v>
      </c>
      <c r="F214" s="115">
        <v>18.951000000000001</v>
      </c>
      <c r="G214" s="115">
        <v>16.163</v>
      </c>
      <c r="H214" s="115">
        <v>13.513999999999999</v>
      </c>
      <c r="I214" s="115">
        <v>10.984</v>
      </c>
      <c r="J214" s="115">
        <v>8.5090000000000003</v>
      </c>
      <c r="K214" s="115">
        <v>6.16</v>
      </c>
      <c r="L214" s="115">
        <v>3.9670000000000001</v>
      </c>
      <c r="M214" s="115">
        <v>1.9179999999999999</v>
      </c>
      <c r="N214" s="115">
        <v>0</v>
      </c>
      <c r="O214" s="115">
        <v>0</v>
      </c>
      <c r="P214" s="115">
        <v>0</v>
      </c>
      <c r="Q214" s="115">
        <v>0</v>
      </c>
      <c r="R214" s="115">
        <v>0</v>
      </c>
      <c r="S214" s="115">
        <v>0</v>
      </c>
      <c r="T214" s="115">
        <v>0</v>
      </c>
      <c r="U214" s="115">
        <v>0</v>
      </c>
      <c r="V214" s="115">
        <v>0</v>
      </c>
      <c r="W214" s="115">
        <v>0</v>
      </c>
      <c r="X214" s="115">
        <v>0</v>
      </c>
      <c r="Y214" s="115">
        <v>0</v>
      </c>
      <c r="Z214" s="115">
        <v>0</v>
      </c>
      <c r="AA214" s="115">
        <v>0</v>
      </c>
      <c r="AB214" s="115">
        <v>0</v>
      </c>
      <c r="AC214" s="115">
        <v>0</v>
      </c>
      <c r="AD214" s="43"/>
      <c r="AE214" s="43"/>
      <c r="AF214" s="43"/>
      <c r="AG214" s="43"/>
      <c r="AH214" s="43"/>
      <c r="AI214" s="43"/>
    </row>
    <row r="215" spans="1:35" x14ac:dyDescent="0.25">
      <c r="A215" s="115" t="s">
        <v>648</v>
      </c>
      <c r="B215" s="115"/>
      <c r="C215" s="115">
        <v>3.069</v>
      </c>
      <c r="D215" s="115">
        <v>2.62</v>
      </c>
      <c r="E215" s="115">
        <v>2.9049999999999998</v>
      </c>
      <c r="F215" s="115">
        <v>3.3290000000000002</v>
      </c>
      <c r="G215" s="115">
        <v>2.7549999999999999</v>
      </c>
      <c r="H215" s="115">
        <v>2.6160000000000001</v>
      </c>
      <c r="I215" s="115">
        <v>2.4990000000000001</v>
      </c>
      <c r="J215" s="115">
        <v>2.444</v>
      </c>
      <c r="K215" s="115">
        <v>2.3210000000000002</v>
      </c>
      <c r="L215" s="115">
        <v>2.1680000000000001</v>
      </c>
      <c r="M215" s="115">
        <v>2.0299999999999998</v>
      </c>
      <c r="N215" s="115">
        <v>1.907</v>
      </c>
      <c r="O215" s="115">
        <v>0</v>
      </c>
      <c r="P215" s="115">
        <v>0</v>
      </c>
      <c r="Q215" s="115">
        <v>0</v>
      </c>
      <c r="R215" s="115">
        <v>0</v>
      </c>
      <c r="S215" s="115">
        <v>0</v>
      </c>
      <c r="T215" s="115">
        <v>0</v>
      </c>
      <c r="U215" s="115">
        <v>0</v>
      </c>
      <c r="V215" s="115">
        <v>0</v>
      </c>
      <c r="W215" s="115">
        <v>0</v>
      </c>
      <c r="X215" s="115">
        <v>0</v>
      </c>
      <c r="Y215" s="115">
        <v>0</v>
      </c>
      <c r="Z215" s="115">
        <v>0</v>
      </c>
      <c r="AA215" s="115">
        <v>0</v>
      </c>
      <c r="AB215" s="115">
        <v>0</v>
      </c>
      <c r="AC215" s="115">
        <v>0</v>
      </c>
      <c r="AD215" s="43"/>
      <c r="AE215" s="43"/>
      <c r="AF215" s="43"/>
      <c r="AG215" s="43"/>
      <c r="AH215" s="43"/>
      <c r="AI215" s="43"/>
    </row>
    <row r="216" spans="1:35" x14ac:dyDescent="0.25">
      <c r="A216" s="115" t="s">
        <v>584</v>
      </c>
      <c r="B216" s="115">
        <v>31</v>
      </c>
      <c r="C216" s="115">
        <v>27.902999999999999</v>
      </c>
      <c r="D216" s="115">
        <v>25.251999999999999</v>
      </c>
      <c r="E216" s="115">
        <v>22.315000000000001</v>
      </c>
      <c r="F216" s="115">
        <v>18.951000000000001</v>
      </c>
      <c r="G216" s="115">
        <v>16.163</v>
      </c>
      <c r="H216" s="115">
        <v>13.513999999999999</v>
      </c>
      <c r="I216" s="115">
        <v>10.984</v>
      </c>
      <c r="J216" s="115">
        <v>8.5090000000000003</v>
      </c>
      <c r="K216" s="115">
        <v>6.16</v>
      </c>
      <c r="L216" s="115">
        <v>3.9670000000000001</v>
      </c>
      <c r="M216" s="115">
        <v>1.9179999999999999</v>
      </c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43"/>
      <c r="AE216" s="43"/>
      <c r="AF216" s="43"/>
      <c r="AG216" s="43"/>
      <c r="AH216" s="43"/>
      <c r="AI216" s="43"/>
    </row>
    <row r="217" spans="1:35" x14ac:dyDescent="0.25">
      <c r="A217" s="115" t="s">
        <v>577</v>
      </c>
      <c r="B217" s="115">
        <v>326.62400000000002</v>
      </c>
      <c r="C217" s="115">
        <v>318.649</v>
      </c>
      <c r="D217" s="115">
        <v>314.51499999999999</v>
      </c>
      <c r="E217" s="115">
        <v>308.75099999999998</v>
      </c>
      <c r="F217" s="115">
        <v>300.56599999999997</v>
      </c>
      <c r="G217" s="115">
        <v>295.05700000000002</v>
      </c>
      <c r="H217" s="115">
        <v>290.06299999999999</v>
      </c>
      <c r="I217" s="115">
        <v>284.66500000000002</v>
      </c>
      <c r="J217" s="115">
        <v>278.29000000000002</v>
      </c>
      <c r="K217" s="115">
        <v>272.411</v>
      </c>
      <c r="L217" s="115">
        <v>266.90300000000002</v>
      </c>
      <c r="M217" s="115">
        <v>261.69099999999997</v>
      </c>
      <c r="N217" s="115">
        <v>256.72699999999998</v>
      </c>
      <c r="O217" s="115">
        <v>252.20400000000001</v>
      </c>
      <c r="P217" s="115">
        <v>247.18100000000001</v>
      </c>
      <c r="Q217" s="115">
        <v>242.501</v>
      </c>
      <c r="R217" s="115">
        <v>238.18600000000001</v>
      </c>
      <c r="S217" s="115">
        <v>227.167</v>
      </c>
      <c r="T217" s="115">
        <v>227.77500000000001</v>
      </c>
      <c r="U217" s="115">
        <v>223.50800000000001</v>
      </c>
      <c r="V217" s="115">
        <v>219.583</v>
      </c>
      <c r="W217" s="115">
        <v>216.947</v>
      </c>
      <c r="X217" s="115">
        <v>214.29400000000001</v>
      </c>
      <c r="Y217" s="115">
        <v>211.791</v>
      </c>
      <c r="Z217" s="115">
        <v>209.41300000000001</v>
      </c>
      <c r="AA217" s="115">
        <v>207.161</v>
      </c>
      <c r="AB217" s="115">
        <v>205.03200000000001</v>
      </c>
      <c r="AC217" s="115">
        <v>202.9</v>
      </c>
      <c r="AD217" s="43"/>
      <c r="AE217" s="43"/>
      <c r="AF217" s="43"/>
      <c r="AG217" s="43"/>
      <c r="AH217" s="43"/>
      <c r="AI217" s="43"/>
    </row>
    <row r="218" spans="1:35" x14ac:dyDescent="0.25">
      <c r="A218" s="115" t="s">
        <v>217</v>
      </c>
      <c r="B218" s="115"/>
      <c r="C218" s="115">
        <v>7.181</v>
      </c>
      <c r="D218" s="115">
        <v>4.4820000000000002</v>
      </c>
      <c r="E218" s="115">
        <v>6.0919999999999996</v>
      </c>
      <c r="F218" s="115">
        <v>8.8460000000000001</v>
      </c>
      <c r="G218" s="115">
        <v>6.1020000000000003</v>
      </c>
      <c r="H218" s="115">
        <v>5.4820000000000002</v>
      </c>
      <c r="I218" s="115">
        <v>5.3529999999999998</v>
      </c>
      <c r="J218" s="115">
        <v>6.6630000000000003</v>
      </c>
      <c r="K218" s="115">
        <v>6.0229999999999997</v>
      </c>
      <c r="L218" s="115">
        <v>5.8150000000000004</v>
      </c>
      <c r="M218" s="115">
        <v>5.6849999999999996</v>
      </c>
      <c r="N218" s="115">
        <v>5.5910000000000002</v>
      </c>
      <c r="O218" s="115">
        <v>4.4859999999999998</v>
      </c>
      <c r="P218" s="115">
        <v>4.9880000000000004</v>
      </c>
      <c r="Q218" s="115">
        <v>4.8109999999999999</v>
      </c>
      <c r="R218" s="115">
        <v>4.2709999999999999</v>
      </c>
      <c r="S218" s="115">
        <v>10.698</v>
      </c>
      <c r="T218" s="115">
        <v>-1.149</v>
      </c>
      <c r="U218" s="115">
        <v>3.7269999999999999</v>
      </c>
      <c r="V218" s="115">
        <v>3.2850000000000001</v>
      </c>
      <c r="W218" s="115">
        <v>2.4430000000000001</v>
      </c>
      <c r="X218" s="115">
        <v>2.2280000000000002</v>
      </c>
      <c r="Y218" s="115">
        <v>2.2989999999999999</v>
      </c>
      <c r="Z218" s="115">
        <v>2.0129999999999999</v>
      </c>
      <c r="AA218" s="115">
        <v>1.954</v>
      </c>
      <c r="AB218" s="115">
        <v>1.909</v>
      </c>
      <c r="AC218" s="115">
        <v>1.857</v>
      </c>
      <c r="AD218" s="43"/>
      <c r="AE218" s="43"/>
      <c r="AF218" s="43"/>
      <c r="AG218" s="43"/>
      <c r="AH218" s="43"/>
      <c r="AI218" s="43"/>
    </row>
    <row r="219" spans="1:35" x14ac:dyDescent="0.25">
      <c r="A219" s="115" t="s">
        <v>223</v>
      </c>
      <c r="B219" s="115"/>
      <c r="C219" s="115">
        <v>4.0599999999999996</v>
      </c>
      <c r="D219" s="115">
        <v>3.4630000000000001</v>
      </c>
      <c r="E219" s="115">
        <v>3.0880000000000001</v>
      </c>
      <c r="F219" s="115">
        <v>3.5209999999999999</v>
      </c>
      <c r="G219" s="115">
        <v>3.1739999999999999</v>
      </c>
      <c r="H219" s="115">
        <v>2.7839999999999998</v>
      </c>
      <c r="I219" s="115">
        <v>2.419</v>
      </c>
      <c r="J219" s="115">
        <v>3.073</v>
      </c>
      <c r="K219" s="115">
        <v>2.6509999999999998</v>
      </c>
      <c r="L219" s="115">
        <v>2.8210000000000002</v>
      </c>
      <c r="M219" s="115">
        <v>3.024</v>
      </c>
      <c r="N219" s="115">
        <v>3.2010000000000001</v>
      </c>
      <c r="O219" s="115">
        <v>2.1749999999999998</v>
      </c>
      <c r="P219" s="115">
        <v>2.4129999999999998</v>
      </c>
      <c r="Q219" s="115">
        <v>2.4990000000000001</v>
      </c>
      <c r="R219" s="115">
        <v>2.1379999999999999</v>
      </c>
      <c r="S219" s="115">
        <v>2.2719999999999998</v>
      </c>
      <c r="T219" s="115">
        <v>2.0659999999999998</v>
      </c>
      <c r="U219" s="115">
        <v>1.9930000000000001</v>
      </c>
      <c r="V219" s="115">
        <v>1.7210000000000001</v>
      </c>
      <c r="W219" s="115">
        <v>0.94799999999999995</v>
      </c>
      <c r="X219" s="115">
        <v>0.81</v>
      </c>
      <c r="Y219" s="115">
        <v>1</v>
      </c>
      <c r="Z219" s="115">
        <v>0.77900000000000003</v>
      </c>
      <c r="AA219" s="115">
        <v>0.78</v>
      </c>
      <c r="AB219" s="115">
        <v>0.79100000000000004</v>
      </c>
      <c r="AC219" s="115">
        <v>0.79300000000000004</v>
      </c>
      <c r="AD219" s="43"/>
      <c r="AE219" s="43"/>
      <c r="AF219" s="43"/>
      <c r="AG219" s="43"/>
      <c r="AH219" s="43"/>
      <c r="AI219" s="43"/>
    </row>
    <row r="220" spans="1:35" x14ac:dyDescent="0.25">
      <c r="A220" s="115" t="s">
        <v>219</v>
      </c>
      <c r="B220" s="115"/>
      <c r="C220" s="115">
        <v>1.921</v>
      </c>
      <c r="D220" s="115">
        <v>1.0389999999999999</v>
      </c>
      <c r="E220" s="115">
        <v>1.49</v>
      </c>
      <c r="F220" s="115">
        <v>1.6779999999999999</v>
      </c>
      <c r="G220" s="115">
        <v>1.484</v>
      </c>
      <c r="H220" s="115">
        <v>1.2829999999999999</v>
      </c>
      <c r="I220" s="115">
        <v>1.6140000000000001</v>
      </c>
      <c r="J220" s="115">
        <v>2.0939999999999999</v>
      </c>
      <c r="K220" s="115">
        <v>1.996</v>
      </c>
      <c r="L220" s="115">
        <v>1.7470000000000001</v>
      </c>
      <c r="M220" s="115">
        <v>1.5229999999999999</v>
      </c>
      <c r="N220" s="115">
        <v>1.3149999999999999</v>
      </c>
      <c r="O220" s="115">
        <v>1.353</v>
      </c>
      <c r="P220" s="115">
        <v>1.627</v>
      </c>
      <c r="Q220" s="115">
        <v>1.452</v>
      </c>
      <c r="R220" s="115">
        <v>1.3220000000000001</v>
      </c>
      <c r="S220" s="115">
        <v>2.0579999999999998</v>
      </c>
      <c r="T220" s="115">
        <v>1.157</v>
      </c>
      <c r="U220" s="115">
        <v>1.0589999999999999</v>
      </c>
      <c r="V220" s="115">
        <v>0.90100000000000002</v>
      </c>
      <c r="W220" s="115">
        <v>0.85499999999999998</v>
      </c>
      <c r="X220" s="115">
        <v>0.78900000000000003</v>
      </c>
      <c r="Y220" s="115">
        <v>0.72599999999999998</v>
      </c>
      <c r="Z220" s="115">
        <v>0.67100000000000004</v>
      </c>
      <c r="AA220" s="115">
        <v>0.62</v>
      </c>
      <c r="AB220" s="115">
        <v>0.57299999999999995</v>
      </c>
      <c r="AC220" s="115">
        <v>0.52900000000000003</v>
      </c>
      <c r="AD220" s="43"/>
      <c r="AE220" s="43"/>
      <c r="AF220" s="43"/>
      <c r="AG220" s="43"/>
      <c r="AH220" s="43"/>
      <c r="AI220" s="43"/>
    </row>
    <row r="221" spans="1:35" x14ac:dyDescent="0.25">
      <c r="A221" s="115" t="s">
        <v>240</v>
      </c>
      <c r="B221" s="115"/>
      <c r="C221" s="115">
        <v>-0.56799999999999995</v>
      </c>
      <c r="D221" s="115">
        <v>-0.58799999999999997</v>
      </c>
      <c r="E221" s="115">
        <v>-0.57499999999999996</v>
      </c>
      <c r="F221" s="115">
        <v>-0.55900000000000005</v>
      </c>
      <c r="G221" s="115">
        <v>-0.54600000000000004</v>
      </c>
      <c r="H221" s="115">
        <v>-0.53300000000000003</v>
      </c>
      <c r="I221" s="115">
        <v>-0.372</v>
      </c>
      <c r="J221" s="115">
        <v>-0.36099999999999999</v>
      </c>
      <c r="K221" s="115">
        <v>-0.34499999999999997</v>
      </c>
      <c r="L221" s="115">
        <v>-0.32900000000000001</v>
      </c>
      <c r="M221" s="115">
        <v>-0.315</v>
      </c>
      <c r="N221" s="115">
        <v>-0.30099999999999999</v>
      </c>
      <c r="O221" s="115">
        <v>-0.28799999999999998</v>
      </c>
      <c r="P221" s="115">
        <v>-0.27200000000000002</v>
      </c>
      <c r="Q221" s="115">
        <v>-0.26100000000000001</v>
      </c>
      <c r="R221" s="115">
        <v>-0.247</v>
      </c>
      <c r="S221" s="115">
        <v>0.17</v>
      </c>
      <c r="T221" s="115">
        <v>0.14299999999999999</v>
      </c>
      <c r="U221" s="115">
        <v>0.17899999999999999</v>
      </c>
      <c r="V221" s="115">
        <v>0.19500000000000001</v>
      </c>
      <c r="W221" s="115">
        <v>0.21099999999999999</v>
      </c>
      <c r="X221" s="115">
        <v>0.219</v>
      </c>
      <c r="Y221" s="115">
        <v>0.22800000000000001</v>
      </c>
      <c r="Z221" s="115">
        <v>0.23599999999999999</v>
      </c>
      <c r="AA221" s="115">
        <v>0.24399999999999999</v>
      </c>
      <c r="AB221" s="115">
        <v>0.251</v>
      </c>
      <c r="AC221" s="115">
        <v>0.34599999999999997</v>
      </c>
      <c r="AD221" s="43"/>
      <c r="AE221" s="43"/>
      <c r="AF221" s="43"/>
      <c r="AG221" s="43"/>
      <c r="AH221" s="43"/>
      <c r="AI221" s="43"/>
    </row>
    <row r="222" spans="1:35" x14ac:dyDescent="0.25">
      <c r="A222" s="115" t="s">
        <v>224</v>
      </c>
      <c r="B222" s="115"/>
      <c r="C222" s="115">
        <v>4.6379999999999999</v>
      </c>
      <c r="D222" s="115">
        <v>3.84</v>
      </c>
      <c r="E222" s="115">
        <v>3.6160000000000001</v>
      </c>
      <c r="F222" s="115">
        <v>4.0490000000000004</v>
      </c>
      <c r="G222" s="115">
        <v>3.8359999999999999</v>
      </c>
      <c r="H222" s="115">
        <v>3.6040000000000001</v>
      </c>
      <c r="I222" s="115">
        <v>3.391</v>
      </c>
      <c r="J222" s="115">
        <v>3.8439999999999999</v>
      </c>
      <c r="K222" s="115">
        <v>3.597</v>
      </c>
      <c r="L222" s="115">
        <v>3.7189999999999999</v>
      </c>
      <c r="M222" s="115">
        <v>3.8570000000000002</v>
      </c>
      <c r="N222" s="115">
        <v>3.9780000000000002</v>
      </c>
      <c r="O222" s="115">
        <v>2.7549999999999999</v>
      </c>
      <c r="P222" s="115">
        <v>2.9020000000000001</v>
      </c>
      <c r="Q222" s="115">
        <v>2.94</v>
      </c>
      <c r="R222" s="115">
        <v>2.488</v>
      </c>
      <c r="S222" s="115">
        <v>2.7040000000000002</v>
      </c>
      <c r="T222" s="115">
        <v>2.3849999999999998</v>
      </c>
      <c r="U222" s="115">
        <v>2.3050000000000002</v>
      </c>
      <c r="V222" s="115">
        <v>2.004</v>
      </c>
      <c r="W222" s="115">
        <v>1.1020000000000001</v>
      </c>
      <c r="X222" s="115">
        <v>0.95699999999999996</v>
      </c>
      <c r="Y222" s="115">
        <v>1.1659999999999999</v>
      </c>
      <c r="Z222" s="115">
        <v>0.92200000000000004</v>
      </c>
      <c r="AA222" s="115">
        <v>0.92200000000000004</v>
      </c>
      <c r="AB222" s="115">
        <v>0.93300000000000005</v>
      </c>
      <c r="AC222" s="115">
        <v>0.93200000000000005</v>
      </c>
      <c r="AD222" s="43"/>
      <c r="AE222" s="43"/>
      <c r="AF222" s="43"/>
      <c r="AG222" s="43"/>
      <c r="AH222" s="43"/>
      <c r="AI222" s="43"/>
    </row>
    <row r="223" spans="1:35" x14ac:dyDescent="0.25">
      <c r="A223" s="115" t="s">
        <v>220</v>
      </c>
      <c r="B223" s="115"/>
      <c r="C223" s="115">
        <v>2.282</v>
      </c>
      <c r="D223" s="115">
        <v>1.2450000000000001</v>
      </c>
      <c r="E223" s="115">
        <v>1.7829999999999999</v>
      </c>
      <c r="F223" s="115">
        <v>2.0009999999999999</v>
      </c>
      <c r="G223" s="115">
        <v>1.7749999999999999</v>
      </c>
      <c r="H223" s="115">
        <v>1.5409999999999999</v>
      </c>
      <c r="I223" s="115">
        <v>1.9330000000000001</v>
      </c>
      <c r="J223" s="115">
        <v>2.512</v>
      </c>
      <c r="K223" s="115">
        <v>2.391</v>
      </c>
      <c r="L223" s="115">
        <v>2.0939999999999999</v>
      </c>
      <c r="M223" s="115">
        <v>1.83</v>
      </c>
      <c r="N223" s="115">
        <v>1.581</v>
      </c>
      <c r="O223" s="115">
        <v>1.6279999999999999</v>
      </c>
      <c r="P223" s="115">
        <v>1.968</v>
      </c>
      <c r="Q223" s="115">
        <v>1.756</v>
      </c>
      <c r="R223" s="115">
        <v>1.601</v>
      </c>
      <c r="S223" s="115">
        <v>2.4689999999999999</v>
      </c>
      <c r="T223" s="115">
        <v>1.4119999999999999</v>
      </c>
      <c r="U223" s="115">
        <v>1.2929999999999999</v>
      </c>
      <c r="V223" s="115">
        <v>1.1020000000000001</v>
      </c>
      <c r="W223" s="115">
        <v>1.0469999999999999</v>
      </c>
      <c r="X223" s="115">
        <v>0.96599999999999997</v>
      </c>
      <c r="Y223" s="115">
        <v>0.88900000000000001</v>
      </c>
      <c r="Z223" s="115">
        <v>0.82099999999999995</v>
      </c>
      <c r="AA223" s="115">
        <v>0.75900000000000001</v>
      </c>
      <c r="AB223" s="115">
        <v>0.70099999999999996</v>
      </c>
      <c r="AC223" s="115">
        <v>0.64800000000000002</v>
      </c>
      <c r="AD223" s="43"/>
      <c r="AE223" s="43"/>
      <c r="AF223" s="43"/>
      <c r="AG223" s="43"/>
      <c r="AH223" s="43"/>
      <c r="AI223" s="43"/>
    </row>
    <row r="224" spans="1:35" x14ac:dyDescent="0.25">
      <c r="A224" s="115" t="s">
        <v>675</v>
      </c>
      <c r="B224" s="115"/>
      <c r="C224" s="115">
        <v>0.20899999999999999</v>
      </c>
      <c r="D224" s="115">
        <v>4.4999999999999998E-2</v>
      </c>
      <c r="E224" s="115">
        <v>0.14199999999999999</v>
      </c>
      <c r="F224" s="115">
        <v>0.32900000000000001</v>
      </c>
      <c r="G224" s="115">
        <v>0.14399999999999999</v>
      </c>
      <c r="H224" s="115">
        <v>0.14599999999999999</v>
      </c>
      <c r="I224" s="115">
        <v>0.14099999999999999</v>
      </c>
      <c r="J224" s="115">
        <v>0.16200000000000001</v>
      </c>
      <c r="K224" s="115">
        <v>0.154</v>
      </c>
      <c r="L224" s="115">
        <v>0.14499999999999999</v>
      </c>
      <c r="M224" s="115">
        <v>0.13700000000000001</v>
      </c>
      <c r="N224" s="115">
        <v>0.13400000000000001</v>
      </c>
      <c r="O224" s="115">
        <v>0.124</v>
      </c>
      <c r="P224" s="115">
        <v>0.13</v>
      </c>
      <c r="Q224" s="115">
        <v>0.11799999999999999</v>
      </c>
      <c r="R224" s="115">
        <v>0.115</v>
      </c>
      <c r="S224" s="115">
        <v>0.879</v>
      </c>
      <c r="T224" s="115">
        <v>-0.61599999999999999</v>
      </c>
      <c r="U224" s="115">
        <v>0.105</v>
      </c>
      <c r="V224" s="115">
        <v>0.106</v>
      </c>
      <c r="W224" s="115">
        <v>0.104</v>
      </c>
      <c r="X224" s="115">
        <v>0.106</v>
      </c>
      <c r="Y224" s="115">
        <v>9.9000000000000005E-2</v>
      </c>
      <c r="Z224" s="115">
        <v>9.9000000000000005E-2</v>
      </c>
      <c r="AA224" s="115">
        <v>0.1</v>
      </c>
      <c r="AB224" s="115">
        <v>0.10100000000000001</v>
      </c>
      <c r="AC224" s="115">
        <v>0.10199999999999999</v>
      </c>
      <c r="AD224" s="43"/>
      <c r="AE224" s="43"/>
      <c r="AF224" s="43"/>
      <c r="AG224" s="43"/>
      <c r="AH224" s="43"/>
      <c r="AI224" s="43"/>
    </row>
    <row r="225" spans="1:35" x14ac:dyDescent="0.25">
      <c r="A225" s="115" t="s">
        <v>667</v>
      </c>
      <c r="B225" s="115"/>
      <c r="C225" s="115">
        <v>5.9809999999999999</v>
      </c>
      <c r="D225" s="115">
        <v>4.5019999999999998</v>
      </c>
      <c r="E225" s="115">
        <v>4.5780000000000003</v>
      </c>
      <c r="F225" s="115">
        <v>5.1989999999999998</v>
      </c>
      <c r="G225" s="115">
        <v>4.6580000000000004</v>
      </c>
      <c r="H225" s="115">
        <v>4.0670000000000002</v>
      </c>
      <c r="I225" s="115">
        <v>4.0330000000000004</v>
      </c>
      <c r="J225" s="115">
        <v>5.1660000000000004</v>
      </c>
      <c r="K225" s="115">
        <v>4.6470000000000002</v>
      </c>
      <c r="L225" s="115">
        <v>4.5679999999999996</v>
      </c>
      <c r="M225" s="115">
        <v>4.5469999999999997</v>
      </c>
      <c r="N225" s="115">
        <v>4.5149999999999997</v>
      </c>
      <c r="O225" s="115">
        <v>3.528</v>
      </c>
      <c r="P225" s="115">
        <v>4.04</v>
      </c>
      <c r="Q225" s="115">
        <v>3.9510000000000001</v>
      </c>
      <c r="R225" s="115">
        <v>3.4609999999999999</v>
      </c>
      <c r="S225" s="115">
        <v>4.33</v>
      </c>
      <c r="T225" s="115">
        <v>3.2229999999999999</v>
      </c>
      <c r="U225" s="115">
        <v>3.052</v>
      </c>
      <c r="V225" s="115">
        <v>2.621</v>
      </c>
      <c r="W225" s="115">
        <v>1.8029999999999999</v>
      </c>
      <c r="X225" s="115">
        <v>1.599</v>
      </c>
      <c r="Y225" s="115">
        <v>1.726</v>
      </c>
      <c r="Z225" s="115">
        <v>1.45</v>
      </c>
      <c r="AA225" s="115">
        <v>1.4</v>
      </c>
      <c r="AB225" s="115">
        <v>1.3640000000000001</v>
      </c>
      <c r="AC225" s="115">
        <v>1.3220000000000001</v>
      </c>
      <c r="AD225" s="43"/>
      <c r="AE225" s="43"/>
      <c r="AF225" s="43"/>
      <c r="AG225" s="43"/>
      <c r="AH225" s="43"/>
      <c r="AI225" s="43"/>
    </row>
    <row r="226" spans="1:35" x14ac:dyDescent="0.25">
      <c r="A226" s="115" t="s">
        <v>238</v>
      </c>
      <c r="B226" s="115"/>
      <c r="C226" s="115">
        <v>1.1990000000000001</v>
      </c>
      <c r="D226" s="115">
        <v>-0.02</v>
      </c>
      <c r="E226" s="115">
        <v>1.514</v>
      </c>
      <c r="F226" s="115">
        <v>3.6480000000000001</v>
      </c>
      <c r="G226" s="115">
        <v>1.444</v>
      </c>
      <c r="H226" s="115">
        <v>1.415</v>
      </c>
      <c r="I226" s="115">
        <v>1.32</v>
      </c>
      <c r="J226" s="115">
        <v>1.496</v>
      </c>
      <c r="K226" s="115">
        <v>1.375</v>
      </c>
      <c r="L226" s="115">
        <v>1.2470000000000001</v>
      </c>
      <c r="M226" s="115">
        <v>1.139</v>
      </c>
      <c r="N226" s="115">
        <v>1.0760000000000001</v>
      </c>
      <c r="O226" s="115">
        <v>0.95799999999999996</v>
      </c>
      <c r="P226" s="115">
        <v>0.94799999999999995</v>
      </c>
      <c r="Q226" s="115">
        <v>0.86</v>
      </c>
      <c r="R226" s="115">
        <v>0.81</v>
      </c>
      <c r="S226" s="115">
        <v>6.3680000000000003</v>
      </c>
      <c r="T226" s="115">
        <v>-4.3719999999999999</v>
      </c>
      <c r="U226" s="115">
        <v>0.67500000000000004</v>
      </c>
      <c r="V226" s="115">
        <v>0.66400000000000003</v>
      </c>
      <c r="W226" s="115">
        <v>0.63900000000000001</v>
      </c>
      <c r="X226" s="115">
        <v>0.63</v>
      </c>
      <c r="Y226" s="115">
        <v>0.57299999999999995</v>
      </c>
      <c r="Z226" s="115">
        <v>0.56299999999999994</v>
      </c>
      <c r="AA226" s="115">
        <v>0.55400000000000005</v>
      </c>
      <c r="AB226" s="115">
        <v>0.54500000000000004</v>
      </c>
      <c r="AC226" s="115">
        <v>0.53500000000000003</v>
      </c>
      <c r="AD226" s="43"/>
      <c r="AE226" s="43"/>
      <c r="AF226" s="43"/>
      <c r="AG226" s="43"/>
      <c r="AH226" s="43"/>
      <c r="AI226" s="43"/>
    </row>
    <row r="227" spans="1:35" x14ac:dyDescent="0.25">
      <c r="A227" s="115" t="s">
        <v>668</v>
      </c>
      <c r="B227" s="115"/>
      <c r="C227" s="115">
        <v>2.5000000000000001E-2</v>
      </c>
      <c r="D227" s="115">
        <v>1.4999999999999999E-2</v>
      </c>
      <c r="E227" s="115">
        <v>2.1999999999999999E-2</v>
      </c>
      <c r="F227" s="115">
        <v>3.4000000000000002E-2</v>
      </c>
      <c r="G227" s="115">
        <v>2.4E-2</v>
      </c>
      <c r="H227" s="115">
        <v>2.1000000000000001E-2</v>
      </c>
      <c r="I227" s="115">
        <v>2.1999999999999999E-2</v>
      </c>
      <c r="J227" s="115">
        <v>2.9000000000000001E-2</v>
      </c>
      <c r="K227" s="115">
        <v>2.5999999999999999E-2</v>
      </c>
      <c r="L227" s="115">
        <v>2.5999999999999999E-2</v>
      </c>
      <c r="M227" s="115">
        <v>2.5999999999999999E-2</v>
      </c>
      <c r="N227" s="115">
        <v>2.7E-2</v>
      </c>
      <c r="O227" s="115">
        <v>2.1999999999999999E-2</v>
      </c>
      <c r="P227" s="115">
        <v>2.5000000000000001E-2</v>
      </c>
      <c r="Q227" s="115">
        <v>2.5000000000000001E-2</v>
      </c>
      <c r="R227" s="115">
        <v>2.1999999999999999E-2</v>
      </c>
      <c r="S227" s="115">
        <v>6.2E-2</v>
      </c>
      <c r="T227" s="115">
        <v>-6.0000000000000001E-3</v>
      </c>
      <c r="U227" s="115">
        <v>2.4E-2</v>
      </c>
      <c r="V227" s="115">
        <v>2.1999999999999999E-2</v>
      </c>
      <c r="W227" s="115">
        <v>1.7000000000000001E-2</v>
      </c>
      <c r="X227" s="115">
        <v>1.6E-2</v>
      </c>
      <c r="Y227" s="115">
        <v>1.7000000000000001E-2</v>
      </c>
      <c r="Z227" s="115">
        <v>1.4999999999999999E-2</v>
      </c>
      <c r="AA227" s="115">
        <v>1.4999999999999999E-2</v>
      </c>
      <c r="AB227" s="115">
        <v>1.4999999999999999E-2</v>
      </c>
      <c r="AC227" s="115">
        <v>1.4999999999999999E-2</v>
      </c>
      <c r="AD227" s="43"/>
      <c r="AE227" s="43"/>
      <c r="AF227" s="43"/>
      <c r="AG227" s="43"/>
      <c r="AH227" s="43"/>
      <c r="AI227" s="43"/>
    </row>
    <row r="228" spans="1:35" x14ac:dyDescent="0.25">
      <c r="A228" s="115" t="s">
        <v>239</v>
      </c>
      <c r="B228" s="115"/>
      <c r="C228" s="115">
        <v>6.6120000000000001</v>
      </c>
      <c r="D228" s="115">
        <v>3.8929999999999998</v>
      </c>
      <c r="E228" s="115">
        <v>5.5170000000000003</v>
      </c>
      <c r="F228" s="115">
        <v>8.2870000000000008</v>
      </c>
      <c r="G228" s="115">
        <v>5.556</v>
      </c>
      <c r="H228" s="115">
        <v>4.9489999999999998</v>
      </c>
      <c r="I228" s="115">
        <v>4.9809999999999999</v>
      </c>
      <c r="J228" s="115">
        <v>6.3010000000000002</v>
      </c>
      <c r="K228" s="115">
        <v>5.6779999999999999</v>
      </c>
      <c r="L228" s="115">
        <v>5.4850000000000003</v>
      </c>
      <c r="M228" s="115">
        <v>5.3710000000000004</v>
      </c>
      <c r="N228" s="115">
        <v>5.29</v>
      </c>
      <c r="O228" s="115">
        <v>4.1980000000000004</v>
      </c>
      <c r="P228" s="115">
        <v>4.7149999999999999</v>
      </c>
      <c r="Q228" s="115">
        <v>4.5510000000000002</v>
      </c>
      <c r="R228" s="115">
        <v>4.024</v>
      </c>
      <c r="S228" s="115">
        <v>10.868</v>
      </c>
      <c r="T228" s="115">
        <v>-1.006</v>
      </c>
      <c r="U228" s="115">
        <v>3.9060000000000001</v>
      </c>
      <c r="V228" s="115">
        <v>3.48</v>
      </c>
      <c r="W228" s="115">
        <v>2.653</v>
      </c>
      <c r="X228" s="115">
        <v>2.4470000000000001</v>
      </c>
      <c r="Y228" s="115">
        <v>2.5270000000000001</v>
      </c>
      <c r="Z228" s="115">
        <v>2.2490000000000001</v>
      </c>
      <c r="AA228" s="115">
        <v>2.198</v>
      </c>
      <c r="AB228" s="115">
        <v>2.16</v>
      </c>
      <c r="AC228" s="115">
        <v>2.2029999999999998</v>
      </c>
      <c r="AD228" s="43"/>
      <c r="AE228" s="43"/>
      <c r="AF228" s="43"/>
      <c r="AG228" s="43"/>
      <c r="AH228" s="43"/>
      <c r="AI228" s="43"/>
    </row>
    <row r="229" spans="1:35" x14ac:dyDescent="0.25">
      <c r="A229" s="115" t="s">
        <v>572</v>
      </c>
      <c r="B229" s="115">
        <v>127.754</v>
      </c>
      <c r="C229" s="115">
        <v>122.875</v>
      </c>
      <c r="D229" s="115">
        <v>118.952</v>
      </c>
      <c r="E229" s="115">
        <v>114.916</v>
      </c>
      <c r="F229" s="115">
        <v>110.565</v>
      </c>
      <c r="G229" s="115">
        <v>106.524</v>
      </c>
      <c r="H229" s="115">
        <v>102.792</v>
      </c>
      <c r="I229" s="115">
        <v>99.266000000000005</v>
      </c>
      <c r="J229" s="115">
        <v>95.316999999999993</v>
      </c>
      <c r="K229" s="115">
        <v>91.578999999999994</v>
      </c>
      <c r="L229" s="115">
        <v>87.98</v>
      </c>
      <c r="M229" s="115">
        <v>84.498999999999995</v>
      </c>
      <c r="N229" s="115">
        <v>81.132999999999996</v>
      </c>
      <c r="O229" s="115">
        <v>78.438000000000002</v>
      </c>
      <c r="P229" s="115">
        <v>75.573999999999998</v>
      </c>
      <c r="Q229" s="115">
        <v>72.828000000000003</v>
      </c>
      <c r="R229" s="115">
        <v>70.403999999999996</v>
      </c>
      <c r="S229" s="115">
        <v>67.400999999999996</v>
      </c>
      <c r="T229" s="115">
        <v>65.299000000000007</v>
      </c>
      <c r="U229" s="115">
        <v>63.292000000000002</v>
      </c>
      <c r="V229" s="115">
        <v>61.517000000000003</v>
      </c>
      <c r="W229" s="115">
        <v>60.189</v>
      </c>
      <c r="X229" s="115">
        <v>58.969000000000001</v>
      </c>
      <c r="Y229" s="115">
        <v>57.683999999999997</v>
      </c>
      <c r="Z229" s="115">
        <v>56.548000000000002</v>
      </c>
      <c r="AA229" s="115">
        <v>55.44</v>
      </c>
      <c r="AB229" s="115">
        <v>54.353999999999999</v>
      </c>
      <c r="AC229" s="115">
        <v>53.268999999999998</v>
      </c>
      <c r="AD229" s="43"/>
      <c r="AE229" s="43"/>
      <c r="AF229" s="43"/>
      <c r="AG229" s="43"/>
      <c r="AH229" s="43"/>
      <c r="AI229" s="43"/>
    </row>
    <row r="230" spans="1:35" x14ac:dyDescent="0.25">
      <c r="A230" s="115" t="s">
        <v>571</v>
      </c>
      <c r="B230" s="115">
        <v>331.37200000000001</v>
      </c>
      <c r="C230" s="115">
        <v>321.274</v>
      </c>
      <c r="D230" s="115">
        <v>314.03199999999998</v>
      </c>
      <c r="E230" s="115">
        <v>306.28800000000001</v>
      </c>
      <c r="F230" s="115">
        <v>297.488</v>
      </c>
      <c r="G230" s="115">
        <v>289.30799999999999</v>
      </c>
      <c r="H230" s="115">
        <v>281.77100000000002</v>
      </c>
      <c r="I230" s="115">
        <v>273.74099999999999</v>
      </c>
      <c r="J230" s="115">
        <v>264.42099999999999</v>
      </c>
      <c r="K230" s="115">
        <v>255.559</v>
      </c>
      <c r="L230" s="115">
        <v>246.959</v>
      </c>
      <c r="M230" s="115">
        <v>238.57400000000001</v>
      </c>
      <c r="N230" s="115">
        <v>230.399</v>
      </c>
      <c r="O230" s="115">
        <v>224.02699999999999</v>
      </c>
      <c r="P230" s="115">
        <v>217.084</v>
      </c>
      <c r="Q230" s="115">
        <v>210.38200000000001</v>
      </c>
      <c r="R230" s="115">
        <v>204.52600000000001</v>
      </c>
      <c r="S230" s="115">
        <v>196.08799999999999</v>
      </c>
      <c r="T230" s="115">
        <v>190.249</v>
      </c>
      <c r="U230" s="115">
        <v>184.67</v>
      </c>
      <c r="V230" s="115">
        <v>179.75</v>
      </c>
      <c r="W230" s="115">
        <v>176.12299999999999</v>
      </c>
      <c r="X230" s="115">
        <v>172.79900000000001</v>
      </c>
      <c r="Y230" s="115">
        <v>169.27500000000001</v>
      </c>
      <c r="Z230" s="115">
        <v>166.17599999999999</v>
      </c>
      <c r="AA230" s="115">
        <v>163.15</v>
      </c>
      <c r="AB230" s="115">
        <v>160.17599999999999</v>
      </c>
      <c r="AC230" s="115">
        <v>157.13999999999999</v>
      </c>
      <c r="AD230" s="43"/>
      <c r="AE230" s="43"/>
      <c r="AF230" s="43"/>
      <c r="AG230" s="43"/>
      <c r="AH230" s="43"/>
      <c r="AI230" s="43"/>
    </row>
    <row r="231" spans="1:35" x14ac:dyDescent="0.25">
      <c r="A231" s="115" t="s">
        <v>640</v>
      </c>
      <c r="B231" s="115"/>
      <c r="C231" s="115">
        <v>1.7070000000000001</v>
      </c>
      <c r="D231" s="115">
        <v>1.0620000000000001</v>
      </c>
      <c r="E231" s="115">
        <v>1.43</v>
      </c>
      <c r="F231" s="115">
        <v>1.0780000000000001</v>
      </c>
      <c r="G231" s="115">
        <v>1.05</v>
      </c>
      <c r="H231" s="115">
        <v>1.0669999999999999</v>
      </c>
      <c r="I231" s="115">
        <v>1.341</v>
      </c>
      <c r="J231" s="115">
        <v>1.0409999999999999</v>
      </c>
      <c r="K231" s="115">
        <v>1.107</v>
      </c>
      <c r="L231" s="115">
        <v>0.89900000000000002</v>
      </c>
      <c r="M231" s="115">
        <v>0.69599999999999995</v>
      </c>
      <c r="N231" s="115">
        <v>0.5</v>
      </c>
      <c r="O231" s="115">
        <v>1.103</v>
      </c>
      <c r="P231" s="115">
        <v>1.0669999999999999</v>
      </c>
      <c r="Q231" s="115">
        <v>0.91200000000000003</v>
      </c>
      <c r="R231" s="115">
        <v>1.016</v>
      </c>
      <c r="S231" s="115">
        <v>0.71699999999999997</v>
      </c>
      <c r="T231" s="115">
        <v>0.88900000000000001</v>
      </c>
      <c r="U231" s="115">
        <v>0.82299999999999995</v>
      </c>
      <c r="V231" s="115">
        <v>0.86</v>
      </c>
      <c r="W231" s="115">
        <v>6.6000000000000003E-2</v>
      </c>
      <c r="X231" s="115">
        <v>0.311</v>
      </c>
      <c r="Y231" s="115">
        <v>6.9000000000000006E-2</v>
      </c>
      <c r="Z231" s="115">
        <v>0.20300000000000001</v>
      </c>
      <c r="AA231" s="115">
        <v>0.106</v>
      </c>
      <c r="AB231" s="115">
        <v>0</v>
      </c>
      <c r="AC231" s="115">
        <v>-8.8999999999999996E-2</v>
      </c>
      <c r="AD231" s="43"/>
      <c r="AE231" s="43"/>
      <c r="AF231" s="43"/>
      <c r="AG231" s="43"/>
      <c r="AH231" s="43"/>
      <c r="AI231" s="43"/>
    </row>
    <row r="232" spans="1:35" x14ac:dyDescent="0.25">
      <c r="A232" s="115" t="s">
        <v>595</v>
      </c>
      <c r="B232" s="115">
        <v>1.377</v>
      </c>
      <c r="C232" s="115">
        <v>2.452</v>
      </c>
      <c r="D232" s="115">
        <v>3.9390000000000001</v>
      </c>
      <c r="E232" s="115">
        <v>5.3659999999999997</v>
      </c>
      <c r="F232" s="115">
        <v>6.923</v>
      </c>
      <c r="G232" s="115">
        <v>8.4190000000000005</v>
      </c>
      <c r="H232" s="115">
        <v>9.8490000000000002</v>
      </c>
      <c r="I232" s="115">
        <v>11.208</v>
      </c>
      <c r="J232" s="115">
        <v>12.677</v>
      </c>
      <c r="K232" s="115">
        <v>14.074999999999999</v>
      </c>
      <c r="L232" s="115">
        <v>15.499000000000001</v>
      </c>
      <c r="M232" s="115">
        <v>16.949000000000002</v>
      </c>
      <c r="N232" s="115">
        <v>18.422999999999998</v>
      </c>
      <c r="O232" s="115">
        <v>19.501000000000001</v>
      </c>
      <c r="P232" s="115">
        <v>20.6</v>
      </c>
      <c r="Q232" s="115">
        <v>21.704999999999998</v>
      </c>
      <c r="R232" s="115">
        <v>22.670999999999999</v>
      </c>
      <c r="S232" s="115">
        <v>23.704999999999998</v>
      </c>
      <c r="T232" s="115">
        <v>24.568999999999999</v>
      </c>
      <c r="U232" s="115">
        <v>25.405999999999999</v>
      </c>
      <c r="V232" s="115">
        <v>26.151</v>
      </c>
      <c r="W232" s="115">
        <v>26.823</v>
      </c>
      <c r="X232" s="115">
        <v>27.132000000000001</v>
      </c>
      <c r="Y232" s="115">
        <v>27.501000000000001</v>
      </c>
      <c r="Z232" s="115">
        <v>27.808</v>
      </c>
      <c r="AA232" s="115">
        <v>28.113</v>
      </c>
      <c r="AB232" s="115">
        <v>28.420999999999999</v>
      </c>
      <c r="AC232" s="115">
        <v>28.721</v>
      </c>
      <c r="AD232" s="43"/>
      <c r="AE232" s="43"/>
      <c r="AF232" s="43"/>
      <c r="AG232" s="43"/>
      <c r="AH232" s="43"/>
      <c r="AI232" s="43"/>
    </row>
    <row r="233" spans="1:35" x14ac:dyDescent="0.25">
      <c r="A233" s="115" t="s">
        <v>596</v>
      </c>
      <c r="B233" s="115">
        <v>5.508</v>
      </c>
      <c r="C233" s="115">
        <v>6.8170000000000002</v>
      </c>
      <c r="D233" s="115">
        <v>7.3470000000000004</v>
      </c>
      <c r="E233" s="115">
        <v>7.86</v>
      </c>
      <c r="F233" s="115">
        <v>8.4329999999999998</v>
      </c>
      <c r="G233" s="115">
        <v>8.9879999999999995</v>
      </c>
      <c r="H233" s="115">
        <v>9.5239999999999991</v>
      </c>
      <c r="I233" s="115">
        <v>9.9909999999999997</v>
      </c>
      <c r="J233" s="115">
        <v>10.507999999999999</v>
      </c>
      <c r="K233" s="115">
        <v>11.003</v>
      </c>
      <c r="L233" s="115">
        <v>11.515000000000001</v>
      </c>
      <c r="M233" s="115">
        <v>12.044</v>
      </c>
      <c r="N233" s="115">
        <v>12.590999999999999</v>
      </c>
      <c r="O233" s="115">
        <v>12.95</v>
      </c>
      <c r="P233" s="115">
        <v>13.319000000000001</v>
      </c>
      <c r="Q233" s="115">
        <v>13.691000000000001</v>
      </c>
      <c r="R233" s="115">
        <v>13.999000000000001</v>
      </c>
      <c r="S233" s="115">
        <v>14.305999999999999</v>
      </c>
      <c r="T233" s="115">
        <v>14.538</v>
      </c>
      <c r="U233" s="115">
        <v>14.76</v>
      </c>
      <c r="V233" s="115">
        <v>14.941000000000001</v>
      </c>
      <c r="W233" s="115">
        <v>14.714</v>
      </c>
      <c r="X233" s="115">
        <v>14.805</v>
      </c>
      <c r="Y233" s="115">
        <v>14.917999999999999</v>
      </c>
      <c r="Z233" s="115">
        <v>14.992000000000001</v>
      </c>
      <c r="AA233" s="115">
        <v>15.061999999999999</v>
      </c>
      <c r="AB233" s="115">
        <v>15.129</v>
      </c>
      <c r="AC233" s="115">
        <v>15.186999999999999</v>
      </c>
      <c r="AD233" s="43"/>
      <c r="AE233" s="43"/>
      <c r="AF233" s="43"/>
      <c r="AG233" s="43"/>
      <c r="AH233" s="43"/>
      <c r="AI233" s="43"/>
    </row>
    <row r="234" spans="1:35" x14ac:dyDescent="0.25">
      <c r="A234" s="115" t="s">
        <v>597</v>
      </c>
      <c r="B234" s="115">
        <v>68.760000000000005</v>
      </c>
      <c r="C234" s="115">
        <v>64.728999999999999</v>
      </c>
      <c r="D234" s="115">
        <v>61.764000000000003</v>
      </c>
      <c r="E234" s="115">
        <v>58.509</v>
      </c>
      <c r="F234" s="115">
        <v>55.414999999999999</v>
      </c>
      <c r="G234" s="115">
        <v>52.43</v>
      </c>
      <c r="H234" s="115">
        <v>49.51</v>
      </c>
      <c r="I234" s="115">
        <v>46.363999999999997</v>
      </c>
      <c r="J234" s="115">
        <v>43.36</v>
      </c>
      <c r="K234" s="115">
        <v>40.375999999999998</v>
      </c>
      <c r="L234" s="115">
        <v>37.555</v>
      </c>
      <c r="M234" s="115">
        <v>34.887</v>
      </c>
      <c r="N234" s="115">
        <v>32.368000000000002</v>
      </c>
      <c r="O234" s="115">
        <v>29.821999999999999</v>
      </c>
      <c r="P234" s="115">
        <v>27.282</v>
      </c>
      <c r="Q234" s="115">
        <v>24.890999999999998</v>
      </c>
      <c r="R234" s="115">
        <v>22.596</v>
      </c>
      <c r="S234" s="115">
        <v>20.379000000000001</v>
      </c>
      <c r="T234" s="115">
        <v>18.225000000000001</v>
      </c>
      <c r="U234" s="115">
        <v>16.184999999999999</v>
      </c>
      <c r="V234" s="115">
        <v>14.246</v>
      </c>
      <c r="W234" s="115">
        <v>13.592000000000001</v>
      </c>
      <c r="X234" s="115">
        <v>12.736000000000001</v>
      </c>
      <c r="Y234" s="115">
        <v>12.042999999999999</v>
      </c>
      <c r="Z234" s="115">
        <v>11.316000000000001</v>
      </c>
      <c r="AA234" s="115">
        <v>10.692</v>
      </c>
      <c r="AB234" s="115">
        <v>10.175000000000001</v>
      </c>
      <c r="AC234" s="115">
        <v>9.7249999999999996</v>
      </c>
      <c r="AD234" s="43"/>
      <c r="AE234" s="43"/>
      <c r="AF234" s="43"/>
      <c r="AG234" s="43"/>
      <c r="AH234" s="43"/>
      <c r="AI234" s="43"/>
    </row>
    <row r="235" spans="1:35" x14ac:dyDescent="0.25">
      <c r="A235" s="115" t="s">
        <v>641</v>
      </c>
      <c r="B235" s="115"/>
      <c r="C235" s="115">
        <v>-0.94299999999999995</v>
      </c>
      <c r="D235" s="115">
        <v>0.04</v>
      </c>
      <c r="E235" s="115">
        <v>-1.448</v>
      </c>
      <c r="F235" s="115">
        <v>-0.88200000000000001</v>
      </c>
      <c r="G235" s="115">
        <v>-1.9650000000000001</v>
      </c>
      <c r="H235" s="115">
        <v>-3.173</v>
      </c>
      <c r="I235" s="115">
        <v>-4.2519999999999998</v>
      </c>
      <c r="J235" s="115">
        <v>-2.2360000000000002</v>
      </c>
      <c r="K235" s="115">
        <v>-3.37</v>
      </c>
      <c r="L235" s="115">
        <v>-2.82</v>
      </c>
      <c r="M235" s="115">
        <v>-2.2069999999999999</v>
      </c>
      <c r="N235" s="115">
        <v>-1.6850000000000001</v>
      </c>
      <c r="O235" s="115">
        <v>-1.1859999999999999</v>
      </c>
      <c r="P235" s="115">
        <v>-0.42399999999999999</v>
      </c>
      <c r="Q235" s="115">
        <v>-0.108</v>
      </c>
      <c r="R235" s="115">
        <v>0.19800000000000001</v>
      </c>
      <c r="S235" s="115">
        <v>0.50600000000000001</v>
      </c>
      <c r="T235" s="115">
        <v>0.32</v>
      </c>
      <c r="U235" s="115">
        <v>0.30599999999999999</v>
      </c>
      <c r="V235" s="115">
        <v>0.23699999999999999</v>
      </c>
      <c r="W235" s="115">
        <v>0.23100000000000001</v>
      </c>
      <c r="X235" s="115">
        <v>0.21299999999999999</v>
      </c>
      <c r="Y235" s="115">
        <v>0.192</v>
      </c>
      <c r="Z235" s="115">
        <v>0.17599999999999999</v>
      </c>
      <c r="AA235" s="115">
        <v>0.159</v>
      </c>
      <c r="AB235" s="115">
        <v>0.14299999999999999</v>
      </c>
      <c r="AC235" s="115">
        <v>0.13500000000000001</v>
      </c>
      <c r="AD235" s="43"/>
      <c r="AE235" s="43"/>
      <c r="AF235" s="43"/>
      <c r="AG235" s="43"/>
      <c r="AH235" s="43"/>
      <c r="AI235" s="43"/>
    </row>
    <row r="236" spans="1:35" x14ac:dyDescent="0.25">
      <c r="A236" s="115" t="s">
        <v>598</v>
      </c>
      <c r="B236" s="115">
        <v>12.319000000000001</v>
      </c>
      <c r="C236" s="115">
        <v>13.29</v>
      </c>
      <c r="D236" s="115">
        <v>13.334</v>
      </c>
      <c r="E236" s="115">
        <v>14.865</v>
      </c>
      <c r="F236" s="115">
        <v>15.827999999999999</v>
      </c>
      <c r="G236" s="115">
        <v>17.870999999999999</v>
      </c>
      <c r="H236" s="115">
        <v>21.117999999999999</v>
      </c>
      <c r="I236" s="115">
        <v>25.423999999999999</v>
      </c>
      <c r="J236" s="115">
        <v>27.704000000000001</v>
      </c>
      <c r="K236" s="115">
        <v>31.111000000000001</v>
      </c>
      <c r="L236" s="115">
        <v>33.957000000000001</v>
      </c>
      <c r="M236" s="115">
        <v>36.179000000000002</v>
      </c>
      <c r="N236" s="115">
        <v>37.866</v>
      </c>
      <c r="O236" s="115">
        <v>39.039000000000001</v>
      </c>
      <c r="P236" s="115">
        <v>39.441000000000003</v>
      </c>
      <c r="Q236" s="115">
        <v>39.518999999999998</v>
      </c>
      <c r="R236" s="115">
        <v>39.281999999999996</v>
      </c>
      <c r="S236" s="115">
        <v>38.606999999999999</v>
      </c>
      <c r="T236" s="115">
        <v>38.095999999999997</v>
      </c>
      <c r="U236" s="115">
        <v>37.587000000000003</v>
      </c>
      <c r="V236" s="115">
        <v>37.134999999999998</v>
      </c>
      <c r="W236" s="115">
        <v>36.676000000000002</v>
      </c>
      <c r="X236" s="115">
        <v>36.231000000000002</v>
      </c>
      <c r="Y236" s="115">
        <v>35.798999999999999</v>
      </c>
      <c r="Z236" s="115">
        <v>35.378</v>
      </c>
      <c r="AA236" s="115">
        <v>34.966999999999999</v>
      </c>
      <c r="AB236" s="115">
        <v>34.566000000000003</v>
      </c>
      <c r="AC236" s="115">
        <v>34.134999999999998</v>
      </c>
      <c r="AD236" s="43"/>
      <c r="AE236" s="43"/>
      <c r="AF236" s="43"/>
      <c r="AG236" s="43"/>
      <c r="AH236" s="43"/>
      <c r="AI236" s="43"/>
    </row>
    <row r="237" spans="1:35" x14ac:dyDescent="0.25">
      <c r="A237" s="115" t="s">
        <v>642</v>
      </c>
      <c r="B237" s="115"/>
      <c r="C237" s="115">
        <v>3.5590000000000002</v>
      </c>
      <c r="D237" s="115">
        <v>0.94799999999999995</v>
      </c>
      <c r="E237" s="115">
        <v>2.512</v>
      </c>
      <c r="F237" s="115">
        <v>3.1309999999999998</v>
      </c>
      <c r="G237" s="115">
        <v>3.9279999999999999</v>
      </c>
      <c r="H237" s="115">
        <v>4.7469999999999999</v>
      </c>
      <c r="I237" s="115">
        <v>5.9740000000000002</v>
      </c>
      <c r="J237" s="115">
        <v>5.6589999999999998</v>
      </c>
      <c r="K237" s="115">
        <v>6.4619999999999997</v>
      </c>
      <c r="L237" s="115">
        <v>6.1280000000000001</v>
      </c>
      <c r="M237" s="115">
        <v>5.7519999999999998</v>
      </c>
      <c r="N237" s="115">
        <v>5.444</v>
      </c>
      <c r="O237" s="115">
        <v>6.1230000000000002</v>
      </c>
      <c r="P237" s="115">
        <v>5.9450000000000003</v>
      </c>
      <c r="Q237" s="115">
        <v>5.5540000000000003</v>
      </c>
      <c r="R237" s="115">
        <v>4.2809999999999997</v>
      </c>
      <c r="S237" s="115">
        <v>6.38</v>
      </c>
      <c r="T237" s="115">
        <v>3.798</v>
      </c>
      <c r="U237" s="115">
        <v>3.6179999999999999</v>
      </c>
      <c r="V237" s="115">
        <v>2.9809999999999999</v>
      </c>
      <c r="W237" s="115">
        <v>2.4279999999999999</v>
      </c>
      <c r="X237" s="115">
        <v>1.9019999999999999</v>
      </c>
      <c r="Y237" s="115">
        <v>2.3809999999999998</v>
      </c>
      <c r="Z237" s="115">
        <v>1.8340000000000001</v>
      </c>
      <c r="AA237" s="115">
        <v>1.88</v>
      </c>
      <c r="AB237" s="115">
        <v>1.956</v>
      </c>
      <c r="AC237" s="115">
        <v>1.996</v>
      </c>
      <c r="AD237" s="43"/>
      <c r="AE237" s="43"/>
      <c r="AF237" s="43"/>
      <c r="AG237" s="43"/>
      <c r="AH237" s="43"/>
      <c r="AI237" s="43"/>
    </row>
    <row r="238" spans="1:35" x14ac:dyDescent="0.25">
      <c r="A238" s="115" t="s">
        <v>599</v>
      </c>
      <c r="B238" s="115">
        <v>144.13499999999999</v>
      </c>
      <c r="C238" s="115">
        <v>140.471</v>
      </c>
      <c r="D238" s="115">
        <v>139.321</v>
      </c>
      <c r="E238" s="115">
        <v>136.59800000000001</v>
      </c>
      <c r="F238" s="115">
        <v>133.251</v>
      </c>
      <c r="G238" s="115">
        <v>129.1</v>
      </c>
      <c r="H238" s="115">
        <v>124.125</v>
      </c>
      <c r="I238" s="115">
        <v>117.92</v>
      </c>
      <c r="J238" s="115">
        <v>112.033</v>
      </c>
      <c r="K238" s="115">
        <v>105.339</v>
      </c>
      <c r="L238" s="115">
        <v>98.977999999999994</v>
      </c>
      <c r="M238" s="115">
        <v>92.992999999999995</v>
      </c>
      <c r="N238" s="115">
        <v>87.313999999999993</v>
      </c>
      <c r="O238" s="115">
        <v>80.953999999999994</v>
      </c>
      <c r="P238" s="115">
        <v>74.78</v>
      </c>
      <c r="Q238" s="115">
        <v>69.006</v>
      </c>
      <c r="R238" s="115">
        <v>64.513000000000005</v>
      </c>
      <c r="S238" s="115">
        <v>57.823</v>
      </c>
      <c r="T238" s="115">
        <v>53.774000000000001</v>
      </c>
      <c r="U238" s="115">
        <v>49.911000000000001</v>
      </c>
      <c r="V238" s="115">
        <v>46.692</v>
      </c>
      <c r="W238" s="115">
        <v>44.030999999999999</v>
      </c>
      <c r="X238" s="115">
        <v>41.905999999999999</v>
      </c>
      <c r="Y238" s="115">
        <v>39.308999999999997</v>
      </c>
      <c r="Z238" s="115">
        <v>37.268999999999998</v>
      </c>
      <c r="AA238" s="115">
        <v>35.192</v>
      </c>
      <c r="AB238" s="115">
        <v>33.046999999999997</v>
      </c>
      <c r="AC238" s="115">
        <v>30.85</v>
      </c>
      <c r="AD238" s="43"/>
      <c r="AE238" s="43"/>
      <c r="AF238" s="43"/>
      <c r="AG238" s="43"/>
      <c r="AH238" s="43"/>
      <c r="AI238" s="43"/>
    </row>
    <row r="239" spans="1:35" x14ac:dyDescent="0.25">
      <c r="A239" s="115" t="s">
        <v>643</v>
      </c>
      <c r="B239" s="115"/>
      <c r="C239" s="115">
        <v>5.8869999999999996</v>
      </c>
      <c r="D239" s="115">
        <v>5.1719999999999997</v>
      </c>
      <c r="E239" s="115">
        <v>5.1609999999999996</v>
      </c>
      <c r="F239" s="115">
        <v>5.3970000000000002</v>
      </c>
      <c r="G239" s="115">
        <v>5.1059999999999999</v>
      </c>
      <c r="H239" s="115">
        <v>4.8499999999999996</v>
      </c>
      <c r="I239" s="115">
        <v>4.6660000000000004</v>
      </c>
      <c r="J239" s="115">
        <v>4.5449999999999999</v>
      </c>
      <c r="K239" s="115">
        <v>4.3630000000000004</v>
      </c>
      <c r="L239" s="115">
        <v>4.1050000000000004</v>
      </c>
      <c r="M239" s="115">
        <v>3.8679999999999999</v>
      </c>
      <c r="N239" s="115">
        <v>3.6539999999999999</v>
      </c>
      <c r="O239" s="115">
        <v>0</v>
      </c>
      <c r="P239" s="115">
        <v>0</v>
      </c>
      <c r="Q239" s="115">
        <v>0</v>
      </c>
      <c r="R239" s="115">
        <v>0</v>
      </c>
      <c r="S239" s="115">
        <v>0</v>
      </c>
      <c r="T239" s="115">
        <v>0</v>
      </c>
      <c r="U239" s="115">
        <v>0</v>
      </c>
      <c r="V239" s="115">
        <v>0</v>
      </c>
      <c r="W239" s="115">
        <v>0</v>
      </c>
      <c r="X239" s="115">
        <v>0</v>
      </c>
      <c r="Y239" s="115">
        <v>0</v>
      </c>
      <c r="Z239" s="115">
        <v>0</v>
      </c>
      <c r="AA239" s="115">
        <v>0</v>
      </c>
      <c r="AB239" s="115">
        <v>0</v>
      </c>
      <c r="AC239" s="115">
        <v>0</v>
      </c>
      <c r="AD239" s="43"/>
      <c r="AE239" s="43"/>
      <c r="AF239" s="43"/>
      <c r="AG239" s="43"/>
      <c r="AH239" s="43"/>
      <c r="AI239" s="43"/>
    </row>
    <row r="240" spans="1:35" x14ac:dyDescent="0.25">
      <c r="A240" s="115" t="s">
        <v>600</v>
      </c>
      <c r="B240" s="115">
        <v>58.136000000000003</v>
      </c>
      <c r="C240" s="115">
        <v>52.079000000000001</v>
      </c>
      <c r="D240" s="115">
        <v>46.744</v>
      </c>
      <c r="E240" s="115">
        <v>41.427999999999997</v>
      </c>
      <c r="F240" s="115">
        <v>35.884</v>
      </c>
      <c r="G240" s="115">
        <v>30.64</v>
      </c>
      <c r="H240" s="115">
        <v>25.664000000000001</v>
      </c>
      <c r="I240" s="115">
        <v>20.882999999999999</v>
      </c>
      <c r="J240" s="115">
        <v>16.236999999999998</v>
      </c>
      <c r="K240" s="115">
        <v>11.785</v>
      </c>
      <c r="L240" s="115">
        <v>7.6059999999999999</v>
      </c>
      <c r="M240" s="115">
        <v>3.6840000000000002</v>
      </c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43"/>
      <c r="AE240" s="43"/>
      <c r="AF240" s="43"/>
      <c r="AG240" s="43"/>
      <c r="AH240" s="43"/>
      <c r="AI240" s="43"/>
    </row>
    <row r="241" spans="1:35" x14ac:dyDescent="0.25">
      <c r="A241" s="115" t="s">
        <v>639</v>
      </c>
      <c r="B241" s="115"/>
      <c r="C241" s="115">
        <v>9.9190000000000005</v>
      </c>
      <c r="D241" s="115">
        <v>7.0880000000000001</v>
      </c>
      <c r="E241" s="115">
        <v>7.5869999999999997</v>
      </c>
      <c r="F241" s="115">
        <v>8.6389999999999993</v>
      </c>
      <c r="G241" s="115">
        <v>8.0180000000000007</v>
      </c>
      <c r="H241" s="115">
        <v>7.3739999999999997</v>
      </c>
      <c r="I241" s="115">
        <v>7.74</v>
      </c>
      <c r="J241" s="115">
        <v>9.0310000000000006</v>
      </c>
      <c r="K241" s="115">
        <v>8.5690000000000008</v>
      </c>
      <c r="L241" s="115">
        <v>8.3010000000000002</v>
      </c>
      <c r="M241" s="115">
        <v>8.0820000000000007</v>
      </c>
      <c r="N241" s="115">
        <v>7.8710000000000004</v>
      </c>
      <c r="O241" s="115">
        <v>6.0679999999999996</v>
      </c>
      <c r="P241" s="115">
        <v>6.6340000000000003</v>
      </c>
      <c r="Q241" s="115">
        <v>6.3860000000000001</v>
      </c>
      <c r="R241" s="115">
        <v>5.5359999999999996</v>
      </c>
      <c r="S241" s="115">
        <v>7.6680000000000001</v>
      </c>
      <c r="T241" s="115">
        <v>5.0810000000000004</v>
      </c>
      <c r="U241" s="115">
        <v>4.8099999999999996</v>
      </c>
      <c r="V241" s="115">
        <v>4.1420000000000003</v>
      </c>
      <c r="W241" s="115">
        <v>2.8370000000000002</v>
      </c>
      <c r="X241" s="115">
        <v>2.5299999999999998</v>
      </c>
      <c r="Y241" s="115">
        <v>2.7229999999999999</v>
      </c>
      <c r="Z241" s="115">
        <v>2.2949999999999999</v>
      </c>
      <c r="AA241" s="115">
        <v>2.2160000000000002</v>
      </c>
      <c r="AB241" s="115">
        <v>2.1589999999999998</v>
      </c>
      <c r="AC241" s="115">
        <v>2.0910000000000002</v>
      </c>
      <c r="AD241" s="43"/>
      <c r="AE241" s="43"/>
      <c r="AF241" s="43"/>
      <c r="AG241" s="43"/>
      <c r="AH241" s="43"/>
      <c r="AI241" s="43"/>
    </row>
    <row r="242" spans="1:35" x14ac:dyDescent="0.25">
      <c r="A242" s="115" t="s">
        <v>660</v>
      </c>
      <c r="B242" s="115"/>
      <c r="C242" s="115">
        <v>6.4989999999999997</v>
      </c>
      <c r="D242" s="115">
        <v>5.282</v>
      </c>
      <c r="E242" s="115">
        <v>5.0250000000000004</v>
      </c>
      <c r="F242" s="115">
        <v>5.6779999999999999</v>
      </c>
      <c r="G242" s="115">
        <v>5.4210000000000003</v>
      </c>
      <c r="H242" s="115">
        <v>5.1470000000000002</v>
      </c>
      <c r="I242" s="115">
        <v>4.899</v>
      </c>
      <c r="J242" s="115">
        <v>5.48</v>
      </c>
      <c r="K242" s="115">
        <v>5.1920000000000002</v>
      </c>
      <c r="L242" s="115">
        <v>5.3529999999999998</v>
      </c>
      <c r="M242" s="115">
        <v>5.53</v>
      </c>
      <c r="N242" s="115">
        <v>5.6879999999999997</v>
      </c>
      <c r="O242" s="115">
        <v>3.84</v>
      </c>
      <c r="P242" s="115">
        <v>4.0229999999999997</v>
      </c>
      <c r="Q242" s="115">
        <v>4.0679999999999996</v>
      </c>
      <c r="R242" s="115">
        <v>3.4359999999999999</v>
      </c>
      <c r="S242" s="115">
        <v>4.0510000000000002</v>
      </c>
      <c r="T242" s="115">
        <v>3.2770000000000001</v>
      </c>
      <c r="U242" s="115">
        <v>3.1669999999999998</v>
      </c>
      <c r="V242" s="115">
        <v>2.754</v>
      </c>
      <c r="W242" s="115">
        <v>1.526</v>
      </c>
      <c r="X242" s="115">
        <v>1.323</v>
      </c>
      <c r="Y242" s="115">
        <v>1.617</v>
      </c>
      <c r="Z242" s="115">
        <v>1.2769999999999999</v>
      </c>
      <c r="AA242" s="115">
        <v>1.2789999999999999</v>
      </c>
      <c r="AB242" s="115">
        <v>1.298</v>
      </c>
      <c r="AC242" s="115">
        <v>1.3</v>
      </c>
      <c r="AD242" s="43"/>
      <c r="AE242" s="43"/>
      <c r="AF242" s="43"/>
      <c r="AG242" s="43"/>
      <c r="AH242" s="43"/>
      <c r="AI242" s="43"/>
    </row>
    <row r="243" spans="1:35" x14ac:dyDescent="0.25">
      <c r="A243" s="115" t="s">
        <v>653</v>
      </c>
      <c r="B243" s="115"/>
      <c r="C243" s="115">
        <v>0.28100000000000003</v>
      </c>
      <c r="D243" s="115">
        <v>0.25</v>
      </c>
      <c r="E243" s="115">
        <v>0.27800000000000002</v>
      </c>
      <c r="F243" s="115">
        <v>0.27200000000000002</v>
      </c>
      <c r="G243" s="115">
        <v>0.247</v>
      </c>
      <c r="H243" s="115">
        <v>0.22900000000000001</v>
      </c>
      <c r="I243" s="115">
        <v>0.248</v>
      </c>
      <c r="J243" s="115">
        <v>0.27500000000000002</v>
      </c>
      <c r="K243" s="115">
        <v>0.27200000000000002</v>
      </c>
      <c r="L243" s="115">
        <v>0.254</v>
      </c>
      <c r="M243" s="115">
        <v>0.22900000000000001</v>
      </c>
      <c r="N243" s="115">
        <v>0.214</v>
      </c>
      <c r="O243" s="115">
        <v>0.216</v>
      </c>
      <c r="P243" s="115">
        <v>0.20399999999999999</v>
      </c>
      <c r="Q243" s="115">
        <v>0.19500000000000001</v>
      </c>
      <c r="R243" s="115">
        <v>0.186</v>
      </c>
      <c r="S243" s="115">
        <v>0.216</v>
      </c>
      <c r="T243" s="115">
        <v>0.16</v>
      </c>
      <c r="U243" s="115">
        <v>0.155</v>
      </c>
      <c r="V243" s="115">
        <v>0.15</v>
      </c>
      <c r="W243" s="115">
        <v>0.14599999999999999</v>
      </c>
      <c r="X243" s="115">
        <v>0.14299999999999999</v>
      </c>
      <c r="Y243" s="115">
        <v>0.13900000000000001</v>
      </c>
      <c r="Z243" s="115">
        <v>0.13600000000000001</v>
      </c>
      <c r="AA243" s="115">
        <v>0.13400000000000001</v>
      </c>
      <c r="AB243" s="115">
        <v>0.13100000000000001</v>
      </c>
      <c r="AC243" s="115">
        <v>0.128</v>
      </c>
      <c r="AD243" s="43"/>
      <c r="AE243" s="43"/>
      <c r="AF243" s="43"/>
      <c r="AG243" s="43"/>
      <c r="AH243" s="43"/>
      <c r="AI243" s="43"/>
    </row>
    <row r="244" spans="1:35" x14ac:dyDescent="0.25">
      <c r="A244" s="115" t="s">
        <v>650</v>
      </c>
      <c r="B244" s="115"/>
      <c r="C244" s="115">
        <v>3.4180000000000001</v>
      </c>
      <c r="D244" s="115">
        <v>1.8049999999999999</v>
      </c>
      <c r="E244" s="115">
        <v>2.5619999999999998</v>
      </c>
      <c r="F244" s="115">
        <v>2.9609999999999999</v>
      </c>
      <c r="G244" s="115">
        <v>2.5979999999999999</v>
      </c>
      <c r="H244" s="115">
        <v>2.2280000000000002</v>
      </c>
      <c r="I244" s="115">
        <v>2.8410000000000002</v>
      </c>
      <c r="J244" s="115">
        <v>3.5510000000000002</v>
      </c>
      <c r="K244" s="115">
        <v>3.3759999999999999</v>
      </c>
      <c r="L244" s="115">
        <v>2.948</v>
      </c>
      <c r="M244" s="115">
        <v>2.552</v>
      </c>
      <c r="N244" s="115">
        <v>2.1829999999999998</v>
      </c>
      <c r="O244" s="115">
        <v>2.2280000000000002</v>
      </c>
      <c r="P244" s="115">
        <v>2.61</v>
      </c>
      <c r="Q244" s="115">
        <v>2.319</v>
      </c>
      <c r="R244" s="115">
        <v>2.0990000000000002</v>
      </c>
      <c r="S244" s="115">
        <v>3.617</v>
      </c>
      <c r="T244" s="115">
        <v>1.804</v>
      </c>
      <c r="U244" s="115">
        <v>1.643</v>
      </c>
      <c r="V244" s="115">
        <v>1.3879999999999999</v>
      </c>
      <c r="W244" s="115">
        <v>1.3109999999999999</v>
      </c>
      <c r="X244" s="115">
        <v>1.2070000000000001</v>
      </c>
      <c r="Y244" s="115">
        <v>1.1060000000000001</v>
      </c>
      <c r="Z244" s="115">
        <v>1.018</v>
      </c>
      <c r="AA244" s="115">
        <v>0.93700000000000006</v>
      </c>
      <c r="AB244" s="115">
        <v>0.86199999999999999</v>
      </c>
      <c r="AC244" s="115">
        <v>0.79200000000000004</v>
      </c>
      <c r="AD244" s="43"/>
      <c r="AE244" s="43"/>
      <c r="AF244" s="43"/>
      <c r="AG244" s="43"/>
      <c r="AH244" s="43"/>
      <c r="AI244" s="43"/>
    </row>
    <row r="245" spans="1:35" x14ac:dyDescent="0.25">
      <c r="A245" s="115" t="s">
        <v>654</v>
      </c>
      <c r="B245" s="115"/>
      <c r="C245" s="115">
        <v>0.33900000000000002</v>
      </c>
      <c r="D245" s="115">
        <v>0.26500000000000001</v>
      </c>
      <c r="E245" s="115">
        <v>0.26500000000000001</v>
      </c>
      <c r="F245" s="115">
        <v>0.29899999999999999</v>
      </c>
      <c r="G245" s="115">
        <v>0.29499999999999998</v>
      </c>
      <c r="H245" s="115">
        <v>0.29199999999999998</v>
      </c>
      <c r="I245" s="115">
        <v>0.32100000000000001</v>
      </c>
      <c r="J245" s="115">
        <v>0.315</v>
      </c>
      <c r="K245" s="115">
        <v>0.32400000000000001</v>
      </c>
      <c r="L245" s="115">
        <v>0.318</v>
      </c>
      <c r="M245" s="115">
        <v>0.313</v>
      </c>
      <c r="N245" s="115">
        <v>0.308</v>
      </c>
      <c r="O245" s="115">
        <v>0.34</v>
      </c>
      <c r="P245" s="115">
        <v>0.33600000000000002</v>
      </c>
      <c r="Q245" s="115">
        <v>0.33100000000000002</v>
      </c>
      <c r="R245" s="115">
        <v>0.32700000000000001</v>
      </c>
      <c r="S245" s="115">
        <v>0.41699999999999998</v>
      </c>
      <c r="T245" s="115">
        <v>0.28199999999999997</v>
      </c>
      <c r="U245" s="115">
        <v>0.27800000000000002</v>
      </c>
      <c r="V245" s="115">
        <v>0.27400000000000002</v>
      </c>
      <c r="W245" s="115">
        <v>0.27</v>
      </c>
      <c r="X245" s="115">
        <v>0.26700000000000002</v>
      </c>
      <c r="Y245" s="115">
        <v>0.26200000000000001</v>
      </c>
      <c r="Z245" s="115">
        <v>0.25800000000000001</v>
      </c>
      <c r="AA245" s="115">
        <v>0.254</v>
      </c>
      <c r="AB245" s="115">
        <v>0.249</v>
      </c>
      <c r="AC245" s="115">
        <v>0.24399999999999999</v>
      </c>
      <c r="AD245" s="43"/>
      <c r="AE245" s="43"/>
      <c r="AF245" s="43"/>
      <c r="AG245" s="43"/>
      <c r="AH245" s="43"/>
      <c r="AI245" s="43"/>
    </row>
    <row r="246" spans="1:35" x14ac:dyDescent="0.25">
      <c r="A246" s="115" t="s">
        <v>655</v>
      </c>
      <c r="B246" s="115"/>
      <c r="C246" s="115">
        <v>0.52800000000000002</v>
      </c>
      <c r="D246" s="115">
        <v>0.49</v>
      </c>
      <c r="E246" s="115">
        <v>0.56100000000000005</v>
      </c>
      <c r="F246" s="115">
        <v>0.53300000000000003</v>
      </c>
      <c r="G246" s="115">
        <v>0.502</v>
      </c>
      <c r="H246" s="115">
        <v>0.47</v>
      </c>
      <c r="I246" s="115">
        <v>0.437</v>
      </c>
      <c r="J246" s="115">
        <v>0.40400000000000003</v>
      </c>
      <c r="K246" s="115">
        <v>0.40600000000000003</v>
      </c>
      <c r="L246" s="115">
        <v>0.39800000000000002</v>
      </c>
      <c r="M246" s="115">
        <v>0.38800000000000001</v>
      </c>
      <c r="N246" s="115">
        <v>0.379</v>
      </c>
      <c r="O246" s="115">
        <v>0.36899999999999999</v>
      </c>
      <c r="P246" s="115">
        <v>0.26300000000000001</v>
      </c>
      <c r="Q246" s="115">
        <v>0.25900000000000001</v>
      </c>
      <c r="R246" s="115">
        <v>0.255</v>
      </c>
      <c r="S246" s="115">
        <v>0.28399999999999997</v>
      </c>
      <c r="T246" s="115">
        <v>0.246</v>
      </c>
      <c r="U246" s="115">
        <v>0.24299999999999999</v>
      </c>
      <c r="V246" s="115">
        <v>0.24</v>
      </c>
      <c r="W246" s="115">
        <v>0.23699999999999999</v>
      </c>
      <c r="X246" s="115">
        <v>0.23400000000000001</v>
      </c>
      <c r="Y246" s="115">
        <v>0.23100000000000001</v>
      </c>
      <c r="Z246" s="115">
        <v>0.22900000000000001</v>
      </c>
      <c r="AA246" s="115">
        <v>0.22600000000000001</v>
      </c>
      <c r="AB246" s="115">
        <v>0.224</v>
      </c>
      <c r="AC246" s="115">
        <v>0.222</v>
      </c>
      <c r="AD246" s="43"/>
      <c r="AE246" s="43"/>
      <c r="AF246" s="43"/>
      <c r="AG246" s="43"/>
      <c r="AH246" s="43"/>
      <c r="AI246" s="43"/>
    </row>
    <row r="247" spans="1:35" x14ac:dyDescent="0.25">
      <c r="A247" s="115" t="s">
        <v>656</v>
      </c>
      <c r="B247" s="115"/>
      <c r="C247" s="115">
        <v>0.52200000000000002</v>
      </c>
      <c r="D247" s="115">
        <v>0.28000000000000003</v>
      </c>
      <c r="E247" s="115">
        <v>0.22700000000000001</v>
      </c>
      <c r="F247" s="115">
        <v>0.224</v>
      </c>
      <c r="G247" s="115">
        <v>0.216</v>
      </c>
      <c r="H247" s="115">
        <v>0.21</v>
      </c>
      <c r="I247" s="115">
        <v>0.21199999999999999</v>
      </c>
      <c r="J247" s="115">
        <v>0.21199999999999999</v>
      </c>
      <c r="K247" s="115">
        <v>0.23</v>
      </c>
      <c r="L247" s="115">
        <v>0.22500000000000001</v>
      </c>
      <c r="M247" s="115">
        <v>0.20699999999999999</v>
      </c>
      <c r="N247" s="115">
        <v>0.19900000000000001</v>
      </c>
      <c r="O247" s="115">
        <v>0.20200000000000001</v>
      </c>
      <c r="P247" s="115">
        <v>0.19800000000000001</v>
      </c>
      <c r="Q247" s="115">
        <v>0.185</v>
      </c>
      <c r="R247" s="115">
        <v>0.17299999999999999</v>
      </c>
      <c r="S247" s="115">
        <v>0.186</v>
      </c>
      <c r="T247" s="115">
        <v>0.16</v>
      </c>
      <c r="U247" s="115">
        <v>0.155</v>
      </c>
      <c r="V247" s="115">
        <v>0.13800000000000001</v>
      </c>
      <c r="W247" s="115">
        <v>0.13600000000000001</v>
      </c>
      <c r="X247" s="115">
        <v>0.13400000000000001</v>
      </c>
      <c r="Y247" s="115">
        <v>0.13200000000000001</v>
      </c>
      <c r="Z247" s="115">
        <v>0.13</v>
      </c>
      <c r="AA247" s="115">
        <v>0.128</v>
      </c>
      <c r="AB247" s="115">
        <v>0.126</v>
      </c>
      <c r="AC247" s="115">
        <v>0.125</v>
      </c>
      <c r="AD247" s="43"/>
      <c r="AE247" s="43"/>
      <c r="AF247" s="43"/>
      <c r="AG247" s="43"/>
      <c r="AH247" s="43"/>
      <c r="AI247" s="43"/>
    </row>
    <row r="248" spans="1:35" x14ac:dyDescent="0.25">
      <c r="A248" s="115" t="s">
        <v>657</v>
      </c>
      <c r="B248" s="115"/>
      <c r="C248" s="115">
        <v>0.17499999999999999</v>
      </c>
      <c r="D248" s="115">
        <v>0.121</v>
      </c>
      <c r="E248" s="115">
        <v>0.113</v>
      </c>
      <c r="F248" s="115">
        <v>0.17299999999999999</v>
      </c>
      <c r="G248" s="115">
        <v>0.16300000000000001</v>
      </c>
      <c r="H248" s="115">
        <v>0.154</v>
      </c>
      <c r="I248" s="115">
        <v>0.23699999999999999</v>
      </c>
      <c r="J248" s="115">
        <v>0.22600000000000001</v>
      </c>
      <c r="K248" s="115">
        <v>0.22800000000000001</v>
      </c>
      <c r="L248" s="115">
        <v>0.214</v>
      </c>
      <c r="M248" s="115">
        <v>0.2</v>
      </c>
      <c r="N248" s="115">
        <v>0.186</v>
      </c>
      <c r="O248" s="115">
        <v>0.185</v>
      </c>
      <c r="P248" s="115">
        <v>0.17599999999999999</v>
      </c>
      <c r="Q248" s="115">
        <v>0.16700000000000001</v>
      </c>
      <c r="R248" s="115">
        <v>0.158</v>
      </c>
      <c r="S248" s="115">
        <v>0.17699999999999999</v>
      </c>
      <c r="T248" s="115">
        <v>0.108</v>
      </c>
      <c r="U248" s="115">
        <v>0.105</v>
      </c>
      <c r="V248" s="115">
        <v>0.10199999999999999</v>
      </c>
      <c r="W248" s="115">
        <v>0.1</v>
      </c>
      <c r="X248" s="115">
        <v>9.8000000000000004E-2</v>
      </c>
      <c r="Y248" s="115">
        <v>9.5000000000000001E-2</v>
      </c>
      <c r="Z248" s="115">
        <v>9.2999999999999999E-2</v>
      </c>
      <c r="AA248" s="115">
        <v>9.0999999999999998E-2</v>
      </c>
      <c r="AB248" s="115">
        <v>8.8999999999999996E-2</v>
      </c>
      <c r="AC248" s="115">
        <v>8.7999999999999995E-2</v>
      </c>
      <c r="AD248" s="43"/>
      <c r="AE248" s="43"/>
      <c r="AF248" s="43"/>
      <c r="AG248" s="43"/>
      <c r="AH248" s="43"/>
      <c r="AI248" s="43"/>
    </row>
    <row r="249" spans="1:35" x14ac:dyDescent="0.25">
      <c r="A249" s="115" t="s">
        <v>658</v>
      </c>
      <c r="B249" s="115"/>
      <c r="C249" s="115">
        <v>0.51100000000000001</v>
      </c>
      <c r="D249" s="115">
        <v>0.501</v>
      </c>
      <c r="E249" s="115">
        <v>0.53300000000000003</v>
      </c>
      <c r="F249" s="115">
        <v>0.51600000000000001</v>
      </c>
      <c r="G249" s="115">
        <v>0.496</v>
      </c>
      <c r="H249" s="115">
        <v>0.47199999999999998</v>
      </c>
      <c r="I249" s="115">
        <v>0.44500000000000001</v>
      </c>
      <c r="J249" s="115">
        <v>0.39500000000000002</v>
      </c>
      <c r="K249" s="115">
        <v>0.38</v>
      </c>
      <c r="L249" s="115">
        <v>0.35699999999999998</v>
      </c>
      <c r="M249" s="115">
        <v>0.33200000000000002</v>
      </c>
      <c r="N249" s="115">
        <v>0.30199999999999999</v>
      </c>
      <c r="O249" s="115">
        <v>0.28100000000000003</v>
      </c>
      <c r="P249" s="115">
        <v>0.115</v>
      </c>
      <c r="Q249" s="115">
        <v>0.109</v>
      </c>
      <c r="R249" s="115">
        <v>0.104</v>
      </c>
      <c r="S249" s="115">
        <v>0.124</v>
      </c>
      <c r="T249" s="115">
        <v>9.6000000000000002E-2</v>
      </c>
      <c r="U249" s="115">
        <v>9.2999999999999999E-2</v>
      </c>
      <c r="V249" s="115">
        <v>9.0999999999999998E-2</v>
      </c>
      <c r="W249" s="115">
        <v>0.09</v>
      </c>
      <c r="X249" s="115">
        <v>8.7999999999999995E-2</v>
      </c>
      <c r="Y249" s="115">
        <v>8.6999999999999994E-2</v>
      </c>
      <c r="Z249" s="115">
        <v>8.5999999999999993E-2</v>
      </c>
      <c r="AA249" s="115">
        <v>8.5000000000000006E-2</v>
      </c>
      <c r="AB249" s="115">
        <v>8.4000000000000005E-2</v>
      </c>
      <c r="AC249" s="115">
        <v>8.4000000000000005E-2</v>
      </c>
      <c r="AD249" s="43"/>
      <c r="AE249" s="43"/>
      <c r="AF249" s="43"/>
      <c r="AG249" s="43"/>
      <c r="AH249" s="43"/>
      <c r="AI249" s="43"/>
    </row>
    <row r="250" spans="1:35" x14ac:dyDescent="0.25">
      <c r="A250" s="115" t="s">
        <v>659</v>
      </c>
      <c r="B250" s="115"/>
      <c r="C250" s="115">
        <v>0.35199999999999998</v>
      </c>
      <c r="D250" s="115">
        <v>0.20100000000000001</v>
      </c>
      <c r="E250" s="115">
        <v>0.151</v>
      </c>
      <c r="F250" s="115">
        <v>0.14899999999999999</v>
      </c>
      <c r="G250" s="115">
        <v>0.124</v>
      </c>
      <c r="H250" s="115">
        <v>9.0999999999999998E-2</v>
      </c>
      <c r="I250" s="115">
        <v>9.0999999999999998E-2</v>
      </c>
      <c r="J250" s="115">
        <v>9.0999999999999998E-2</v>
      </c>
      <c r="K250" s="115">
        <v>0.10199999999999999</v>
      </c>
      <c r="L250" s="115">
        <v>0.10299999999999999</v>
      </c>
      <c r="M250" s="115">
        <v>9.4E-2</v>
      </c>
      <c r="N250" s="115">
        <v>7.8E-2</v>
      </c>
      <c r="O250" s="115">
        <v>7.8E-2</v>
      </c>
      <c r="P250" s="115">
        <v>7.6999999999999999E-2</v>
      </c>
      <c r="Q250" s="115">
        <v>7.4999999999999997E-2</v>
      </c>
      <c r="R250" s="115">
        <v>7.2999999999999995E-2</v>
      </c>
      <c r="S250" s="115">
        <v>0.106</v>
      </c>
      <c r="T250" s="115">
        <v>6.9000000000000006E-2</v>
      </c>
      <c r="U250" s="115">
        <v>6.7000000000000004E-2</v>
      </c>
      <c r="V250" s="115">
        <v>5.2999999999999999E-2</v>
      </c>
      <c r="W250" s="115">
        <v>5.2999999999999999E-2</v>
      </c>
      <c r="X250" s="115">
        <v>5.1999999999999998E-2</v>
      </c>
      <c r="Y250" s="115">
        <v>5.1999999999999998E-2</v>
      </c>
      <c r="Z250" s="115">
        <v>5.0999999999999997E-2</v>
      </c>
      <c r="AA250" s="115">
        <v>5.0999999999999997E-2</v>
      </c>
      <c r="AB250" s="115">
        <v>5.0999999999999997E-2</v>
      </c>
      <c r="AC250" s="115">
        <v>5.0999999999999997E-2</v>
      </c>
      <c r="AD250" s="43"/>
      <c r="AE250" s="43"/>
      <c r="AF250" s="43"/>
      <c r="AG250" s="43"/>
      <c r="AH250" s="43"/>
      <c r="AI250" s="43"/>
    </row>
    <row r="251" spans="1:35" x14ac:dyDescent="0.25">
      <c r="A251" s="115" t="s">
        <v>644</v>
      </c>
      <c r="B251" s="115"/>
      <c r="C251" s="115">
        <v>-0.29099999999999998</v>
      </c>
      <c r="D251" s="115">
        <v>-0.13400000000000001</v>
      </c>
      <c r="E251" s="115">
        <v>-6.8000000000000005E-2</v>
      </c>
      <c r="F251" s="115">
        <v>-8.4000000000000005E-2</v>
      </c>
      <c r="G251" s="115">
        <v>-0.1</v>
      </c>
      <c r="H251" s="115">
        <v>-0.11600000000000001</v>
      </c>
      <c r="I251" s="115">
        <v>1.0999999999999999E-2</v>
      </c>
      <c r="J251" s="115">
        <v>2.1999999999999999E-2</v>
      </c>
      <c r="K251" s="115">
        <v>6.0000000000000001E-3</v>
      </c>
      <c r="L251" s="115">
        <v>-1.0999999999999999E-2</v>
      </c>
      <c r="M251" s="115">
        <v>-2.5999999999999999E-2</v>
      </c>
      <c r="N251" s="115">
        <v>-4.2000000000000003E-2</v>
      </c>
      <c r="O251" s="115">
        <v>2.8000000000000001E-2</v>
      </c>
      <c r="P251" s="115">
        <v>4.4999999999999998E-2</v>
      </c>
      <c r="Q251" s="115">
        <v>2.9000000000000001E-2</v>
      </c>
      <c r="R251" s="115">
        <v>0.04</v>
      </c>
      <c r="S251" s="115">
        <v>6.4000000000000001E-2</v>
      </c>
      <c r="T251" s="115">
        <v>7.3999999999999996E-2</v>
      </c>
      <c r="U251" s="115">
        <v>6.3E-2</v>
      </c>
      <c r="V251" s="115">
        <v>6.4000000000000001E-2</v>
      </c>
      <c r="W251" s="115">
        <v>0.112</v>
      </c>
      <c r="X251" s="115">
        <v>0.105</v>
      </c>
      <c r="Y251" s="115">
        <v>8.2000000000000003E-2</v>
      </c>
      <c r="Z251" s="115">
        <v>8.2000000000000003E-2</v>
      </c>
      <c r="AA251" s="115">
        <v>7.0999999999999994E-2</v>
      </c>
      <c r="AB251" s="115">
        <v>0.06</v>
      </c>
      <c r="AC251" s="115">
        <v>0.05</v>
      </c>
      <c r="AD251" s="43"/>
      <c r="AE251" s="43"/>
      <c r="AF251" s="43"/>
      <c r="AG251" s="43"/>
      <c r="AH251" s="43"/>
      <c r="AI251" s="43"/>
    </row>
    <row r="252" spans="1:35" x14ac:dyDescent="0.25">
      <c r="A252" s="115" t="s">
        <v>601</v>
      </c>
      <c r="B252" s="115">
        <v>41.137</v>
      </c>
      <c r="C252" s="115">
        <v>41.436</v>
      </c>
      <c r="D252" s="115">
        <v>41.582000000000001</v>
      </c>
      <c r="E252" s="115">
        <v>41.661000000000001</v>
      </c>
      <c r="F252" s="115">
        <v>41.753999999999998</v>
      </c>
      <c r="G252" s="115">
        <v>41.860999999999997</v>
      </c>
      <c r="H252" s="115">
        <v>41.981999999999999</v>
      </c>
      <c r="I252" s="115">
        <v>41.948999999999998</v>
      </c>
      <c r="J252" s="115">
        <v>41.902999999999999</v>
      </c>
      <c r="K252" s="115">
        <v>41.87</v>
      </c>
      <c r="L252" s="115">
        <v>41.848999999999997</v>
      </c>
      <c r="M252" s="115">
        <v>41.838000000000001</v>
      </c>
      <c r="N252" s="115">
        <v>41.837000000000003</v>
      </c>
      <c r="O252" s="115">
        <v>41.76</v>
      </c>
      <c r="P252" s="115">
        <v>41.661000000000001</v>
      </c>
      <c r="Q252" s="115">
        <v>41.570999999999998</v>
      </c>
      <c r="R252" s="115">
        <v>41.463999999999999</v>
      </c>
      <c r="S252" s="115">
        <v>41.268999999999998</v>
      </c>
      <c r="T252" s="115">
        <v>41.045999999999999</v>
      </c>
      <c r="U252" s="115">
        <v>40.823</v>
      </c>
      <c r="V252" s="115">
        <v>40.585000000000001</v>
      </c>
      <c r="W252" s="115">
        <v>40.286999999999999</v>
      </c>
      <c r="X252" s="115">
        <v>39.988999999999997</v>
      </c>
      <c r="Y252" s="115">
        <v>39.704999999999998</v>
      </c>
      <c r="Z252" s="115">
        <v>39.412999999999997</v>
      </c>
      <c r="AA252" s="115">
        <v>39.122999999999998</v>
      </c>
      <c r="AB252" s="115">
        <v>38.837000000000003</v>
      </c>
      <c r="AC252" s="115">
        <v>38.521999999999998</v>
      </c>
      <c r="AD252" s="43"/>
      <c r="AE252" s="43"/>
      <c r="AF252" s="43"/>
      <c r="AG252" s="43"/>
      <c r="AH252" s="43"/>
      <c r="AI252" s="43"/>
    </row>
    <row r="253" spans="1:35" x14ac:dyDescent="0.25">
      <c r="A253" s="115" t="s">
        <v>3</v>
      </c>
      <c r="B253" s="115">
        <v>76.102999999999994</v>
      </c>
      <c r="C253" s="115">
        <v>74.563999999999993</v>
      </c>
      <c r="D253" s="115">
        <v>73.540999999999997</v>
      </c>
      <c r="E253" s="115">
        <v>71.847999999999999</v>
      </c>
      <c r="F253" s="115">
        <v>69.644999999999996</v>
      </c>
      <c r="G253" s="115">
        <v>67.831000000000003</v>
      </c>
      <c r="H253" s="115">
        <v>65.930000000000007</v>
      </c>
      <c r="I253" s="115">
        <v>63.777999999999999</v>
      </c>
      <c r="J253" s="115">
        <v>61.703000000000003</v>
      </c>
      <c r="K253" s="115">
        <v>59.557000000000002</v>
      </c>
      <c r="L253" s="115">
        <v>57.555999999999997</v>
      </c>
      <c r="M253" s="115">
        <v>55.695</v>
      </c>
      <c r="N253" s="115">
        <v>53.951999999999998</v>
      </c>
      <c r="O253" s="115">
        <v>52.66</v>
      </c>
      <c r="P253" s="115">
        <v>51.399000000000001</v>
      </c>
      <c r="Q253" s="115">
        <v>50.228000000000002</v>
      </c>
      <c r="R253" s="115">
        <v>49.249000000000002</v>
      </c>
      <c r="S253" s="115">
        <v>46.884999999999998</v>
      </c>
      <c r="T253" s="115">
        <v>46.963999999999999</v>
      </c>
      <c r="U253" s="115">
        <v>46.029000000000003</v>
      </c>
      <c r="V253" s="115">
        <v>45.182000000000002</v>
      </c>
      <c r="W253" s="115">
        <v>44.485999999999997</v>
      </c>
      <c r="X253" s="115">
        <v>43.848999999999997</v>
      </c>
      <c r="Y253" s="115">
        <v>43.177999999999997</v>
      </c>
      <c r="Z253" s="115">
        <v>42.578000000000003</v>
      </c>
      <c r="AA253" s="115">
        <v>41.982999999999997</v>
      </c>
      <c r="AB253" s="115">
        <v>41.39</v>
      </c>
      <c r="AC253" s="115">
        <v>40.777999999999999</v>
      </c>
      <c r="AD253" s="43"/>
      <c r="AE253" s="43"/>
      <c r="AF253" s="43"/>
      <c r="AG253" s="43"/>
      <c r="AH253" s="43"/>
      <c r="AI253" s="43"/>
    </row>
    <row r="254" spans="1:35" x14ac:dyDescent="0.25">
      <c r="A254" s="115" t="s">
        <v>649</v>
      </c>
      <c r="B254" s="115"/>
      <c r="C254" s="115">
        <v>1.667</v>
      </c>
      <c r="D254" s="115">
        <v>1.131</v>
      </c>
      <c r="E254" s="115">
        <v>1.7969999999999999</v>
      </c>
      <c r="F254" s="115">
        <v>2.3039999999999998</v>
      </c>
      <c r="G254" s="115">
        <v>1.91</v>
      </c>
      <c r="H254" s="115">
        <v>1.9930000000000001</v>
      </c>
      <c r="I254" s="115">
        <v>2.21</v>
      </c>
      <c r="J254" s="115">
        <v>2.13</v>
      </c>
      <c r="K254" s="115">
        <v>2.1960000000000002</v>
      </c>
      <c r="L254" s="115">
        <v>2.0459999999999998</v>
      </c>
      <c r="M254" s="115">
        <v>1.901</v>
      </c>
      <c r="N254" s="115">
        <v>1.78</v>
      </c>
      <c r="O254" s="115">
        <v>1.325</v>
      </c>
      <c r="P254" s="115">
        <v>1.2889999999999999</v>
      </c>
      <c r="Q254" s="115">
        <v>1.1950000000000001</v>
      </c>
      <c r="R254" s="115">
        <v>0.998</v>
      </c>
      <c r="S254" s="115">
        <v>2.31</v>
      </c>
      <c r="T254" s="115">
        <v>-0.13300000000000001</v>
      </c>
      <c r="U254" s="115">
        <v>0.87</v>
      </c>
      <c r="V254" s="115">
        <v>0.77200000000000002</v>
      </c>
      <c r="W254" s="115">
        <v>0.61399999999999999</v>
      </c>
      <c r="X254" s="115">
        <v>0.54900000000000004</v>
      </c>
      <c r="Y254" s="115">
        <v>0.57699999999999996</v>
      </c>
      <c r="Z254" s="115">
        <v>0.502</v>
      </c>
      <c r="AA254" s="115">
        <v>0.49099999999999999</v>
      </c>
      <c r="AB254" s="115">
        <v>0.48399999999999999</v>
      </c>
      <c r="AC254" s="115">
        <v>0.47299999999999998</v>
      </c>
      <c r="AD254" s="43"/>
      <c r="AE254" s="43"/>
      <c r="AF254" s="43"/>
      <c r="AG254" s="43"/>
      <c r="AH254" s="43"/>
      <c r="AI254" s="43"/>
    </row>
    <row r="255" spans="1:35" x14ac:dyDescent="0.25">
      <c r="A255" s="115" t="s">
        <v>585</v>
      </c>
      <c r="B255" s="115">
        <v>76.102999999999994</v>
      </c>
      <c r="C255" s="115">
        <v>74.563999999999993</v>
      </c>
      <c r="D255" s="115">
        <v>73.540999999999997</v>
      </c>
      <c r="E255" s="115">
        <v>71.847999999999999</v>
      </c>
      <c r="F255" s="115">
        <v>69.644999999999996</v>
      </c>
      <c r="G255" s="115">
        <v>67.831000000000003</v>
      </c>
      <c r="H255" s="115">
        <v>65.930000000000007</v>
      </c>
      <c r="I255" s="115">
        <v>63.777999999999999</v>
      </c>
      <c r="J255" s="115">
        <v>61.703000000000003</v>
      </c>
      <c r="K255" s="115">
        <v>59.557000000000002</v>
      </c>
      <c r="L255" s="115">
        <v>57.555999999999997</v>
      </c>
      <c r="M255" s="115">
        <v>55.695</v>
      </c>
      <c r="N255" s="115">
        <v>53.951999999999998</v>
      </c>
      <c r="O255" s="115">
        <v>52.66</v>
      </c>
      <c r="P255" s="115">
        <v>51.399000000000001</v>
      </c>
      <c r="Q255" s="115">
        <v>50.228000000000002</v>
      </c>
      <c r="R255" s="115">
        <v>49.249000000000002</v>
      </c>
      <c r="S255" s="115">
        <v>46.884999999999998</v>
      </c>
      <c r="T255" s="115">
        <v>46.963999999999999</v>
      </c>
      <c r="U255" s="115">
        <v>46.029000000000003</v>
      </c>
      <c r="V255" s="115">
        <v>45.182000000000002</v>
      </c>
      <c r="W255" s="115">
        <v>44.485999999999997</v>
      </c>
      <c r="X255" s="115">
        <v>43.848999999999997</v>
      </c>
      <c r="Y255" s="115">
        <v>43.177999999999997</v>
      </c>
      <c r="Z255" s="115">
        <v>42.578000000000003</v>
      </c>
      <c r="AA255" s="115">
        <v>41.982999999999997</v>
      </c>
      <c r="AB255" s="115">
        <v>41.39</v>
      </c>
      <c r="AC255" s="115">
        <v>40.777999999999999</v>
      </c>
      <c r="AD255" s="43"/>
      <c r="AE255" s="43"/>
      <c r="AF255" s="43"/>
      <c r="AG255" s="43"/>
      <c r="AH255" s="43"/>
      <c r="AI255" s="43"/>
    </row>
    <row r="256" spans="1:35" x14ac:dyDescent="0.25">
      <c r="A256" s="115" t="s">
        <v>1166</v>
      </c>
      <c r="B256" s="115"/>
      <c r="C256" s="115">
        <v>5.4829999999999997</v>
      </c>
      <c r="D256" s="115">
        <v>5.9050000000000002</v>
      </c>
      <c r="E256" s="115">
        <v>6.2530000000000001</v>
      </c>
      <c r="F256" s="115">
        <v>6.415</v>
      </c>
      <c r="G256" s="115">
        <v>6.6189999999999998</v>
      </c>
      <c r="H256" s="115">
        <v>6.8150000000000004</v>
      </c>
      <c r="I256" s="115">
        <v>6.9290000000000003</v>
      </c>
      <c r="J256" s="115">
        <v>7.1829999999999998</v>
      </c>
      <c r="K256" s="115">
        <v>7.3559999999999999</v>
      </c>
      <c r="L256" s="115">
        <v>7.476</v>
      </c>
      <c r="M256" s="115">
        <v>7.5279999999999996</v>
      </c>
      <c r="N256" s="115">
        <v>7.5359999999999996</v>
      </c>
      <c r="O256" s="115">
        <v>7.665</v>
      </c>
      <c r="P256" s="115">
        <v>7.7210000000000001</v>
      </c>
      <c r="Q256" s="115">
        <v>7.7640000000000002</v>
      </c>
      <c r="R256" s="115">
        <v>7.8289999999999997</v>
      </c>
      <c r="S256" s="115">
        <v>7.242</v>
      </c>
      <c r="T256" s="115">
        <v>7.6760000000000002</v>
      </c>
      <c r="U256" s="115">
        <v>7.6130000000000004</v>
      </c>
      <c r="V256" s="115">
        <v>7.6120000000000001</v>
      </c>
      <c r="W256" s="115">
        <v>7.6429999999999998</v>
      </c>
      <c r="X256" s="115">
        <v>7.6870000000000003</v>
      </c>
      <c r="Y256" s="115">
        <v>7.718</v>
      </c>
      <c r="Z256" s="115">
        <v>7.7770000000000001</v>
      </c>
      <c r="AA256" s="115">
        <v>7.8109999999999999</v>
      </c>
      <c r="AB256" s="115">
        <v>7.8529999999999998</v>
      </c>
      <c r="AC256" s="115">
        <v>7.84</v>
      </c>
      <c r="AD256" s="43"/>
      <c r="AE256" s="43"/>
      <c r="AF256" s="43"/>
      <c r="AG256" s="43"/>
      <c r="AH256" s="43"/>
      <c r="AI256" s="43"/>
    </row>
    <row r="257" spans="1:35" x14ac:dyDescent="0.25">
      <c r="A257" s="115" t="s">
        <v>1165</v>
      </c>
      <c r="B257" s="115"/>
      <c r="C257" s="115">
        <v>24.966000000000001</v>
      </c>
      <c r="D257" s="115">
        <v>25.227</v>
      </c>
      <c r="E257" s="115">
        <v>25.350999999999999</v>
      </c>
      <c r="F257" s="115">
        <v>25.251000000000001</v>
      </c>
      <c r="G257" s="115">
        <v>25.355</v>
      </c>
      <c r="H257" s="115">
        <v>25.475999999999999</v>
      </c>
      <c r="I257" s="115">
        <v>25.529</v>
      </c>
      <c r="J257" s="115">
        <v>25.471</v>
      </c>
      <c r="K257" s="115">
        <v>25.413</v>
      </c>
      <c r="L257" s="115">
        <v>25.361999999999998</v>
      </c>
      <c r="M257" s="115">
        <v>25.312000000000001</v>
      </c>
      <c r="N257" s="115">
        <v>25.26</v>
      </c>
      <c r="O257" s="115">
        <v>25.265000000000001</v>
      </c>
      <c r="P257" s="115">
        <v>25.202000000000002</v>
      </c>
      <c r="Q257" s="115">
        <v>25.154</v>
      </c>
      <c r="R257" s="115">
        <v>25.145</v>
      </c>
      <c r="S257" s="115">
        <v>24.2</v>
      </c>
      <c r="T257" s="115">
        <v>24.838999999999999</v>
      </c>
      <c r="U257" s="115">
        <v>24.779</v>
      </c>
      <c r="V257" s="115">
        <v>24.751999999999999</v>
      </c>
      <c r="W257" s="115">
        <v>24.873000000000001</v>
      </c>
      <c r="X257" s="115">
        <v>24.997</v>
      </c>
      <c r="Y257" s="115">
        <v>25.111000000000001</v>
      </c>
      <c r="Z257" s="115">
        <v>25.248999999999999</v>
      </c>
      <c r="AA257" s="115">
        <v>25.39</v>
      </c>
      <c r="AB257" s="115">
        <v>25.53</v>
      </c>
      <c r="AC257" s="115">
        <v>25.655999999999999</v>
      </c>
      <c r="AD257" s="43"/>
      <c r="AE257" s="43"/>
      <c r="AF257" s="43"/>
      <c r="AG257" s="43"/>
      <c r="AH257" s="43"/>
      <c r="AI257" s="43"/>
    </row>
    <row r="258" spans="1:35" x14ac:dyDescent="0.25">
      <c r="A258" s="115" t="s">
        <v>1169</v>
      </c>
      <c r="B258" s="115"/>
      <c r="C258" s="115">
        <v>1.0269999999999999</v>
      </c>
      <c r="D258" s="115">
        <v>1.986</v>
      </c>
      <c r="E258" s="115">
        <v>2.871</v>
      </c>
      <c r="F258" s="115">
        <v>3.7829999999999999</v>
      </c>
      <c r="G258" s="115">
        <v>4.6369999999999996</v>
      </c>
      <c r="H258" s="115">
        <v>5.4249999999999998</v>
      </c>
      <c r="I258" s="115">
        <v>6.1539999999999999</v>
      </c>
      <c r="J258" s="115">
        <v>6.9690000000000003</v>
      </c>
      <c r="K258" s="115">
        <v>7.7190000000000003</v>
      </c>
      <c r="L258" s="115">
        <v>8.4890000000000008</v>
      </c>
      <c r="M258" s="115">
        <v>9.2829999999999995</v>
      </c>
      <c r="N258" s="115">
        <v>10.1</v>
      </c>
      <c r="O258" s="115">
        <v>10.808</v>
      </c>
      <c r="P258" s="115">
        <v>11.552</v>
      </c>
      <c r="Q258" s="115">
        <v>12.314</v>
      </c>
      <c r="R258" s="115">
        <v>13.007</v>
      </c>
      <c r="S258" s="115">
        <v>13.794</v>
      </c>
      <c r="T258" s="115">
        <v>14.503</v>
      </c>
      <c r="U258" s="115">
        <v>15.207000000000001</v>
      </c>
      <c r="V258" s="115">
        <v>15.859</v>
      </c>
      <c r="W258" s="115">
        <v>15.677</v>
      </c>
      <c r="X258" s="115">
        <v>15.445</v>
      </c>
      <c r="Y258" s="115">
        <v>15.332000000000001</v>
      </c>
      <c r="Z258" s="115">
        <v>15.169</v>
      </c>
      <c r="AA258" s="115">
        <v>15.063000000000001</v>
      </c>
      <c r="AB258" s="115">
        <v>15.022</v>
      </c>
      <c r="AC258" s="115">
        <v>15.039</v>
      </c>
      <c r="AD258" s="43"/>
      <c r="AE258" s="43"/>
      <c r="AF258" s="43"/>
      <c r="AG258" s="43"/>
      <c r="AH258" s="43"/>
      <c r="AI258" s="43"/>
    </row>
    <row r="259" spans="1:35" x14ac:dyDescent="0.25">
      <c r="A259" s="115" t="s">
        <v>1167</v>
      </c>
      <c r="B259" s="115"/>
      <c r="C259" s="115">
        <v>4.3360000000000003</v>
      </c>
      <c r="D259" s="115">
        <v>4.0149999999999997</v>
      </c>
      <c r="E259" s="115">
        <v>3.6139999999999999</v>
      </c>
      <c r="F259" s="115">
        <v>3.2349999999999999</v>
      </c>
      <c r="G259" s="115">
        <v>2.9129999999999998</v>
      </c>
      <c r="H259" s="115">
        <v>2.637</v>
      </c>
      <c r="I259" s="115">
        <v>2.3330000000000002</v>
      </c>
      <c r="J259" s="115">
        <v>2.0649999999999999</v>
      </c>
      <c r="K259" s="115">
        <v>1.821</v>
      </c>
      <c r="L259" s="115">
        <v>1.603</v>
      </c>
      <c r="M259" s="115">
        <v>1.4079999999999999</v>
      </c>
      <c r="N259" s="115">
        <v>1.2310000000000001</v>
      </c>
      <c r="O259" s="115">
        <v>1.0900000000000001</v>
      </c>
      <c r="P259" s="115">
        <v>0.96299999999999997</v>
      </c>
      <c r="Q259" s="115">
        <v>0.84799999999999998</v>
      </c>
      <c r="R259" s="115">
        <v>0.746</v>
      </c>
      <c r="S259" s="115">
        <v>0.64200000000000002</v>
      </c>
      <c r="T259" s="115">
        <v>0.55000000000000004</v>
      </c>
      <c r="U259" s="115">
        <v>0.46700000000000003</v>
      </c>
      <c r="V259" s="115">
        <v>0.39200000000000002</v>
      </c>
      <c r="W259" s="115">
        <v>0.34100000000000003</v>
      </c>
      <c r="X259" s="115">
        <v>0.29099999999999998</v>
      </c>
      <c r="Y259" s="115">
        <v>0.245</v>
      </c>
      <c r="Z259" s="115">
        <v>0.20300000000000001</v>
      </c>
      <c r="AA259" s="115">
        <v>0.16300000000000001</v>
      </c>
      <c r="AB259" s="115">
        <v>0.127</v>
      </c>
      <c r="AC259" s="115">
        <v>0.09</v>
      </c>
      <c r="AD259" s="43"/>
      <c r="AE259" s="43"/>
      <c r="AF259" s="43"/>
      <c r="AG259" s="43"/>
      <c r="AH259" s="43"/>
      <c r="AI259" s="43"/>
    </row>
    <row r="260" spans="1:35" x14ac:dyDescent="0.25">
      <c r="A260" s="115" t="s">
        <v>1170</v>
      </c>
      <c r="B260" s="115"/>
      <c r="C260" s="115">
        <v>0.38600000000000001</v>
      </c>
      <c r="D260" s="115">
        <v>0.60199999999999998</v>
      </c>
      <c r="E260" s="115">
        <v>0.93100000000000005</v>
      </c>
      <c r="F260" s="115">
        <v>1.2889999999999999</v>
      </c>
      <c r="G260" s="115">
        <v>1.6220000000000001</v>
      </c>
      <c r="H260" s="115">
        <v>1.9259999999999999</v>
      </c>
      <c r="I260" s="115">
        <v>2.3050000000000002</v>
      </c>
      <c r="J260" s="115">
        <v>2.7530000000000001</v>
      </c>
      <c r="K260" s="115">
        <v>3.1829999999999998</v>
      </c>
      <c r="L260" s="115">
        <v>3.5830000000000002</v>
      </c>
      <c r="M260" s="115">
        <v>3.9670000000000001</v>
      </c>
      <c r="N260" s="115">
        <v>4.319</v>
      </c>
      <c r="O260" s="115">
        <v>4.6740000000000004</v>
      </c>
      <c r="P260" s="115">
        <v>5.1470000000000002</v>
      </c>
      <c r="Q260" s="115">
        <v>5.59</v>
      </c>
      <c r="R260" s="115">
        <v>6.0140000000000002</v>
      </c>
      <c r="S260" s="115">
        <v>6.6449999999999996</v>
      </c>
      <c r="T260" s="115">
        <v>7.1059999999999999</v>
      </c>
      <c r="U260" s="115">
        <v>7.5439999999999996</v>
      </c>
      <c r="V260" s="115">
        <v>7.93</v>
      </c>
      <c r="W260" s="115">
        <v>7.9260000000000002</v>
      </c>
      <c r="X260" s="115">
        <v>8.0760000000000005</v>
      </c>
      <c r="Y260" s="115">
        <v>8.0960000000000001</v>
      </c>
      <c r="Z260" s="115">
        <v>8.0730000000000004</v>
      </c>
      <c r="AA260" s="115">
        <v>8.0589999999999993</v>
      </c>
      <c r="AB260" s="115">
        <v>8.0619999999999994</v>
      </c>
      <c r="AC260" s="115">
        <v>7.9790000000000001</v>
      </c>
      <c r="AD260" s="43"/>
      <c r="AE260" s="43"/>
      <c r="AF260" s="43"/>
      <c r="AG260" s="43"/>
      <c r="AH260" s="43"/>
      <c r="AI260" s="43"/>
    </row>
    <row r="261" spans="1:35" x14ac:dyDescent="0.25">
      <c r="A261" s="115" t="s">
        <v>1190</v>
      </c>
      <c r="B261" s="115"/>
      <c r="C261" s="115">
        <v>0.59</v>
      </c>
      <c r="D261" s="115">
        <v>0.23699999999999999</v>
      </c>
      <c r="E261" s="115">
        <v>0.57999999999999996</v>
      </c>
      <c r="F261" s="115">
        <v>0.76300000000000001</v>
      </c>
      <c r="G261" s="115">
        <v>0.67300000000000004</v>
      </c>
      <c r="H261" s="115">
        <v>0.74099999999999999</v>
      </c>
      <c r="I261" s="115">
        <v>0.89700000000000002</v>
      </c>
      <c r="J261" s="115">
        <v>0.89100000000000001</v>
      </c>
      <c r="K261" s="115">
        <v>1.0129999999999999</v>
      </c>
      <c r="L261" s="115">
        <v>0.94099999999999995</v>
      </c>
      <c r="M261" s="115">
        <v>0.88900000000000001</v>
      </c>
      <c r="N261" s="115">
        <v>0.82299999999999995</v>
      </c>
      <c r="O261" s="115">
        <v>0.45400000000000001</v>
      </c>
      <c r="P261" s="115">
        <v>0.36899999999999999</v>
      </c>
      <c r="Q261" s="115">
        <v>0.29299999999999998</v>
      </c>
      <c r="R261" s="115">
        <v>0.17499999999999999</v>
      </c>
      <c r="S261" s="115">
        <v>-5.2999999999999999E-2</v>
      </c>
      <c r="T261" s="115">
        <v>-0.39</v>
      </c>
      <c r="U261" s="115">
        <v>0.02</v>
      </c>
      <c r="V261" s="115">
        <v>-3.5999999999999997E-2</v>
      </c>
      <c r="W261" s="115">
        <v>-0.54900000000000004</v>
      </c>
      <c r="X261" s="115">
        <v>-0.45100000000000001</v>
      </c>
      <c r="Y261" s="115">
        <v>-0.45600000000000002</v>
      </c>
      <c r="Z261" s="115">
        <v>-0.51900000000000002</v>
      </c>
      <c r="AA261" s="115">
        <v>-0.49399999999999999</v>
      </c>
      <c r="AB261" s="115">
        <v>-0.51700000000000002</v>
      </c>
      <c r="AC261" s="115">
        <v>-0.49</v>
      </c>
      <c r="AD261" s="43"/>
      <c r="AE261" s="43"/>
      <c r="AF261" s="43"/>
      <c r="AG261" s="43"/>
      <c r="AH261" s="43"/>
      <c r="AI261" s="43"/>
    </row>
    <row r="262" spans="1:35" x14ac:dyDescent="0.25">
      <c r="A262" s="115" t="s">
        <v>763</v>
      </c>
      <c r="B262" s="115"/>
      <c r="C262" s="115">
        <v>1.137</v>
      </c>
      <c r="D262" s="115">
        <v>2.625</v>
      </c>
      <c r="E262" s="115">
        <v>2.4980000000000002</v>
      </c>
      <c r="F262" s="115">
        <v>2.5609999999999999</v>
      </c>
      <c r="G262" s="115">
        <v>2.4580000000000002</v>
      </c>
      <c r="H262" s="115">
        <v>2.3479999999999999</v>
      </c>
      <c r="I262" s="115">
        <v>2.25</v>
      </c>
      <c r="J262" s="115">
        <v>2.379</v>
      </c>
      <c r="K262" s="115">
        <v>2.2730000000000001</v>
      </c>
      <c r="L262" s="115">
        <v>2.2970000000000002</v>
      </c>
      <c r="M262" s="115">
        <v>2.3250000000000002</v>
      </c>
      <c r="N262" s="115">
        <v>2.347</v>
      </c>
      <c r="O262" s="115">
        <v>2.0369999999999999</v>
      </c>
      <c r="P262" s="115">
        <v>2.1040000000000001</v>
      </c>
      <c r="Q262" s="115">
        <v>2.1419999999999999</v>
      </c>
      <c r="R262" s="115">
        <v>2.0110000000000001</v>
      </c>
      <c r="S262" s="115">
        <v>2.1930000000000001</v>
      </c>
      <c r="T262" s="115">
        <v>2.0489999999999999</v>
      </c>
      <c r="U262" s="115">
        <v>2.0430000000000001</v>
      </c>
      <c r="V262" s="115">
        <v>1.9470000000000001</v>
      </c>
      <c r="W262" s="115">
        <v>2.5049999999999999</v>
      </c>
      <c r="X262" s="115">
        <v>2.113</v>
      </c>
      <c r="Y262" s="115">
        <v>2.16</v>
      </c>
      <c r="Z262" s="115">
        <v>2.1440000000000001</v>
      </c>
      <c r="AA262" s="115">
        <v>2.1080000000000001</v>
      </c>
      <c r="AB262" s="115">
        <v>2.0710000000000002</v>
      </c>
      <c r="AC262" s="115">
        <v>2.0310000000000001</v>
      </c>
      <c r="AD262" s="43"/>
      <c r="AE262" s="43"/>
      <c r="AF262" s="43"/>
      <c r="AG262" s="43"/>
      <c r="AH262" s="43"/>
      <c r="AI262" s="43"/>
    </row>
    <row r="263" spans="1:35" x14ac:dyDescent="0.25">
      <c r="A263" s="115" t="s">
        <v>743</v>
      </c>
      <c r="B263" s="115"/>
      <c r="C263" s="115">
        <v>4.5739999999999998</v>
      </c>
      <c r="D263" s="115">
        <v>3.6640000000000001</v>
      </c>
      <c r="E263" s="115">
        <v>5.4509999999999996</v>
      </c>
      <c r="F263" s="115">
        <v>5.9290000000000003</v>
      </c>
      <c r="G263" s="115">
        <v>5.6070000000000002</v>
      </c>
      <c r="H263" s="115">
        <v>5.1719999999999997</v>
      </c>
      <c r="I263" s="115">
        <v>6.2889999999999997</v>
      </c>
      <c r="J263" s="115">
        <v>7.5549999999999997</v>
      </c>
      <c r="K263" s="115">
        <v>7.2409999999999997</v>
      </c>
      <c r="L263" s="115">
        <v>6.7990000000000004</v>
      </c>
      <c r="M263" s="115">
        <v>6.585</v>
      </c>
      <c r="N263" s="115">
        <v>6.0890000000000004</v>
      </c>
      <c r="O263" s="115">
        <v>6.1539999999999999</v>
      </c>
      <c r="P263" s="115">
        <v>8.3539999999999992</v>
      </c>
      <c r="Q263" s="115">
        <v>7.8419999999999996</v>
      </c>
      <c r="R263" s="115">
        <v>7.5369999999999999</v>
      </c>
      <c r="S263" s="115">
        <v>10.77</v>
      </c>
      <c r="T263" s="115">
        <v>8.2560000000000002</v>
      </c>
      <c r="U263" s="115">
        <v>7.843</v>
      </c>
      <c r="V263" s="115">
        <v>6.93</v>
      </c>
      <c r="W263" s="115">
        <v>6.8689999999999998</v>
      </c>
      <c r="X263" s="115">
        <v>6.5659999999999998</v>
      </c>
      <c r="Y263" s="115">
        <v>6.2720000000000002</v>
      </c>
      <c r="Z263" s="115">
        <v>5.9989999999999997</v>
      </c>
      <c r="AA263" s="115">
        <v>5.7460000000000004</v>
      </c>
      <c r="AB263" s="115">
        <v>5.5069999999999997</v>
      </c>
      <c r="AC263" s="115">
        <v>5.3029999999999999</v>
      </c>
      <c r="AD263" s="43"/>
      <c r="AE263" s="43"/>
      <c r="AF263" s="43"/>
      <c r="AG263" s="43"/>
      <c r="AH263" s="43"/>
      <c r="AI263" s="43"/>
    </row>
    <row r="264" spans="1:35" x14ac:dyDescent="0.25">
      <c r="A264" s="115" t="s">
        <v>772</v>
      </c>
      <c r="B264" s="115"/>
      <c r="C264" s="115">
        <v>7.61</v>
      </c>
      <c r="D264" s="115">
        <v>8.4179999999999993</v>
      </c>
      <c r="E264" s="115">
        <v>8.7330000000000005</v>
      </c>
      <c r="F264" s="115">
        <v>8.8079999999999998</v>
      </c>
      <c r="G264" s="115">
        <v>8.18</v>
      </c>
      <c r="H264" s="115">
        <v>7.7880000000000003</v>
      </c>
      <c r="I264" s="115">
        <v>8.8529999999999998</v>
      </c>
      <c r="J264" s="115">
        <v>8.0839999999999996</v>
      </c>
      <c r="K264" s="115">
        <v>8.2219999999999995</v>
      </c>
      <c r="L264" s="115">
        <v>7.9729999999999999</v>
      </c>
      <c r="M264" s="115">
        <v>7.5960000000000001</v>
      </c>
      <c r="N264" s="115">
        <v>7.3250000000000002</v>
      </c>
      <c r="O264" s="115">
        <v>7.4320000000000004</v>
      </c>
      <c r="P264" s="115">
        <v>6.6840000000000002</v>
      </c>
      <c r="Q264" s="115">
        <v>6.6059999999999999</v>
      </c>
      <c r="R264" s="115">
        <v>6.4729999999999999</v>
      </c>
      <c r="S264" s="115">
        <v>7.6310000000000002</v>
      </c>
      <c r="T264" s="115">
        <v>6.6550000000000002</v>
      </c>
      <c r="U264" s="115">
        <v>6.6029999999999998</v>
      </c>
      <c r="V264" s="115">
        <v>6.5529999999999999</v>
      </c>
      <c r="W264" s="115">
        <v>6.48</v>
      </c>
      <c r="X264" s="115">
        <v>6.5060000000000002</v>
      </c>
      <c r="Y264" s="115">
        <v>6.52</v>
      </c>
      <c r="Z264" s="115">
        <v>6.5380000000000003</v>
      </c>
      <c r="AA264" s="115">
        <v>6.5529999999999999</v>
      </c>
      <c r="AB264" s="115">
        <v>6.5670000000000002</v>
      </c>
      <c r="AC264" s="115">
        <v>6.5970000000000004</v>
      </c>
      <c r="AD264" s="43"/>
      <c r="AE264" s="43"/>
      <c r="AF264" s="43"/>
      <c r="AG264" s="43"/>
      <c r="AH264" s="43"/>
      <c r="AI264" s="43"/>
    </row>
    <row r="265" spans="1:35" x14ac:dyDescent="0.25">
      <c r="A265" s="115" t="s">
        <v>968</v>
      </c>
      <c r="B265" s="115"/>
      <c r="C265" s="115">
        <v>3151.46</v>
      </c>
      <c r="D265" s="115">
        <v>1922.6859999999999</v>
      </c>
      <c r="E265" s="115">
        <v>6570.3869999999997</v>
      </c>
      <c r="F265" s="115">
        <v>10870.305</v>
      </c>
      <c r="G265" s="115">
        <v>10450.054</v>
      </c>
      <c r="H265" s="115">
        <v>10036.630999999999</v>
      </c>
      <c r="I265" s="115">
        <v>16036.165000000001</v>
      </c>
      <c r="J265" s="115">
        <v>15585.79</v>
      </c>
      <c r="K265" s="115">
        <v>15088.476000000001</v>
      </c>
      <c r="L265" s="115">
        <v>14611.611000000001</v>
      </c>
      <c r="M265" s="115">
        <v>14119.645</v>
      </c>
      <c r="N265" s="115">
        <v>13612.254999999999</v>
      </c>
      <c r="O265" s="115">
        <v>12360.79</v>
      </c>
      <c r="P265" s="115">
        <v>12028.651</v>
      </c>
      <c r="Q265" s="115">
        <v>11709.566999999999</v>
      </c>
      <c r="R265" s="115">
        <v>11392.526</v>
      </c>
      <c r="S265" s="115">
        <v>9742.1270000000004</v>
      </c>
      <c r="T265" s="115">
        <v>9464.2739999999994</v>
      </c>
      <c r="U265" s="115">
        <v>9273.2000000000007</v>
      </c>
      <c r="V265" s="115">
        <v>9088.0380000000005</v>
      </c>
      <c r="W265" s="115">
        <v>8958.0609999999997</v>
      </c>
      <c r="X265" s="115">
        <v>8817.8610000000008</v>
      </c>
      <c r="Y265" s="115">
        <v>8684.7270000000008</v>
      </c>
      <c r="Z265" s="115">
        <v>8551.2759999999998</v>
      </c>
      <c r="AA265" s="115">
        <v>8421.8819999999996</v>
      </c>
      <c r="AB265" s="115">
        <v>8295.7720000000008</v>
      </c>
      <c r="AC265" s="115">
        <v>8155.68</v>
      </c>
      <c r="AD265" s="43"/>
      <c r="AE265" s="43"/>
      <c r="AF265" s="43"/>
      <c r="AG265" s="43"/>
      <c r="AH265" s="43"/>
      <c r="AI265" s="43"/>
    </row>
    <row r="266" spans="1:35" x14ac:dyDescent="0.25">
      <c r="A266" s="115" t="s">
        <v>969</v>
      </c>
      <c r="B266" s="115"/>
      <c r="C266" s="115">
        <v>4395.9319999999998</v>
      </c>
      <c r="D266" s="115">
        <v>7069.1530000000002</v>
      </c>
      <c r="E266" s="115">
        <v>7068.1120000000001</v>
      </c>
      <c r="F266" s="115">
        <v>9880.4050000000007</v>
      </c>
      <c r="G266" s="115">
        <v>9552.5499999999993</v>
      </c>
      <c r="H266" s="115">
        <v>9234.3359999999993</v>
      </c>
      <c r="I266" s="115">
        <v>13180.161</v>
      </c>
      <c r="J266" s="115">
        <v>12768.795</v>
      </c>
      <c r="K266" s="115">
        <v>12313.17</v>
      </c>
      <c r="L266" s="115">
        <v>11893.23</v>
      </c>
      <c r="M266" s="115">
        <v>11468.630999999999</v>
      </c>
      <c r="N266" s="115">
        <v>11040.585999999999</v>
      </c>
      <c r="O266" s="115">
        <v>10508.481</v>
      </c>
      <c r="P266" s="115">
        <v>10259.718000000001</v>
      </c>
      <c r="Q266" s="115">
        <v>10012.983</v>
      </c>
      <c r="R266" s="115">
        <v>9778.7970000000005</v>
      </c>
      <c r="S266" s="115">
        <v>9186.6630000000005</v>
      </c>
      <c r="T266" s="115">
        <v>8895.6740000000009</v>
      </c>
      <c r="U266" s="115">
        <v>8782.5069999999996</v>
      </c>
      <c r="V266" s="115">
        <v>8677.3279999999995</v>
      </c>
      <c r="W266" s="115">
        <v>8612.0400000000009</v>
      </c>
      <c r="X266" s="115">
        <v>8541.77</v>
      </c>
      <c r="Y266" s="115">
        <v>8473.0349999999999</v>
      </c>
      <c r="Z266" s="115">
        <v>8407.4629999999997</v>
      </c>
      <c r="AA266" s="115">
        <v>8344.2839999999997</v>
      </c>
      <c r="AB266" s="115">
        <v>8282.8940000000002</v>
      </c>
      <c r="AC266" s="115">
        <v>8430.8629999999994</v>
      </c>
      <c r="AD266" s="43"/>
      <c r="AE266" s="43"/>
      <c r="AF266" s="43"/>
      <c r="AG266" s="43"/>
      <c r="AH266" s="43"/>
      <c r="AI266" s="43"/>
    </row>
    <row r="267" spans="1:35" x14ac:dyDescent="0.25">
      <c r="A267" s="115" t="s">
        <v>970</v>
      </c>
      <c r="B267" s="115"/>
      <c r="C267" s="115">
        <v>7927.433</v>
      </c>
      <c r="D267" s="115">
        <v>8149.2539999999999</v>
      </c>
      <c r="E267" s="115">
        <v>8155.96</v>
      </c>
      <c r="F267" s="115">
        <v>9337.0910000000003</v>
      </c>
      <c r="G267" s="115">
        <v>9183.0239999999994</v>
      </c>
      <c r="H267" s="115">
        <v>9038.09</v>
      </c>
      <c r="I267" s="115">
        <v>10955.784</v>
      </c>
      <c r="J267" s="115">
        <v>10697.395</v>
      </c>
      <c r="K267" s="115">
        <v>10525.548000000001</v>
      </c>
      <c r="L267" s="115">
        <v>10273.478999999999</v>
      </c>
      <c r="M267" s="115">
        <v>10020.228999999999</v>
      </c>
      <c r="N267" s="115">
        <v>9766.2759999999998</v>
      </c>
      <c r="O267" s="115">
        <v>9570.5630000000001</v>
      </c>
      <c r="P267" s="115">
        <v>9441.0939999999991</v>
      </c>
      <c r="Q267" s="115">
        <v>9313.2450000000008</v>
      </c>
      <c r="R267" s="115">
        <v>9197.4249999999993</v>
      </c>
      <c r="S267" s="115">
        <v>10143.619000000001</v>
      </c>
      <c r="T267" s="115">
        <v>8739.4850000000006</v>
      </c>
      <c r="U267" s="115">
        <v>8703.6260000000002</v>
      </c>
      <c r="V267" s="115">
        <v>8674.2960000000003</v>
      </c>
      <c r="W267" s="115">
        <v>8669.2749999999996</v>
      </c>
      <c r="X267" s="115">
        <v>8662.9369999999999</v>
      </c>
      <c r="Y267" s="115">
        <v>8652.2579999999998</v>
      </c>
      <c r="Z267" s="115">
        <v>8646.1450000000004</v>
      </c>
      <c r="AA267" s="115">
        <v>8643.1489999999994</v>
      </c>
      <c r="AB267" s="115">
        <v>8639.0370000000003</v>
      </c>
      <c r="AC267" s="115">
        <v>8633.42</v>
      </c>
      <c r="AD267" s="43"/>
      <c r="AE267" s="43"/>
      <c r="AF267" s="43"/>
      <c r="AG267" s="43"/>
      <c r="AH267" s="43"/>
      <c r="AI267" s="43"/>
    </row>
    <row r="268" spans="1:35" x14ac:dyDescent="0.25">
      <c r="A268" s="115" t="s">
        <v>971</v>
      </c>
      <c r="B268" s="115"/>
      <c r="C268" s="115">
        <v>7683.7179999999998</v>
      </c>
      <c r="D268" s="115">
        <v>8368.0660000000007</v>
      </c>
      <c r="E268" s="115">
        <v>8365.1830000000009</v>
      </c>
      <c r="F268" s="115">
        <v>9401.2890000000007</v>
      </c>
      <c r="G268" s="115">
        <v>9258.1929999999993</v>
      </c>
      <c r="H268" s="115">
        <v>9125.6980000000003</v>
      </c>
      <c r="I268" s="115">
        <v>10922.379000000001</v>
      </c>
      <c r="J268" s="115">
        <v>10680.994000000001</v>
      </c>
      <c r="K268" s="115">
        <v>10627.275</v>
      </c>
      <c r="L268" s="115">
        <v>10373.722</v>
      </c>
      <c r="M268" s="115">
        <v>10117.519</v>
      </c>
      <c r="N268" s="115">
        <v>9862.6389999999992</v>
      </c>
      <c r="O268" s="115">
        <v>9586.4580000000005</v>
      </c>
      <c r="P268" s="115">
        <v>9466.8220000000001</v>
      </c>
      <c r="Q268" s="115">
        <v>9361.9320000000007</v>
      </c>
      <c r="R268" s="115">
        <v>9255.6550000000007</v>
      </c>
      <c r="S268" s="115">
        <v>10458.409</v>
      </c>
      <c r="T268" s="115">
        <v>8702.277</v>
      </c>
      <c r="U268" s="115">
        <v>8671.4599999999991</v>
      </c>
      <c r="V268" s="115">
        <v>8647.1610000000001</v>
      </c>
      <c r="W268" s="115">
        <v>8672.3549999999996</v>
      </c>
      <c r="X268" s="115">
        <v>8669.9120000000003</v>
      </c>
      <c r="Y268" s="115">
        <v>8661.85</v>
      </c>
      <c r="Z268" s="115">
        <v>8659.1450000000004</v>
      </c>
      <c r="AA268" s="115">
        <v>8657.7759999999998</v>
      </c>
      <c r="AB268" s="115">
        <v>8657.25</v>
      </c>
      <c r="AC268" s="115">
        <v>8655.2150000000001</v>
      </c>
      <c r="AD268" s="43"/>
      <c r="AE268" s="43"/>
      <c r="AF268" s="43"/>
      <c r="AG268" s="43"/>
      <c r="AH268" s="43"/>
      <c r="AI268" s="43"/>
    </row>
    <row r="269" spans="1:35" x14ac:dyDescent="0.25">
      <c r="A269" s="115" t="s">
        <v>972</v>
      </c>
      <c r="B269" s="115"/>
      <c r="C269" s="115">
        <v>9289.4439999999995</v>
      </c>
      <c r="D269" s="115">
        <v>9446.268</v>
      </c>
      <c r="E269" s="115">
        <v>9315.3070000000007</v>
      </c>
      <c r="F269" s="115">
        <v>10060.989</v>
      </c>
      <c r="G269" s="115">
        <v>9854.0969999999998</v>
      </c>
      <c r="H269" s="115">
        <v>9682.4390000000003</v>
      </c>
      <c r="I269" s="115">
        <v>10800.603999999999</v>
      </c>
      <c r="J269" s="115">
        <v>10580.704</v>
      </c>
      <c r="K269" s="115">
        <v>11029.947</v>
      </c>
      <c r="L269" s="115">
        <v>10696.463</v>
      </c>
      <c r="M269" s="115">
        <v>10376.745000000001</v>
      </c>
      <c r="N269" s="115">
        <v>10073.012000000001</v>
      </c>
      <c r="O269" s="115">
        <v>9677.3719999999994</v>
      </c>
      <c r="P269" s="115">
        <v>9513.1560000000009</v>
      </c>
      <c r="Q269" s="115">
        <v>9330.8250000000007</v>
      </c>
      <c r="R269" s="115">
        <v>9160.384</v>
      </c>
      <c r="S269" s="115">
        <v>10762.648999999999</v>
      </c>
      <c r="T269" s="115">
        <v>8778.0419999999995</v>
      </c>
      <c r="U269" s="115">
        <v>8773.8529999999992</v>
      </c>
      <c r="V269" s="115">
        <v>8778.4349999999995</v>
      </c>
      <c r="W269" s="115">
        <v>8803.5190000000002</v>
      </c>
      <c r="X269" s="115">
        <v>8831.3739999999998</v>
      </c>
      <c r="Y269" s="115">
        <v>8845.7669999999998</v>
      </c>
      <c r="Z269" s="115">
        <v>8869.0969999999998</v>
      </c>
      <c r="AA269" s="115">
        <v>8891.9619999999995</v>
      </c>
      <c r="AB269" s="115">
        <v>8913.6919999999991</v>
      </c>
      <c r="AC269" s="115">
        <v>8933.7530000000006</v>
      </c>
      <c r="AD269" s="43"/>
      <c r="AE269" s="43"/>
      <c r="AF269" s="43"/>
      <c r="AG269" s="43"/>
      <c r="AH269" s="43"/>
      <c r="AI269" s="43"/>
    </row>
    <row r="270" spans="1:35" x14ac:dyDescent="0.25">
      <c r="A270" s="115" t="s">
        <v>973</v>
      </c>
      <c r="B270" s="115"/>
      <c r="C270" s="115">
        <v>8063.8180000000002</v>
      </c>
      <c r="D270" s="115">
        <v>14445.09</v>
      </c>
      <c r="E270" s="115">
        <v>17023.766</v>
      </c>
      <c r="F270" s="115">
        <v>16650.505000000001</v>
      </c>
      <c r="G270" s="115">
        <v>16216.18</v>
      </c>
      <c r="H270" s="115">
        <v>15715.103999999999</v>
      </c>
      <c r="I270" s="115">
        <v>15139.38</v>
      </c>
      <c r="J270" s="115">
        <v>9198.2659999999996</v>
      </c>
      <c r="K270" s="115">
        <v>8987.1059999999998</v>
      </c>
      <c r="L270" s="115">
        <v>8718.74</v>
      </c>
      <c r="M270" s="115">
        <v>8421.74</v>
      </c>
      <c r="N270" s="115">
        <v>8098.0060000000003</v>
      </c>
      <c r="O270" s="115">
        <v>7906.6769999999997</v>
      </c>
      <c r="P270" s="115">
        <v>5626.7780000000002</v>
      </c>
      <c r="Q270" s="115">
        <v>5601.2780000000002</v>
      </c>
      <c r="R270" s="115">
        <v>5579.2860000000001</v>
      </c>
      <c r="S270" s="115">
        <v>5681.982</v>
      </c>
      <c r="T270" s="115">
        <v>5550.3860000000004</v>
      </c>
      <c r="U270" s="115">
        <v>5548.0649999999996</v>
      </c>
      <c r="V270" s="115">
        <v>5548.37</v>
      </c>
      <c r="W270" s="115">
        <v>5552.4160000000002</v>
      </c>
      <c r="X270" s="115">
        <v>5556.2939999999999</v>
      </c>
      <c r="Y270" s="115">
        <v>5565.7330000000002</v>
      </c>
      <c r="Z270" s="115">
        <v>5573.9390000000003</v>
      </c>
      <c r="AA270" s="115">
        <v>5584.915</v>
      </c>
      <c r="AB270" s="115">
        <v>5597.8220000000001</v>
      </c>
      <c r="AC270" s="115">
        <v>5609.4709999999995</v>
      </c>
      <c r="AD270" s="43"/>
      <c r="AE270" s="43"/>
      <c r="AF270" s="43"/>
      <c r="AG270" s="43"/>
      <c r="AH270" s="43"/>
      <c r="AI270" s="43"/>
    </row>
    <row r="271" spans="1:35" x14ac:dyDescent="0.25">
      <c r="A271" s="115" t="s">
        <v>974</v>
      </c>
      <c r="B271" s="115"/>
      <c r="C271" s="115">
        <v>8708.7839999999997</v>
      </c>
      <c r="D271" s="115">
        <v>13023.838</v>
      </c>
      <c r="E271" s="115">
        <v>14941.152</v>
      </c>
      <c r="F271" s="115">
        <v>14549.307000000001</v>
      </c>
      <c r="G271" s="115">
        <v>14092.937</v>
      </c>
      <c r="H271" s="115">
        <v>13567.681</v>
      </c>
      <c r="I271" s="115">
        <v>12971.746999999999</v>
      </c>
      <c r="J271" s="115">
        <v>8737.7960000000003</v>
      </c>
      <c r="K271" s="115">
        <v>8545.9459999999999</v>
      </c>
      <c r="L271" s="115">
        <v>8269.9230000000007</v>
      </c>
      <c r="M271" s="115">
        <v>7964.942</v>
      </c>
      <c r="N271" s="115">
        <v>7634.3890000000001</v>
      </c>
      <c r="O271" s="115">
        <v>7441.7520000000004</v>
      </c>
      <c r="P271" s="115">
        <v>5874.6350000000002</v>
      </c>
      <c r="Q271" s="115">
        <v>5875.3789999999999</v>
      </c>
      <c r="R271" s="115">
        <v>5881.491</v>
      </c>
      <c r="S271" s="115">
        <v>6124.3490000000002</v>
      </c>
      <c r="T271" s="115">
        <v>5893.1559999999999</v>
      </c>
      <c r="U271" s="115">
        <v>5902.4089999999997</v>
      </c>
      <c r="V271" s="115">
        <v>5915.9290000000001</v>
      </c>
      <c r="W271" s="115">
        <v>5938.2079999999996</v>
      </c>
      <c r="X271" s="115">
        <v>5957.9440000000004</v>
      </c>
      <c r="Y271" s="115">
        <v>5976.5919999999996</v>
      </c>
      <c r="Z271" s="115">
        <v>5995.4170000000004</v>
      </c>
      <c r="AA271" s="115">
        <v>6014.4690000000001</v>
      </c>
      <c r="AB271" s="115">
        <v>6032.9250000000002</v>
      </c>
      <c r="AC271" s="115">
        <v>6075.2269999999999</v>
      </c>
      <c r="AD271" s="43"/>
      <c r="AE271" s="43"/>
      <c r="AF271" s="43"/>
      <c r="AG271" s="43"/>
      <c r="AH271" s="43"/>
      <c r="AI271" s="43"/>
    </row>
    <row r="272" spans="1:35" x14ac:dyDescent="0.25">
      <c r="A272" s="115" t="s">
        <v>975</v>
      </c>
      <c r="B272" s="115"/>
      <c r="C272" s="115">
        <v>9351.9860000000008</v>
      </c>
      <c r="D272" s="115">
        <v>11399.433000000001</v>
      </c>
      <c r="E272" s="115">
        <v>13329.304</v>
      </c>
      <c r="F272" s="115">
        <v>12918.644</v>
      </c>
      <c r="G272" s="115">
        <v>12447.119000000001</v>
      </c>
      <c r="H272" s="115">
        <v>11914.065000000001</v>
      </c>
      <c r="I272" s="115">
        <v>11325.688</v>
      </c>
      <c r="J272" s="115">
        <v>8652.0259999999998</v>
      </c>
      <c r="K272" s="115">
        <v>8487.6560000000009</v>
      </c>
      <c r="L272" s="115">
        <v>8192.6640000000007</v>
      </c>
      <c r="M272" s="115">
        <v>7872.2139999999999</v>
      </c>
      <c r="N272" s="115">
        <v>7531.4870000000001</v>
      </c>
      <c r="O272" s="115">
        <v>7339.2030000000004</v>
      </c>
      <c r="P272" s="115">
        <v>6013.5569999999998</v>
      </c>
      <c r="Q272" s="115">
        <v>6044.8490000000002</v>
      </c>
      <c r="R272" s="115">
        <v>6077.2709999999997</v>
      </c>
      <c r="S272" s="115">
        <v>6557.9269999999997</v>
      </c>
      <c r="T272" s="115">
        <v>6126.0209999999997</v>
      </c>
      <c r="U272" s="115">
        <v>6155.5879999999997</v>
      </c>
      <c r="V272" s="115">
        <v>6187.5860000000002</v>
      </c>
      <c r="W272" s="115">
        <v>6222.9120000000003</v>
      </c>
      <c r="X272" s="115">
        <v>6261.9059999999999</v>
      </c>
      <c r="Y272" s="115">
        <v>6289.817</v>
      </c>
      <c r="Z272" s="115">
        <v>6319.2979999999998</v>
      </c>
      <c r="AA272" s="115">
        <v>6346.2209999999995</v>
      </c>
      <c r="AB272" s="115">
        <v>6369.6880000000001</v>
      </c>
      <c r="AC272" s="115">
        <v>6389.0050000000001</v>
      </c>
      <c r="AD272" s="43"/>
      <c r="AE272" s="43"/>
      <c r="AF272" s="43"/>
      <c r="AG272" s="43"/>
      <c r="AH272" s="43"/>
      <c r="AI272" s="43"/>
    </row>
    <row r="273" spans="1:35" x14ac:dyDescent="0.25">
      <c r="A273" s="115" t="s">
        <v>976</v>
      </c>
      <c r="B273" s="115"/>
      <c r="C273" s="115">
        <v>9110.6710000000003</v>
      </c>
      <c r="D273" s="115">
        <v>10669.817999999999</v>
      </c>
      <c r="E273" s="115">
        <v>12977.7</v>
      </c>
      <c r="F273" s="115">
        <v>12525.587</v>
      </c>
      <c r="G273" s="115">
        <v>12012.64</v>
      </c>
      <c r="H273" s="115">
        <v>11441.244000000001</v>
      </c>
      <c r="I273" s="115">
        <v>10825.674999999999</v>
      </c>
      <c r="J273" s="115">
        <v>7832.3469999999998</v>
      </c>
      <c r="K273" s="115">
        <v>7724.6670000000004</v>
      </c>
      <c r="L273" s="115">
        <v>7482.0119999999997</v>
      </c>
      <c r="M273" s="115">
        <v>7225.3239999999996</v>
      </c>
      <c r="N273" s="115">
        <v>6958.65</v>
      </c>
      <c r="O273" s="115">
        <v>6808.2690000000002</v>
      </c>
      <c r="P273" s="115">
        <v>5799.1540000000005</v>
      </c>
      <c r="Q273" s="115">
        <v>5831.9560000000001</v>
      </c>
      <c r="R273" s="115">
        <v>5866.201</v>
      </c>
      <c r="S273" s="115">
        <v>6358.5950000000003</v>
      </c>
      <c r="T273" s="115">
        <v>5914.9279999999999</v>
      </c>
      <c r="U273" s="115">
        <v>5944.7669999999998</v>
      </c>
      <c r="V273" s="115">
        <v>5976.7179999999998</v>
      </c>
      <c r="W273" s="115">
        <v>6012.5389999999998</v>
      </c>
      <c r="X273" s="115">
        <v>6049.0879999999997</v>
      </c>
      <c r="Y273" s="115">
        <v>6076.5640000000003</v>
      </c>
      <c r="Z273" s="115">
        <v>6109.1040000000003</v>
      </c>
      <c r="AA273" s="115">
        <v>6135.4650000000001</v>
      </c>
      <c r="AB273" s="115">
        <v>6158.0780000000004</v>
      </c>
      <c r="AC273" s="115">
        <v>6176.3440000000001</v>
      </c>
      <c r="AD273" s="43"/>
      <c r="AE273" s="43"/>
      <c r="AF273" s="43"/>
      <c r="AG273" s="43"/>
      <c r="AH273" s="43"/>
      <c r="AI273" s="43"/>
    </row>
    <row r="274" spans="1:35" x14ac:dyDescent="0.25">
      <c r="A274" s="115" t="s">
        <v>977</v>
      </c>
      <c r="B274" s="115"/>
      <c r="C274" s="115">
        <v>7931.9769999999999</v>
      </c>
      <c r="D274" s="115">
        <v>9263.1839999999993</v>
      </c>
      <c r="E274" s="115">
        <v>11336.184999999999</v>
      </c>
      <c r="F274" s="115">
        <v>10856.054</v>
      </c>
      <c r="G274" s="115">
        <v>10321.949000000001</v>
      </c>
      <c r="H274" s="115">
        <v>9747.9310000000005</v>
      </c>
      <c r="I274" s="115">
        <v>9149.4789999999994</v>
      </c>
      <c r="J274" s="115">
        <v>6954.8360000000002</v>
      </c>
      <c r="K274" s="115">
        <v>6981.6670000000004</v>
      </c>
      <c r="L274" s="115">
        <v>6800.3370000000004</v>
      </c>
      <c r="M274" s="115">
        <v>6610.9560000000001</v>
      </c>
      <c r="N274" s="115">
        <v>6416.9290000000001</v>
      </c>
      <c r="O274" s="115">
        <v>6290.549</v>
      </c>
      <c r="P274" s="115">
        <v>5599.5519999999997</v>
      </c>
      <c r="Q274" s="115">
        <v>5642.0280000000002</v>
      </c>
      <c r="R274" s="115">
        <v>5684.933</v>
      </c>
      <c r="S274" s="115">
        <v>6308.77</v>
      </c>
      <c r="T274" s="115">
        <v>5729.0590000000002</v>
      </c>
      <c r="U274" s="115">
        <v>5759.22</v>
      </c>
      <c r="V274" s="115">
        <v>5789.7330000000002</v>
      </c>
      <c r="W274" s="115">
        <v>5823.1229999999996</v>
      </c>
      <c r="X274" s="115">
        <v>5855.7579999999998</v>
      </c>
      <c r="Y274" s="115">
        <v>5875.933</v>
      </c>
      <c r="Z274" s="115">
        <v>5897.3850000000002</v>
      </c>
      <c r="AA274" s="115">
        <v>5914.5190000000002</v>
      </c>
      <c r="AB274" s="115">
        <v>5926.88</v>
      </c>
      <c r="AC274" s="115">
        <v>5934.5690000000004</v>
      </c>
      <c r="AD274" s="43"/>
      <c r="AE274" s="43"/>
      <c r="AF274" s="43"/>
      <c r="AG274" s="43"/>
      <c r="AH274" s="43"/>
      <c r="AI274" s="43"/>
    </row>
    <row r="275" spans="1:35" x14ac:dyDescent="0.25">
      <c r="A275" s="115" t="s">
        <v>978</v>
      </c>
      <c r="B275" s="115"/>
      <c r="C275" s="115">
        <v>7747.0820000000003</v>
      </c>
      <c r="D275" s="115">
        <v>6301.2380000000003</v>
      </c>
      <c r="E275" s="115">
        <v>5590.33</v>
      </c>
      <c r="F275" s="115">
        <v>5598.0309999999999</v>
      </c>
      <c r="G275" s="115">
        <v>5355.9520000000002</v>
      </c>
      <c r="H275" s="115">
        <v>5172.5060000000003</v>
      </c>
      <c r="I275" s="115">
        <v>5242.45</v>
      </c>
      <c r="J275" s="115">
        <v>5302.4250000000002</v>
      </c>
      <c r="K275" s="115">
        <v>5653.2820000000002</v>
      </c>
      <c r="L275" s="115">
        <v>5722.893</v>
      </c>
      <c r="M275" s="115">
        <v>5640.56</v>
      </c>
      <c r="N275" s="115">
        <v>5481.9480000000003</v>
      </c>
      <c r="O275" s="115">
        <v>5615.2</v>
      </c>
      <c r="P275" s="115">
        <v>5638.3190000000004</v>
      </c>
      <c r="Q275" s="115">
        <v>5465.777</v>
      </c>
      <c r="R275" s="115">
        <v>5267.0550000000003</v>
      </c>
      <c r="S275" s="115">
        <v>5607.59</v>
      </c>
      <c r="T275" s="115">
        <v>5083.0439999999999</v>
      </c>
      <c r="U275" s="115">
        <v>5021.4970000000003</v>
      </c>
      <c r="V275" s="115">
        <v>4593.0339999999997</v>
      </c>
      <c r="W275" s="115">
        <v>4612.5249999999996</v>
      </c>
      <c r="X275" s="115">
        <v>4631.1719999999996</v>
      </c>
      <c r="Y275" s="115">
        <v>4645.9570000000003</v>
      </c>
      <c r="Z275" s="115">
        <v>4661.4840000000004</v>
      </c>
      <c r="AA275" s="115">
        <v>4676.6350000000002</v>
      </c>
      <c r="AB275" s="115">
        <v>4691.0420000000004</v>
      </c>
      <c r="AC275" s="115">
        <v>4704.7579999999998</v>
      </c>
      <c r="AD275" s="43"/>
      <c r="AE275" s="43"/>
      <c r="AF275" s="43"/>
      <c r="AG275" s="43"/>
      <c r="AH275" s="43"/>
      <c r="AI275" s="43"/>
    </row>
    <row r="276" spans="1:35" x14ac:dyDescent="0.25">
      <c r="A276" s="115" t="s">
        <v>62</v>
      </c>
      <c r="B276" s="115"/>
      <c r="C276" s="115">
        <v>5.71</v>
      </c>
      <c r="D276" s="115">
        <v>6.2889999999999997</v>
      </c>
      <c r="E276" s="115">
        <v>7.9489999999999998</v>
      </c>
      <c r="F276" s="115">
        <v>8.49</v>
      </c>
      <c r="G276" s="115">
        <v>8.0649999999999995</v>
      </c>
      <c r="H276" s="115">
        <v>7.52</v>
      </c>
      <c r="I276" s="115">
        <v>8.5389999999999997</v>
      </c>
      <c r="J276" s="115">
        <v>9.9339999999999993</v>
      </c>
      <c r="K276" s="115">
        <v>9.5150000000000006</v>
      </c>
      <c r="L276" s="115">
        <v>9.0960000000000001</v>
      </c>
      <c r="M276" s="115">
        <v>8.91</v>
      </c>
      <c r="N276" s="115">
        <v>8.4359999999999999</v>
      </c>
      <c r="O276" s="115">
        <v>8.1920000000000002</v>
      </c>
      <c r="P276" s="115">
        <v>10.458</v>
      </c>
      <c r="Q276" s="115">
        <v>9.984</v>
      </c>
      <c r="R276" s="115">
        <v>9.548</v>
      </c>
      <c r="S276" s="115">
        <v>12.964</v>
      </c>
      <c r="T276" s="115">
        <v>10.304</v>
      </c>
      <c r="U276" s="115">
        <v>9.8859999999999992</v>
      </c>
      <c r="V276" s="115">
        <v>8.8770000000000007</v>
      </c>
      <c r="W276" s="115">
        <v>9.3740000000000006</v>
      </c>
      <c r="X276" s="115">
        <v>8.6790000000000003</v>
      </c>
      <c r="Y276" s="115">
        <v>8.4320000000000004</v>
      </c>
      <c r="Z276" s="115">
        <v>8.1430000000000007</v>
      </c>
      <c r="AA276" s="115">
        <v>7.8550000000000004</v>
      </c>
      <c r="AB276" s="115">
        <v>7.5780000000000003</v>
      </c>
      <c r="AC276" s="115">
        <v>7.3339999999999996</v>
      </c>
      <c r="AD276" s="43"/>
      <c r="AE276" s="43"/>
      <c r="AF276" s="43"/>
      <c r="AG276" s="43"/>
      <c r="AH276" s="43"/>
      <c r="AI276" s="43"/>
    </row>
    <row r="277" spans="1:35" x14ac:dyDescent="0.25">
      <c r="A277" s="115" t="s">
        <v>680</v>
      </c>
      <c r="B277" s="115"/>
      <c r="C277" s="115">
        <v>1206.4780000000001</v>
      </c>
      <c r="D277" s="115">
        <v>949.48699999999997</v>
      </c>
      <c r="E277" s="115">
        <v>1097.3240000000001</v>
      </c>
      <c r="F277" s="115">
        <v>1205.1289999999999</v>
      </c>
      <c r="G277" s="115">
        <v>1185.0429999999999</v>
      </c>
      <c r="H277" s="115">
        <v>1125.835</v>
      </c>
      <c r="I277" s="115">
        <v>1135.5999999999999</v>
      </c>
      <c r="J277" s="115">
        <v>1447.7560000000001</v>
      </c>
      <c r="K277" s="115">
        <v>1352.2070000000001</v>
      </c>
      <c r="L277" s="115">
        <v>1355.1130000000001</v>
      </c>
      <c r="M277" s="115">
        <v>1404.778</v>
      </c>
      <c r="N277" s="115">
        <v>1404.883</v>
      </c>
      <c r="O277" s="115">
        <v>1279.0219999999999</v>
      </c>
      <c r="P277" s="115">
        <v>1740.9829999999999</v>
      </c>
      <c r="Q277" s="115">
        <v>1697.84</v>
      </c>
      <c r="R277" s="115">
        <v>1628.662</v>
      </c>
      <c r="S277" s="115">
        <v>1951.8409999999999</v>
      </c>
      <c r="T277" s="115">
        <v>1712.672</v>
      </c>
      <c r="U277" s="115">
        <v>1654.3019999999999</v>
      </c>
      <c r="V277" s="115">
        <v>1488.971</v>
      </c>
      <c r="W277" s="115">
        <v>1260.76</v>
      </c>
      <c r="X277" s="115">
        <v>1206.0640000000001</v>
      </c>
      <c r="Y277" s="115">
        <v>1187.7750000000001</v>
      </c>
      <c r="Z277" s="115">
        <v>1109.191</v>
      </c>
      <c r="AA277" s="115">
        <v>1065.383</v>
      </c>
      <c r="AB277" s="115">
        <v>1025.5899999999999</v>
      </c>
      <c r="AC277" s="115">
        <v>988.43899999999996</v>
      </c>
      <c r="AD277" s="43"/>
      <c r="AE277" s="43"/>
      <c r="AF277" s="43"/>
      <c r="AG277" s="43"/>
      <c r="AH277" s="43"/>
      <c r="AI277" s="43"/>
    </row>
    <row r="278" spans="1:35" x14ac:dyDescent="0.25">
      <c r="A278" s="115" t="s">
        <v>1229</v>
      </c>
      <c r="B278" s="115"/>
      <c r="C278" s="115"/>
      <c r="D278" s="115">
        <v>102.13800000000001</v>
      </c>
      <c r="E278" s="115">
        <v>184.39500000000001</v>
      </c>
      <c r="F278" s="115">
        <v>184.24100000000001</v>
      </c>
      <c r="G278" s="115">
        <v>153.09299999999999</v>
      </c>
      <c r="H278" s="115">
        <v>124.452</v>
      </c>
      <c r="I278" s="115">
        <v>168.37799999999999</v>
      </c>
      <c r="J278" s="115">
        <v>213.517</v>
      </c>
      <c r="K278" s="115">
        <v>201.768</v>
      </c>
      <c r="L278" s="115">
        <v>176.631</v>
      </c>
      <c r="M278" s="115">
        <v>149.16399999999999</v>
      </c>
      <c r="N278" s="115">
        <v>122.745</v>
      </c>
      <c r="O278" s="115">
        <v>120.393</v>
      </c>
      <c r="P278" s="115">
        <v>120.67400000000001</v>
      </c>
      <c r="Q278" s="115">
        <v>107.694</v>
      </c>
      <c r="R278" s="115">
        <v>95.691000000000003</v>
      </c>
      <c r="S278" s="115">
        <v>152.19200000000001</v>
      </c>
      <c r="T278" s="115">
        <v>75.936000000000007</v>
      </c>
      <c r="U278" s="115">
        <v>69.004000000000005</v>
      </c>
      <c r="V278" s="115">
        <v>50.82</v>
      </c>
      <c r="W278" s="115">
        <v>45.151000000000003</v>
      </c>
      <c r="X278" s="115">
        <v>41.78</v>
      </c>
      <c r="Y278" s="115">
        <v>38.845999999999997</v>
      </c>
      <c r="Z278" s="115">
        <v>35.713000000000001</v>
      </c>
      <c r="AA278" s="115">
        <v>33.075000000000003</v>
      </c>
      <c r="AB278" s="115">
        <v>30.675000000000001</v>
      </c>
      <c r="AC278" s="115">
        <v>28.318000000000001</v>
      </c>
      <c r="AD278" s="43"/>
      <c r="AE278" s="43"/>
      <c r="AF278" s="43"/>
      <c r="AG278" s="43"/>
      <c r="AH278" s="43"/>
      <c r="AI278" s="43"/>
    </row>
    <row r="279" spans="1:35" x14ac:dyDescent="0.25">
      <c r="A279" s="115" t="s">
        <v>730</v>
      </c>
      <c r="B279" s="115"/>
      <c r="C279" s="115">
        <v>0.158</v>
      </c>
      <c r="D279" s="115">
        <v>0.182</v>
      </c>
      <c r="E279" s="115">
        <v>0.17599999999999999</v>
      </c>
      <c r="F279" s="115">
        <v>0.161</v>
      </c>
      <c r="G279" s="115">
        <v>0.157</v>
      </c>
      <c r="H279" s="115">
        <v>0.153</v>
      </c>
      <c r="I279" s="115">
        <v>0.14899999999999999</v>
      </c>
      <c r="J279" s="115">
        <v>0.14899999999999999</v>
      </c>
      <c r="K279" s="115">
        <v>0.14399999999999999</v>
      </c>
      <c r="L279" s="115">
        <v>0.14399999999999999</v>
      </c>
      <c r="M279" s="115">
        <v>0.14399999999999999</v>
      </c>
      <c r="N279" s="115">
        <v>0.14399999999999999</v>
      </c>
      <c r="O279" s="115">
        <v>0.184</v>
      </c>
      <c r="P279" s="115">
        <v>0.185</v>
      </c>
      <c r="Q279" s="115">
        <v>0.187</v>
      </c>
      <c r="R279" s="115">
        <v>0.20200000000000001</v>
      </c>
      <c r="S279" s="115">
        <v>0.19400000000000001</v>
      </c>
      <c r="T279" s="115">
        <v>0.216</v>
      </c>
      <c r="U279" s="115">
        <v>0.222</v>
      </c>
      <c r="V279" s="115">
        <v>0.23699999999999999</v>
      </c>
      <c r="W279" s="115">
        <v>0.55400000000000005</v>
      </c>
      <c r="X279" s="115">
        <v>0.54900000000000004</v>
      </c>
      <c r="Y279" s="115">
        <v>0.47699999999999998</v>
      </c>
      <c r="Z279" s="115">
        <v>0.58699999999999997</v>
      </c>
      <c r="AA279" s="115">
        <v>0.58499999999999996</v>
      </c>
      <c r="AB279" s="115">
        <v>0.57599999999999996</v>
      </c>
      <c r="AC279" s="115">
        <v>0.57299999999999995</v>
      </c>
      <c r="AD279" s="43"/>
      <c r="AE279" s="43"/>
      <c r="AF279" s="43"/>
      <c r="AG279" s="43"/>
      <c r="AH279" s="43"/>
      <c r="AI279" s="43"/>
    </row>
    <row r="280" spans="1:35" x14ac:dyDescent="0.25">
      <c r="A280" s="115" t="s">
        <v>731</v>
      </c>
      <c r="B280" s="115"/>
      <c r="C280" s="115">
        <v>0.253</v>
      </c>
      <c r="D280" s="115">
        <v>0.27700000000000002</v>
      </c>
      <c r="E280" s="115">
        <v>0.28599999999999998</v>
      </c>
      <c r="F280" s="115">
        <v>0.25900000000000001</v>
      </c>
      <c r="G280" s="115">
        <v>0.26900000000000002</v>
      </c>
      <c r="H280" s="115">
        <v>0.28299999999999997</v>
      </c>
      <c r="I280" s="115">
        <v>0.30099999999999999</v>
      </c>
      <c r="J280" s="115">
        <v>0.26500000000000001</v>
      </c>
      <c r="K280" s="115">
        <v>0.28299999999999997</v>
      </c>
      <c r="L280" s="115">
        <v>0.27300000000000002</v>
      </c>
      <c r="M280" s="115">
        <v>0.26300000000000001</v>
      </c>
      <c r="N280" s="115">
        <v>0.255</v>
      </c>
      <c r="O280" s="115">
        <v>0.32600000000000001</v>
      </c>
      <c r="P280" s="115">
        <v>0.309</v>
      </c>
      <c r="Q280" s="115">
        <v>0.30499999999999999</v>
      </c>
      <c r="R280" s="115">
        <v>0.32400000000000001</v>
      </c>
      <c r="S280" s="115">
        <v>0.34699999999999998</v>
      </c>
      <c r="T280" s="115">
        <v>0.34300000000000003</v>
      </c>
      <c r="U280" s="115">
        <v>0.35299999999999998</v>
      </c>
      <c r="V280" s="115">
        <v>0.379</v>
      </c>
      <c r="W280" s="115">
        <v>0.89200000000000002</v>
      </c>
      <c r="X280" s="115">
        <v>0.89800000000000002</v>
      </c>
      <c r="Y280" s="115">
        <v>0.77100000000000002</v>
      </c>
      <c r="Z280" s="115">
        <v>0.96199999999999997</v>
      </c>
      <c r="AA280" s="115">
        <v>0.95899999999999996</v>
      </c>
      <c r="AB280" s="115">
        <v>0.94499999999999995</v>
      </c>
      <c r="AC280" s="115">
        <v>0.94</v>
      </c>
      <c r="AD280" s="43"/>
      <c r="AE280" s="43"/>
      <c r="AF280" s="43"/>
      <c r="AG280" s="43"/>
      <c r="AH280" s="43"/>
      <c r="AI280" s="43"/>
    </row>
    <row r="281" spans="1:35" x14ac:dyDescent="0.25">
      <c r="A281" s="115" t="s">
        <v>726</v>
      </c>
      <c r="B281" s="115"/>
      <c r="C281" s="115">
        <v>0.113</v>
      </c>
      <c r="D281" s="115">
        <v>0.12</v>
      </c>
      <c r="E281" s="115">
        <v>0.128</v>
      </c>
      <c r="F281" s="115">
        <v>0.121</v>
      </c>
      <c r="G281" s="115">
        <v>0.128</v>
      </c>
      <c r="H281" s="115">
        <v>0.13600000000000001</v>
      </c>
      <c r="I281" s="115">
        <v>0.13400000000000001</v>
      </c>
      <c r="J281" s="115">
        <v>0.126</v>
      </c>
      <c r="K281" s="115">
        <v>0.127</v>
      </c>
      <c r="L281" s="115">
        <v>0.13600000000000001</v>
      </c>
      <c r="M281" s="115">
        <v>0.15</v>
      </c>
      <c r="N281" s="115">
        <v>0.161</v>
      </c>
      <c r="O281" s="115">
        <v>0.16</v>
      </c>
      <c r="P281" s="115">
        <v>0.18099999999999999</v>
      </c>
      <c r="Q281" s="115">
        <v>0.191</v>
      </c>
      <c r="R281" s="115">
        <v>0.20200000000000001</v>
      </c>
      <c r="S281" s="115">
        <v>0.17499999999999999</v>
      </c>
      <c r="T281" s="115">
        <v>0.25600000000000001</v>
      </c>
      <c r="U281" s="115">
        <v>0.26600000000000001</v>
      </c>
      <c r="V281" s="115">
        <v>0.27800000000000002</v>
      </c>
      <c r="W281" s="115">
        <v>0.29199999999999998</v>
      </c>
      <c r="X281" s="115">
        <v>0.30299999999999999</v>
      </c>
      <c r="Y281" s="115">
        <v>0.316</v>
      </c>
      <c r="Z281" s="115">
        <v>0.32800000000000001</v>
      </c>
      <c r="AA281" s="115">
        <v>0.34200000000000003</v>
      </c>
      <c r="AB281" s="115">
        <v>0.35599999999999998</v>
      </c>
      <c r="AC281" s="115">
        <v>0.373</v>
      </c>
      <c r="AD281" s="43"/>
      <c r="AE281" s="43"/>
      <c r="AF281" s="43"/>
      <c r="AG281" s="43"/>
      <c r="AH281" s="43"/>
      <c r="AI281" s="43"/>
    </row>
    <row r="282" spans="1:35" x14ac:dyDescent="0.25">
      <c r="A282" s="115" t="s">
        <v>727</v>
      </c>
      <c r="B282" s="115"/>
      <c r="C282" s="115">
        <v>0.20100000000000001</v>
      </c>
      <c r="D282" s="115">
        <v>0.20799999999999999</v>
      </c>
      <c r="E282" s="115">
        <v>0.221</v>
      </c>
      <c r="F282" s="115">
        <v>0.21299999999999999</v>
      </c>
      <c r="G282" s="115">
        <v>0.22500000000000001</v>
      </c>
      <c r="H282" s="115">
        <v>0.23699999999999999</v>
      </c>
      <c r="I282" s="115">
        <v>0.23499999999999999</v>
      </c>
      <c r="J282" s="115">
        <v>0.214</v>
      </c>
      <c r="K282" s="115">
        <v>0.215</v>
      </c>
      <c r="L282" s="115">
        <v>0.22900000000000001</v>
      </c>
      <c r="M282" s="115">
        <v>0.252</v>
      </c>
      <c r="N282" s="115">
        <v>0.26700000000000002</v>
      </c>
      <c r="O282" s="115">
        <v>0.26300000000000001</v>
      </c>
      <c r="P282" s="115">
        <v>0.29099999999999998</v>
      </c>
      <c r="Q282" s="115">
        <v>0.30499999999999999</v>
      </c>
      <c r="R282" s="115">
        <v>0.32100000000000001</v>
      </c>
      <c r="S282" s="115">
        <v>0.307</v>
      </c>
      <c r="T282" s="115">
        <v>0.39900000000000002</v>
      </c>
      <c r="U282" s="115">
        <v>0.41299999999999998</v>
      </c>
      <c r="V282" s="115">
        <v>0.42899999999999999</v>
      </c>
      <c r="W282" s="115">
        <v>0.44700000000000001</v>
      </c>
      <c r="X282" s="115">
        <v>0.46300000000000002</v>
      </c>
      <c r="Y282" s="115">
        <v>0.48099999999999998</v>
      </c>
      <c r="Z282" s="115">
        <v>0.498</v>
      </c>
      <c r="AA282" s="115">
        <v>0.51600000000000001</v>
      </c>
      <c r="AB282" s="115">
        <v>0.53600000000000003</v>
      </c>
      <c r="AC282" s="115">
        <v>0.55900000000000005</v>
      </c>
      <c r="AD282" s="43"/>
      <c r="AE282" s="43"/>
      <c r="AF282" s="43"/>
      <c r="AG282" s="43"/>
      <c r="AH282" s="43"/>
      <c r="AI282" s="43"/>
    </row>
    <row r="283" spans="1:35" x14ac:dyDescent="0.25">
      <c r="A283" s="115" t="s">
        <v>728</v>
      </c>
      <c r="B283" s="115"/>
      <c r="C283" s="115">
        <v>585.03599999999994</v>
      </c>
      <c r="D283" s="115">
        <v>645.22699999999998</v>
      </c>
      <c r="E283" s="115">
        <v>709.73699999999997</v>
      </c>
      <c r="F283" s="115">
        <v>607.33000000000004</v>
      </c>
      <c r="G283" s="115">
        <v>650.49599999999998</v>
      </c>
      <c r="H283" s="115">
        <v>699.02</v>
      </c>
      <c r="I283" s="115">
        <v>736.58399999999995</v>
      </c>
      <c r="J283" s="115">
        <v>700.04200000000003</v>
      </c>
      <c r="K283" s="115">
        <v>713.32299999999998</v>
      </c>
      <c r="L283" s="115">
        <v>789.49400000000003</v>
      </c>
      <c r="M283" s="115">
        <v>915.04499999999996</v>
      </c>
      <c r="N283" s="115">
        <v>1031.701</v>
      </c>
      <c r="O283" s="115">
        <v>1042.9680000000001</v>
      </c>
      <c r="P283" s="115">
        <v>1216.5350000000001</v>
      </c>
      <c r="Q283" s="115">
        <v>1313.671</v>
      </c>
      <c r="R283" s="115">
        <v>1422.6220000000001</v>
      </c>
      <c r="S283" s="115">
        <v>1020.895</v>
      </c>
      <c r="T283" s="115">
        <v>1990.587</v>
      </c>
      <c r="U283" s="115">
        <v>2124.9290000000001</v>
      </c>
      <c r="V283" s="115">
        <v>2264.8510000000001</v>
      </c>
      <c r="W283" s="115">
        <v>2422.067</v>
      </c>
      <c r="X283" s="115">
        <v>2558.3270000000002</v>
      </c>
      <c r="Y283" s="115">
        <v>2725.9740000000002</v>
      </c>
      <c r="Z283" s="115">
        <v>2886.9560000000001</v>
      </c>
      <c r="AA283" s="115">
        <v>3074.5129999999999</v>
      </c>
      <c r="AB283" s="115">
        <v>3276.6419999999998</v>
      </c>
      <c r="AC283" s="115">
        <v>3528.2510000000002</v>
      </c>
      <c r="AD283" s="43"/>
      <c r="AE283" s="43"/>
      <c r="AF283" s="43"/>
      <c r="AG283" s="43"/>
      <c r="AH283" s="43"/>
      <c r="AI283" s="43"/>
    </row>
    <row r="284" spans="1:35" x14ac:dyDescent="0.25">
      <c r="A284" s="115" t="s">
        <v>741</v>
      </c>
      <c r="B284" s="115"/>
      <c r="C284" s="115">
        <v>3.1E-2</v>
      </c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43"/>
      <c r="AE284" s="43"/>
      <c r="AF284" s="43"/>
      <c r="AG284" s="43"/>
      <c r="AH284" s="43"/>
      <c r="AI284" s="43"/>
    </row>
    <row r="285" spans="1:35" x14ac:dyDescent="0.25">
      <c r="A285" s="115" t="s">
        <v>999</v>
      </c>
      <c r="B285" s="115"/>
      <c r="C285" s="115">
        <v>46.052</v>
      </c>
      <c r="D285" s="115">
        <v>48.597999999999999</v>
      </c>
      <c r="E285" s="115">
        <v>51.734999999999999</v>
      </c>
      <c r="F285" s="115">
        <v>52.545999999999999</v>
      </c>
      <c r="G285" s="115">
        <v>52.194000000000003</v>
      </c>
      <c r="H285" s="115">
        <v>51.54</v>
      </c>
      <c r="I285" s="115">
        <v>39.902000000000001</v>
      </c>
      <c r="J285" s="115">
        <v>42.59</v>
      </c>
      <c r="K285" s="115">
        <v>41.972999999999999</v>
      </c>
      <c r="L285" s="115">
        <v>41.247</v>
      </c>
      <c r="M285" s="115">
        <v>40.994</v>
      </c>
      <c r="N285" s="115">
        <v>40.215000000000003</v>
      </c>
      <c r="O285" s="115">
        <v>40.344000000000001</v>
      </c>
      <c r="P285" s="115">
        <v>44.6</v>
      </c>
      <c r="Q285" s="115">
        <v>43.701999999999998</v>
      </c>
      <c r="R285" s="115">
        <v>43.262</v>
      </c>
      <c r="S285" s="115">
        <v>32.951999999999998</v>
      </c>
      <c r="T285" s="115">
        <v>28.574999999999999</v>
      </c>
      <c r="U285" s="115">
        <v>27.861000000000001</v>
      </c>
      <c r="V285" s="115">
        <v>26.202999999999999</v>
      </c>
      <c r="W285" s="115">
        <v>26.166</v>
      </c>
      <c r="X285" s="115">
        <v>25.564</v>
      </c>
      <c r="Y285" s="115">
        <v>24.989000000000001</v>
      </c>
      <c r="Z285" s="115">
        <v>24.454000000000001</v>
      </c>
      <c r="AA285" s="115">
        <v>23.959</v>
      </c>
      <c r="AB285" s="115">
        <v>23.492000000000001</v>
      </c>
      <c r="AC285" s="115">
        <v>22.417000000000002</v>
      </c>
      <c r="AD285" s="43"/>
      <c r="AE285" s="43"/>
      <c r="AF285" s="43"/>
      <c r="AG285" s="43"/>
      <c r="AH285" s="43"/>
      <c r="AI285" s="43"/>
    </row>
    <row r="286" spans="1:35" x14ac:dyDescent="0.25">
      <c r="A286" s="115" t="s">
        <v>998</v>
      </c>
      <c r="B286" s="115"/>
      <c r="C286" s="115">
        <v>35.209000000000003</v>
      </c>
      <c r="D286" s="115">
        <v>42.030999999999999</v>
      </c>
      <c r="E286" s="115">
        <v>42.030999999999999</v>
      </c>
      <c r="F286" s="115">
        <v>42.030999999999999</v>
      </c>
      <c r="G286" s="115">
        <v>42.030999999999999</v>
      </c>
      <c r="H286" s="115">
        <v>42.030999999999999</v>
      </c>
      <c r="I286" s="115">
        <v>28.885999999999999</v>
      </c>
      <c r="J286" s="115">
        <v>28.885999999999999</v>
      </c>
      <c r="K286" s="115">
        <v>28.885999999999999</v>
      </c>
      <c r="L286" s="115">
        <v>28.885999999999999</v>
      </c>
      <c r="M286" s="115">
        <v>28.885999999999999</v>
      </c>
      <c r="N286" s="115">
        <v>28.885999999999999</v>
      </c>
      <c r="O286" s="115">
        <v>28.885999999999999</v>
      </c>
      <c r="P286" s="115">
        <v>28.885999999999999</v>
      </c>
      <c r="Q286" s="115">
        <v>28.885999999999999</v>
      </c>
      <c r="R286" s="115">
        <v>28.885999999999999</v>
      </c>
      <c r="S286" s="115">
        <v>13.099</v>
      </c>
      <c r="T286" s="115">
        <v>13.099</v>
      </c>
      <c r="U286" s="115">
        <v>13.099</v>
      </c>
      <c r="V286" s="115">
        <v>13.099</v>
      </c>
      <c r="W286" s="115">
        <v>13.099</v>
      </c>
      <c r="X286" s="115">
        <v>13.099</v>
      </c>
      <c r="Y286" s="115">
        <v>13.099</v>
      </c>
      <c r="Z286" s="115">
        <v>13.099</v>
      </c>
      <c r="AA286" s="115">
        <v>13.099</v>
      </c>
      <c r="AB286" s="115">
        <v>13.099</v>
      </c>
      <c r="AC286" s="115">
        <v>12.442</v>
      </c>
      <c r="AD286" s="43"/>
      <c r="AE286" s="43"/>
      <c r="AF286" s="43"/>
      <c r="AG286" s="43"/>
      <c r="AH286" s="43"/>
      <c r="AI286" s="43"/>
    </row>
    <row r="287" spans="1:35" x14ac:dyDescent="0.25">
      <c r="A287" s="115" t="s">
        <v>710</v>
      </c>
      <c r="B287" s="115"/>
      <c r="C287" s="115">
        <v>1.1599999999999999</v>
      </c>
      <c r="D287" s="115">
        <v>0.66300000000000003</v>
      </c>
      <c r="E287" s="115">
        <v>0.97499999999999998</v>
      </c>
      <c r="F287" s="115">
        <v>1.0660000000000001</v>
      </c>
      <c r="G287" s="115">
        <v>1.04</v>
      </c>
      <c r="H287" s="115">
        <v>0.97599999999999998</v>
      </c>
      <c r="I287" s="115">
        <v>1.0669999999999999</v>
      </c>
      <c r="J287" s="115">
        <v>1.44</v>
      </c>
      <c r="K287" s="115">
        <v>1.383</v>
      </c>
      <c r="L287" s="115">
        <v>1.3109999999999999</v>
      </c>
      <c r="M287" s="115">
        <v>1.2989999999999999</v>
      </c>
      <c r="N287" s="115">
        <v>1.2190000000000001</v>
      </c>
      <c r="O287" s="115">
        <v>1.2470000000000001</v>
      </c>
      <c r="P287" s="115">
        <v>1.8089999999999999</v>
      </c>
      <c r="Q287" s="115">
        <v>1.7010000000000001</v>
      </c>
      <c r="R287" s="115">
        <v>1.65</v>
      </c>
      <c r="S287" s="115">
        <v>2.2629999999999999</v>
      </c>
      <c r="T287" s="115">
        <v>1.7450000000000001</v>
      </c>
      <c r="U287" s="115">
        <v>1.661</v>
      </c>
      <c r="V287" s="115">
        <v>1.46</v>
      </c>
      <c r="W287" s="115">
        <v>1.4630000000000001</v>
      </c>
      <c r="X287" s="115">
        <v>1.393</v>
      </c>
      <c r="Y287" s="115">
        <v>1.325</v>
      </c>
      <c r="Z287" s="115">
        <v>1.2629999999999999</v>
      </c>
      <c r="AA287" s="115">
        <v>1.2050000000000001</v>
      </c>
      <c r="AB287" s="115">
        <v>1.151</v>
      </c>
      <c r="AC287" s="115">
        <v>1.121</v>
      </c>
      <c r="AD287" s="43"/>
      <c r="AE287" s="43"/>
      <c r="AF287" s="43"/>
      <c r="AG287" s="43"/>
      <c r="AH287" s="43"/>
      <c r="AI287" s="43"/>
    </row>
    <row r="288" spans="1:35" x14ac:dyDescent="0.25">
      <c r="A288" s="115" t="s">
        <v>997</v>
      </c>
      <c r="B288" s="115"/>
      <c r="C288" s="115">
        <v>10.843</v>
      </c>
      <c r="D288" s="115">
        <v>6.5670000000000002</v>
      </c>
      <c r="E288" s="115">
        <v>9.7040000000000006</v>
      </c>
      <c r="F288" s="115">
        <v>10.513999999999999</v>
      </c>
      <c r="G288" s="115">
        <v>10.162000000000001</v>
      </c>
      <c r="H288" s="115">
        <v>9.5079999999999991</v>
      </c>
      <c r="I288" s="115">
        <v>11.015000000000001</v>
      </c>
      <c r="J288" s="115">
        <v>13.704000000000001</v>
      </c>
      <c r="K288" s="115">
        <v>13.087</v>
      </c>
      <c r="L288" s="115">
        <v>12.36</v>
      </c>
      <c r="M288" s="115">
        <v>12.108000000000001</v>
      </c>
      <c r="N288" s="115">
        <v>11.329000000000001</v>
      </c>
      <c r="O288" s="115">
        <v>11.458</v>
      </c>
      <c r="P288" s="115">
        <v>15.712999999999999</v>
      </c>
      <c r="Q288" s="115">
        <v>14.816000000000001</v>
      </c>
      <c r="R288" s="115">
        <v>14.375</v>
      </c>
      <c r="S288" s="115">
        <v>19.853000000000002</v>
      </c>
      <c r="T288" s="115">
        <v>15.476000000000001</v>
      </c>
      <c r="U288" s="115">
        <v>14.762</v>
      </c>
      <c r="V288" s="115">
        <v>13.103999999999999</v>
      </c>
      <c r="W288" s="115">
        <v>13.067</v>
      </c>
      <c r="X288" s="115">
        <v>12.465999999999999</v>
      </c>
      <c r="Y288" s="115">
        <v>11.89</v>
      </c>
      <c r="Z288" s="115">
        <v>11.355</v>
      </c>
      <c r="AA288" s="115">
        <v>10.86</v>
      </c>
      <c r="AB288" s="115">
        <v>10.393000000000001</v>
      </c>
      <c r="AC288" s="115">
        <v>9.9749999999999996</v>
      </c>
      <c r="AD288" s="43"/>
      <c r="AE288" s="43"/>
      <c r="AF288" s="43"/>
      <c r="AG288" s="43"/>
      <c r="AH288" s="43"/>
      <c r="AI288" s="43"/>
    </row>
    <row r="289" spans="1:35" x14ac:dyDescent="0.25">
      <c r="A289" s="115" t="s">
        <v>709</v>
      </c>
      <c r="B289" s="115"/>
      <c r="C289" s="115">
        <v>5.8259999999999996</v>
      </c>
      <c r="D289" s="115">
        <v>3.8149999999999999</v>
      </c>
      <c r="E289" s="115">
        <v>4.9939999999999998</v>
      </c>
      <c r="F289" s="115">
        <v>5.3719999999999999</v>
      </c>
      <c r="G289" s="115">
        <v>5.4690000000000003</v>
      </c>
      <c r="H289" s="115">
        <v>5.34</v>
      </c>
      <c r="I289" s="115">
        <v>5.5510000000000002</v>
      </c>
      <c r="J289" s="115">
        <v>6.7960000000000003</v>
      </c>
      <c r="K289" s="115">
        <v>6.4909999999999997</v>
      </c>
      <c r="L289" s="115">
        <v>6.3410000000000002</v>
      </c>
      <c r="M289" s="115">
        <v>6.4619999999999997</v>
      </c>
      <c r="N289" s="115">
        <v>6.2450000000000001</v>
      </c>
      <c r="O289" s="115">
        <v>6.298</v>
      </c>
      <c r="P289" s="115">
        <v>8.9890000000000008</v>
      </c>
      <c r="Q289" s="115">
        <v>8.5850000000000009</v>
      </c>
      <c r="R289" s="115">
        <v>8.4359999999999999</v>
      </c>
      <c r="S289" s="115">
        <v>10.657999999999999</v>
      </c>
      <c r="T289" s="115">
        <v>9.7260000000000009</v>
      </c>
      <c r="U289" s="115">
        <v>9.3279999999999994</v>
      </c>
      <c r="V289" s="115">
        <v>8.4149999999999991</v>
      </c>
      <c r="W289" s="115">
        <v>8.3930000000000007</v>
      </c>
      <c r="X289" s="115">
        <v>8.0289999999999999</v>
      </c>
      <c r="Y289" s="115">
        <v>7.6859999999999999</v>
      </c>
      <c r="Z289" s="115">
        <v>7.3620000000000001</v>
      </c>
      <c r="AA289" s="115">
        <v>7.0629999999999997</v>
      </c>
      <c r="AB289" s="115">
        <v>6.78</v>
      </c>
      <c r="AC289" s="115">
        <v>6.5110000000000001</v>
      </c>
      <c r="AD289" s="43"/>
      <c r="AE289" s="43"/>
      <c r="AF289" s="43"/>
      <c r="AG289" s="43"/>
      <c r="AH289" s="43"/>
      <c r="AI289" s="43"/>
    </row>
    <row r="290" spans="1:35" x14ac:dyDescent="0.25">
      <c r="A290" s="115" t="s">
        <v>708</v>
      </c>
      <c r="B290" s="115"/>
      <c r="C290" s="115">
        <v>3.5920000000000001</v>
      </c>
      <c r="D290" s="115">
        <v>1.909</v>
      </c>
      <c r="E290" s="115">
        <v>3.488</v>
      </c>
      <c r="F290" s="115">
        <v>3.8079999999999998</v>
      </c>
      <c r="G290" s="115">
        <v>3.383</v>
      </c>
      <c r="H290" s="115">
        <v>2.9329999999999998</v>
      </c>
      <c r="I290" s="115">
        <v>4.1239999999999997</v>
      </c>
      <c r="J290" s="115">
        <v>5.1070000000000002</v>
      </c>
      <c r="K290" s="115">
        <v>4.8630000000000004</v>
      </c>
      <c r="L290" s="115">
        <v>4.3689999999999998</v>
      </c>
      <c r="M290" s="115">
        <v>4.0039999999999996</v>
      </c>
      <c r="N290" s="115">
        <v>3.536</v>
      </c>
      <c r="O290" s="115">
        <v>3.5779999999999998</v>
      </c>
      <c r="P290" s="115">
        <v>4.415</v>
      </c>
      <c r="Q290" s="115">
        <v>4.056</v>
      </c>
      <c r="R290" s="115">
        <v>3.827</v>
      </c>
      <c r="S290" s="115">
        <v>6.3070000000000004</v>
      </c>
      <c r="T290" s="115">
        <v>3.4929999999999999</v>
      </c>
      <c r="U290" s="115">
        <v>3.2839999999999998</v>
      </c>
      <c r="V290" s="115">
        <v>2.7949999999999999</v>
      </c>
      <c r="W290" s="115">
        <v>2.7770000000000001</v>
      </c>
      <c r="X290" s="115">
        <v>2.629</v>
      </c>
      <c r="Y290" s="115">
        <v>2.4830000000000001</v>
      </c>
      <c r="Z290" s="115">
        <v>2.351</v>
      </c>
      <c r="AA290" s="115">
        <v>2.2290000000000001</v>
      </c>
      <c r="AB290" s="115">
        <v>2.1150000000000002</v>
      </c>
      <c r="AC290" s="115">
        <v>2.004</v>
      </c>
      <c r="AD290" s="43"/>
      <c r="AE290" s="43"/>
      <c r="AF290" s="43"/>
      <c r="AG290" s="43"/>
      <c r="AH290" s="43"/>
      <c r="AI290" s="43"/>
    </row>
    <row r="291" spans="1:35" x14ac:dyDescent="0.25">
      <c r="A291" s="115" t="s">
        <v>707</v>
      </c>
      <c r="B291" s="115"/>
      <c r="C291" s="115">
        <v>0.26500000000000001</v>
      </c>
      <c r="D291" s="115">
        <v>0.18</v>
      </c>
      <c r="E291" s="115">
        <v>0.247</v>
      </c>
      <c r="F291" s="115">
        <v>0.26800000000000002</v>
      </c>
      <c r="G291" s="115">
        <v>0.27</v>
      </c>
      <c r="H291" s="115">
        <v>0.26</v>
      </c>
      <c r="I291" s="115">
        <v>0.27400000000000002</v>
      </c>
      <c r="J291" s="115">
        <v>0.36099999999999999</v>
      </c>
      <c r="K291" s="115">
        <v>0.34899999999999998</v>
      </c>
      <c r="L291" s="115">
        <v>0.33900000000000002</v>
      </c>
      <c r="M291" s="115">
        <v>0.34399999999999997</v>
      </c>
      <c r="N291" s="115">
        <v>0.32900000000000001</v>
      </c>
      <c r="O291" s="115">
        <v>0.33500000000000002</v>
      </c>
      <c r="P291" s="115">
        <v>0.5</v>
      </c>
      <c r="Q291" s="115">
        <v>0.47399999999999998</v>
      </c>
      <c r="R291" s="115">
        <v>0.46200000000000002</v>
      </c>
      <c r="S291" s="115">
        <v>0.624</v>
      </c>
      <c r="T291" s="115">
        <v>0.51200000000000001</v>
      </c>
      <c r="U291" s="115">
        <v>0.48899999999999999</v>
      </c>
      <c r="V291" s="115">
        <v>0.434</v>
      </c>
      <c r="W291" s="115">
        <v>0.434</v>
      </c>
      <c r="X291" s="115">
        <v>0.41499999999999998</v>
      </c>
      <c r="Y291" s="115">
        <v>0.39600000000000002</v>
      </c>
      <c r="Z291" s="115">
        <v>0.379</v>
      </c>
      <c r="AA291" s="115">
        <v>0.36299999999999999</v>
      </c>
      <c r="AB291" s="115">
        <v>0.34699999999999998</v>
      </c>
      <c r="AC291" s="115">
        <v>0.33800000000000002</v>
      </c>
      <c r="AD291" s="43"/>
      <c r="AE291" s="43"/>
      <c r="AF291" s="43"/>
      <c r="AG291" s="43"/>
      <c r="AH291" s="43"/>
      <c r="AI291" s="43"/>
    </row>
    <row r="292" spans="1:35" x14ac:dyDescent="0.25">
      <c r="A292" s="115" t="s">
        <v>607</v>
      </c>
      <c r="B292" s="115">
        <v>37.524999999999999</v>
      </c>
      <c r="C292" s="115">
        <v>36.073</v>
      </c>
      <c r="D292" s="115">
        <v>35.151000000000003</v>
      </c>
      <c r="E292" s="115">
        <v>33.798999999999999</v>
      </c>
      <c r="F292" s="115">
        <v>31.917999999999999</v>
      </c>
      <c r="G292" s="115">
        <v>30.504000000000001</v>
      </c>
      <c r="H292" s="115">
        <v>29.125</v>
      </c>
      <c r="I292" s="115">
        <v>27.718</v>
      </c>
      <c r="J292" s="115">
        <v>26.122</v>
      </c>
      <c r="K292" s="115">
        <v>24.52</v>
      </c>
      <c r="L292" s="115">
        <v>23.004000000000001</v>
      </c>
      <c r="M292" s="115">
        <v>21.509</v>
      </c>
      <c r="N292" s="115">
        <v>20.094999999999999</v>
      </c>
      <c r="O292" s="115">
        <v>19.163</v>
      </c>
      <c r="P292" s="115">
        <v>18.166</v>
      </c>
      <c r="Q292" s="115">
        <v>17.253</v>
      </c>
      <c r="R292" s="115">
        <v>16.481999999999999</v>
      </c>
      <c r="S292" s="115">
        <v>14.484</v>
      </c>
      <c r="T292" s="115">
        <v>14.678000000000001</v>
      </c>
      <c r="U292" s="115">
        <v>13.944000000000001</v>
      </c>
      <c r="V292" s="115">
        <v>13.331</v>
      </c>
      <c r="W292" s="115">
        <v>12.824</v>
      </c>
      <c r="X292" s="115">
        <v>12.339</v>
      </c>
      <c r="Y292" s="115">
        <v>11.856</v>
      </c>
      <c r="Z292" s="115">
        <v>11.436999999999999</v>
      </c>
      <c r="AA292" s="115">
        <v>10.986000000000001</v>
      </c>
      <c r="AB292" s="115">
        <v>10.57</v>
      </c>
      <c r="AC292" s="115">
        <v>10.116</v>
      </c>
      <c r="AD292" s="43"/>
      <c r="AE292" s="43"/>
      <c r="AF292" s="43"/>
      <c r="AG292" s="43"/>
      <c r="AH292" s="43"/>
      <c r="AI292" s="43"/>
    </row>
    <row r="293" spans="1:35" x14ac:dyDescent="0.25">
      <c r="A293" s="115" t="s">
        <v>602</v>
      </c>
      <c r="B293" s="115">
        <v>79</v>
      </c>
      <c r="C293" s="115">
        <v>79</v>
      </c>
      <c r="D293" s="115">
        <v>79</v>
      </c>
      <c r="E293" s="115">
        <v>79</v>
      </c>
      <c r="F293" s="115">
        <v>79</v>
      </c>
      <c r="G293" s="115">
        <v>79</v>
      </c>
      <c r="H293" s="115">
        <v>79</v>
      </c>
      <c r="I293" s="115">
        <v>79</v>
      </c>
      <c r="J293" s="115">
        <v>79</v>
      </c>
      <c r="K293" s="115">
        <v>79</v>
      </c>
      <c r="L293" s="115">
        <v>79</v>
      </c>
      <c r="M293" s="115">
        <v>79</v>
      </c>
      <c r="N293" s="115">
        <v>79</v>
      </c>
      <c r="O293" s="115">
        <v>79</v>
      </c>
      <c r="P293" s="115">
        <v>79</v>
      </c>
      <c r="Q293" s="115">
        <v>79</v>
      </c>
      <c r="R293" s="115">
        <v>79</v>
      </c>
      <c r="S293" s="115">
        <v>79</v>
      </c>
      <c r="T293" s="115">
        <v>79</v>
      </c>
      <c r="U293" s="115">
        <v>79</v>
      </c>
      <c r="V293" s="115">
        <v>79</v>
      </c>
      <c r="W293" s="115">
        <v>79</v>
      </c>
      <c r="X293" s="115">
        <v>79</v>
      </c>
      <c r="Y293" s="115">
        <v>79</v>
      </c>
      <c r="Z293" s="115">
        <v>79</v>
      </c>
      <c r="AA293" s="115">
        <v>79</v>
      </c>
      <c r="AB293" s="115">
        <v>79</v>
      </c>
      <c r="AC293" s="115">
        <v>79</v>
      </c>
      <c r="AD293" s="43"/>
      <c r="AE293" s="43"/>
      <c r="AF293" s="43"/>
      <c r="AG293" s="43"/>
      <c r="AH293" s="43"/>
      <c r="AI293" s="43"/>
    </row>
    <row r="294" spans="1:35" x14ac:dyDescent="0.25">
      <c r="A294" s="115" t="s">
        <v>605</v>
      </c>
      <c r="B294" s="115">
        <v>101</v>
      </c>
      <c r="C294" s="115">
        <v>101</v>
      </c>
      <c r="D294" s="115">
        <v>101</v>
      </c>
      <c r="E294" s="115">
        <v>101</v>
      </c>
      <c r="F294" s="115">
        <v>101</v>
      </c>
      <c r="G294" s="115">
        <v>101</v>
      </c>
      <c r="H294" s="115">
        <v>101</v>
      </c>
      <c r="I294" s="115">
        <v>101</v>
      </c>
      <c r="J294" s="115">
        <v>98</v>
      </c>
      <c r="K294" s="115">
        <v>94</v>
      </c>
      <c r="L294" s="115">
        <v>91</v>
      </c>
      <c r="M294" s="115">
        <v>87</v>
      </c>
      <c r="N294" s="115">
        <v>84</v>
      </c>
      <c r="O294" s="115">
        <v>81</v>
      </c>
      <c r="P294" s="115">
        <v>77</v>
      </c>
      <c r="Q294" s="115">
        <v>74</v>
      </c>
      <c r="R294" s="115">
        <v>71</v>
      </c>
      <c r="S294" s="115">
        <v>67</v>
      </c>
      <c r="T294" s="115">
        <v>64</v>
      </c>
      <c r="U294" s="115">
        <v>60</v>
      </c>
      <c r="V294" s="115">
        <v>57</v>
      </c>
      <c r="W294" s="115">
        <v>54</v>
      </c>
      <c r="X294" s="115">
        <v>50</v>
      </c>
      <c r="Y294" s="115">
        <v>47</v>
      </c>
      <c r="Z294" s="115">
        <v>44</v>
      </c>
      <c r="AA294" s="115">
        <v>40</v>
      </c>
      <c r="AB294" s="115">
        <v>37</v>
      </c>
      <c r="AC294" s="115">
        <v>33</v>
      </c>
      <c r="AD294" s="43"/>
      <c r="AE294" s="43"/>
      <c r="AF294" s="43"/>
      <c r="AG294" s="43"/>
      <c r="AH294" s="43"/>
      <c r="AI294" s="43"/>
    </row>
    <row r="295" spans="1:35" x14ac:dyDescent="0.25">
      <c r="A295" s="115" t="s">
        <v>358</v>
      </c>
      <c r="B295" s="115">
        <v>220</v>
      </c>
      <c r="C295" s="115">
        <v>220</v>
      </c>
      <c r="D295" s="115">
        <v>220</v>
      </c>
      <c r="E295" s="115">
        <v>220</v>
      </c>
      <c r="F295" s="115">
        <v>220</v>
      </c>
      <c r="G295" s="115">
        <v>220</v>
      </c>
      <c r="H295" s="115">
        <v>220</v>
      </c>
      <c r="I295" s="115">
        <v>220</v>
      </c>
      <c r="J295" s="115">
        <v>220</v>
      </c>
      <c r="K295" s="115">
        <v>220</v>
      </c>
      <c r="L295" s="115">
        <v>220</v>
      </c>
      <c r="M295" s="115">
        <v>220</v>
      </c>
      <c r="N295" s="115">
        <v>220</v>
      </c>
      <c r="O295" s="115">
        <v>220</v>
      </c>
      <c r="P295" s="115">
        <v>220</v>
      </c>
      <c r="Q295" s="115">
        <v>220</v>
      </c>
      <c r="R295" s="115">
        <v>220</v>
      </c>
      <c r="S295" s="115">
        <v>220</v>
      </c>
      <c r="T295" s="115">
        <v>220</v>
      </c>
      <c r="U295" s="115">
        <v>220</v>
      </c>
      <c r="V295" s="115">
        <v>220</v>
      </c>
      <c r="W295" s="115">
        <v>220</v>
      </c>
      <c r="X295" s="115">
        <v>220</v>
      </c>
      <c r="Y295" s="115">
        <v>220</v>
      </c>
      <c r="Z295" s="115">
        <v>220</v>
      </c>
      <c r="AA295" s="115">
        <v>220</v>
      </c>
      <c r="AB295" s="115">
        <v>220</v>
      </c>
      <c r="AC295" s="115">
        <v>220</v>
      </c>
      <c r="AD295" s="43"/>
      <c r="AE295" s="43"/>
      <c r="AF295" s="43"/>
      <c r="AG295" s="43"/>
      <c r="AH295" s="43"/>
      <c r="AI295" s="43"/>
    </row>
    <row r="296" spans="1:35" x14ac:dyDescent="0.25">
      <c r="A296" s="115" t="s">
        <v>603</v>
      </c>
      <c r="B296" s="115">
        <v>324</v>
      </c>
      <c r="C296" s="115">
        <v>324</v>
      </c>
      <c r="D296" s="115">
        <v>324</v>
      </c>
      <c r="E296" s="115">
        <v>324</v>
      </c>
      <c r="F296" s="115">
        <v>324</v>
      </c>
      <c r="G296" s="115">
        <v>324</v>
      </c>
      <c r="H296" s="115">
        <v>324</v>
      </c>
      <c r="I296" s="115">
        <v>324</v>
      </c>
      <c r="J296" s="115">
        <v>324</v>
      </c>
      <c r="K296" s="115">
        <v>324</v>
      </c>
      <c r="L296" s="115">
        <v>324</v>
      </c>
      <c r="M296" s="115">
        <v>324</v>
      </c>
      <c r="N296" s="115">
        <v>324</v>
      </c>
      <c r="O296" s="115">
        <v>324</v>
      </c>
      <c r="P296" s="115">
        <v>324</v>
      </c>
      <c r="Q296" s="115">
        <v>324</v>
      </c>
      <c r="R296" s="115">
        <v>324</v>
      </c>
      <c r="S296" s="115">
        <v>324</v>
      </c>
      <c r="T296" s="115">
        <v>324</v>
      </c>
      <c r="U296" s="115">
        <v>324</v>
      </c>
      <c r="V296" s="115">
        <v>324</v>
      </c>
      <c r="W296" s="115">
        <v>324</v>
      </c>
      <c r="X296" s="115">
        <v>324</v>
      </c>
      <c r="Y296" s="115">
        <v>324</v>
      </c>
      <c r="Z296" s="115">
        <v>324</v>
      </c>
      <c r="AA296" s="115">
        <v>324</v>
      </c>
      <c r="AB296" s="115">
        <v>324</v>
      </c>
      <c r="AC296" s="115">
        <v>324</v>
      </c>
      <c r="AD296" s="43"/>
      <c r="AE296" s="43"/>
      <c r="AF296" s="43"/>
      <c r="AG296" s="43"/>
      <c r="AH296" s="43"/>
      <c r="AI296" s="43"/>
    </row>
    <row r="297" spans="1:35" x14ac:dyDescent="0.25">
      <c r="A297" s="115" t="s">
        <v>604</v>
      </c>
      <c r="B297" s="115">
        <v>30</v>
      </c>
      <c r="C297" s="115">
        <v>30</v>
      </c>
      <c r="D297" s="115">
        <v>30</v>
      </c>
      <c r="E297" s="115">
        <v>30</v>
      </c>
      <c r="F297" s="115">
        <v>30</v>
      </c>
      <c r="G297" s="115">
        <v>30</v>
      </c>
      <c r="H297" s="115">
        <v>30</v>
      </c>
      <c r="I297" s="115">
        <v>30</v>
      </c>
      <c r="J297" s="115">
        <v>30</v>
      </c>
      <c r="K297" s="115">
        <v>30</v>
      </c>
      <c r="L297" s="115">
        <v>30</v>
      </c>
      <c r="M297" s="115">
        <v>30</v>
      </c>
      <c r="N297" s="115">
        <v>30</v>
      </c>
      <c r="O297" s="115">
        <v>30</v>
      </c>
      <c r="P297" s="115">
        <v>30</v>
      </c>
      <c r="Q297" s="115">
        <v>30</v>
      </c>
      <c r="R297" s="115">
        <v>30</v>
      </c>
      <c r="S297" s="115">
        <v>30</v>
      </c>
      <c r="T297" s="115">
        <v>30</v>
      </c>
      <c r="U297" s="115">
        <v>30</v>
      </c>
      <c r="V297" s="115">
        <v>30</v>
      </c>
      <c r="W297" s="115">
        <v>30</v>
      </c>
      <c r="X297" s="115">
        <v>30</v>
      </c>
      <c r="Y297" s="115">
        <v>30</v>
      </c>
      <c r="Z297" s="115">
        <v>30</v>
      </c>
      <c r="AA297" s="115">
        <v>30</v>
      </c>
      <c r="AB297" s="115">
        <v>30</v>
      </c>
      <c r="AC297" s="115">
        <v>30</v>
      </c>
      <c r="AD297" s="43"/>
      <c r="AE297" s="43"/>
      <c r="AF297" s="43"/>
      <c r="AG297" s="43"/>
      <c r="AH297" s="43"/>
      <c r="AI297" s="43"/>
    </row>
    <row r="298" spans="1:35" x14ac:dyDescent="0.25">
      <c r="A298" s="115" t="s">
        <v>6</v>
      </c>
      <c r="B298" s="115">
        <v>4.0209999999999999</v>
      </c>
      <c r="C298" s="115">
        <v>3.9380000000000002</v>
      </c>
      <c r="D298" s="115">
        <v>3.923</v>
      </c>
      <c r="E298" s="115">
        <v>3.9079999999999999</v>
      </c>
      <c r="F298" s="115">
        <v>3.915</v>
      </c>
      <c r="G298" s="115">
        <v>3.9169999999999998</v>
      </c>
      <c r="H298" s="115">
        <v>3.915</v>
      </c>
      <c r="I298" s="115">
        <v>3.8889999999999998</v>
      </c>
      <c r="J298" s="115">
        <v>3.8849999999999998</v>
      </c>
      <c r="K298" s="115">
        <v>3.8730000000000002</v>
      </c>
      <c r="L298" s="115">
        <v>3.871</v>
      </c>
      <c r="M298" s="115">
        <v>3.8809999999999998</v>
      </c>
      <c r="N298" s="115">
        <v>3.9009999999999998</v>
      </c>
      <c r="O298" s="115">
        <v>3.8809999999999998</v>
      </c>
      <c r="P298" s="115">
        <v>3.8620000000000001</v>
      </c>
      <c r="Q298" s="115">
        <v>3.855</v>
      </c>
      <c r="R298" s="115">
        <v>3.8370000000000002</v>
      </c>
      <c r="S298" s="115">
        <v>3.8279999999999998</v>
      </c>
      <c r="T298" s="115">
        <v>3.8029999999999999</v>
      </c>
      <c r="U298" s="115">
        <v>3.782</v>
      </c>
      <c r="V298" s="115">
        <v>3.7549999999999999</v>
      </c>
      <c r="W298" s="115">
        <v>3.7559999999999998</v>
      </c>
      <c r="X298" s="115">
        <v>3.7429999999999999</v>
      </c>
      <c r="Y298" s="115">
        <v>3.7440000000000002</v>
      </c>
      <c r="Z298" s="115">
        <v>3.7370000000000001</v>
      </c>
      <c r="AA298" s="115">
        <v>3.7330000000000001</v>
      </c>
      <c r="AB298" s="115">
        <v>3.7349999999999999</v>
      </c>
      <c r="AC298" s="115">
        <v>3.74</v>
      </c>
      <c r="AD298" s="43"/>
      <c r="AE298" s="43"/>
      <c r="AF298" s="43"/>
      <c r="AG298" s="43"/>
      <c r="AH298" s="43"/>
      <c r="AI298" s="43"/>
    </row>
    <row r="299" spans="1:35" x14ac:dyDescent="0.25">
      <c r="A299" s="115" t="s">
        <v>612</v>
      </c>
      <c r="B299" s="115">
        <v>37.524999999999999</v>
      </c>
      <c r="C299" s="115">
        <v>36.027000000000001</v>
      </c>
      <c r="D299" s="115">
        <v>35.067999999999998</v>
      </c>
      <c r="E299" s="115">
        <v>33.679000000000002</v>
      </c>
      <c r="F299" s="115">
        <v>31.76</v>
      </c>
      <c r="G299" s="115">
        <v>30.309000000000001</v>
      </c>
      <c r="H299" s="115">
        <v>28.893999999999998</v>
      </c>
      <c r="I299" s="115">
        <v>27.46</v>
      </c>
      <c r="J299" s="115">
        <v>25.841000000000001</v>
      </c>
      <c r="K299" s="115">
        <v>24.216999999999999</v>
      </c>
      <c r="L299" s="115">
        <v>22.68</v>
      </c>
      <c r="M299" s="115">
        <v>21.166</v>
      </c>
      <c r="N299" s="115">
        <v>19.731000000000002</v>
      </c>
      <c r="O299" s="115">
        <v>18.779</v>
      </c>
      <c r="P299" s="115">
        <v>17.766999999999999</v>
      </c>
      <c r="Q299" s="115">
        <v>16.835000000000001</v>
      </c>
      <c r="R299" s="115">
        <v>16.047000000000001</v>
      </c>
      <c r="S299" s="115">
        <v>14.051</v>
      </c>
      <c r="T299" s="115">
        <v>14.24</v>
      </c>
      <c r="U299" s="115">
        <v>13.506</v>
      </c>
      <c r="V299" s="115">
        <v>12.89</v>
      </c>
      <c r="W299" s="115">
        <v>12.381</v>
      </c>
      <c r="X299" s="115">
        <v>11.897</v>
      </c>
      <c r="Y299" s="115">
        <v>11.412000000000001</v>
      </c>
      <c r="Z299" s="115">
        <v>10.993</v>
      </c>
      <c r="AA299" s="115">
        <v>10.542</v>
      </c>
      <c r="AB299" s="115">
        <v>10.125999999999999</v>
      </c>
      <c r="AC299" s="115">
        <v>9.6739999999999995</v>
      </c>
      <c r="AD299" s="43"/>
      <c r="AE299" s="43"/>
      <c r="AF299" s="43"/>
      <c r="AG299" s="43"/>
      <c r="AH299" s="43"/>
      <c r="AI299" s="43"/>
    </row>
    <row r="300" spans="1:35" x14ac:dyDescent="0.25">
      <c r="A300" s="115" t="s">
        <v>611</v>
      </c>
      <c r="B300" s="115">
        <v>37.524999999999999</v>
      </c>
      <c r="C300" s="115">
        <v>36.073</v>
      </c>
      <c r="D300" s="115">
        <v>35.151000000000003</v>
      </c>
      <c r="E300" s="115">
        <v>33.798999999999999</v>
      </c>
      <c r="F300" s="115">
        <v>31.917999999999999</v>
      </c>
      <c r="G300" s="115">
        <v>30.504000000000001</v>
      </c>
      <c r="H300" s="115">
        <v>29.125</v>
      </c>
      <c r="I300" s="115">
        <v>27.718</v>
      </c>
      <c r="J300" s="115">
        <v>26.202000000000002</v>
      </c>
      <c r="K300" s="115">
        <v>24.731000000000002</v>
      </c>
      <c r="L300" s="115">
        <v>23.335000000000001</v>
      </c>
      <c r="M300" s="115">
        <v>22.004000000000001</v>
      </c>
      <c r="N300" s="115">
        <v>20.725999999999999</v>
      </c>
      <c r="O300" s="115">
        <v>19.931000000000001</v>
      </c>
      <c r="P300" s="115">
        <v>19.100999999999999</v>
      </c>
      <c r="Q300" s="115">
        <v>18.311</v>
      </c>
      <c r="R300" s="115">
        <v>17.654</v>
      </c>
      <c r="S300" s="115">
        <v>15.794</v>
      </c>
      <c r="T300" s="115">
        <v>16.088999999999999</v>
      </c>
      <c r="U300" s="115">
        <v>15.493</v>
      </c>
      <c r="V300" s="115">
        <v>14.977</v>
      </c>
      <c r="W300" s="115">
        <v>14.566000000000001</v>
      </c>
      <c r="X300" s="115">
        <v>14.212</v>
      </c>
      <c r="Y300" s="115">
        <v>13.821</v>
      </c>
      <c r="Z300" s="115">
        <v>13.493</v>
      </c>
      <c r="AA300" s="115">
        <v>13.166</v>
      </c>
      <c r="AB300" s="115">
        <v>12.837</v>
      </c>
      <c r="AC300" s="115">
        <v>12.502000000000001</v>
      </c>
      <c r="AD300" s="43"/>
      <c r="AE300" s="43"/>
      <c r="AF300" s="43"/>
      <c r="AG300" s="43"/>
      <c r="AH300" s="43"/>
      <c r="AI300" s="43"/>
    </row>
    <row r="301" spans="1:35" x14ac:dyDescent="0.25">
      <c r="A301" s="115" t="s">
        <v>608</v>
      </c>
      <c r="B301" s="115">
        <v>1.157</v>
      </c>
      <c r="C301" s="115">
        <v>1.256</v>
      </c>
      <c r="D301" s="115">
        <v>1.264</v>
      </c>
      <c r="E301" s="115">
        <v>1.4179999999999999</v>
      </c>
      <c r="F301" s="115">
        <v>1.516</v>
      </c>
      <c r="G301" s="115">
        <v>1.7210000000000001</v>
      </c>
      <c r="H301" s="115">
        <v>2.044</v>
      </c>
      <c r="I301" s="115">
        <v>2.4700000000000002</v>
      </c>
      <c r="J301" s="115">
        <v>2.6230000000000002</v>
      </c>
      <c r="K301" s="115">
        <v>2.8370000000000002</v>
      </c>
      <c r="L301" s="115">
        <v>3.01</v>
      </c>
      <c r="M301" s="115">
        <v>3.0760000000000001</v>
      </c>
      <c r="N301" s="115">
        <v>3.1190000000000002</v>
      </c>
      <c r="O301" s="115">
        <v>3.1110000000000002</v>
      </c>
      <c r="P301" s="115">
        <v>3</v>
      </c>
      <c r="Q301" s="115">
        <v>2.899</v>
      </c>
      <c r="R301" s="115">
        <v>2.7749999999999999</v>
      </c>
      <c r="S301" s="115">
        <v>2.5819999999999999</v>
      </c>
      <c r="T301" s="115">
        <v>2.4420000000000002</v>
      </c>
      <c r="U301" s="115">
        <v>2.266</v>
      </c>
      <c r="V301" s="115">
        <v>2.133</v>
      </c>
      <c r="W301" s="115">
        <v>2.0019999999999998</v>
      </c>
      <c r="X301" s="115">
        <v>1.8360000000000001</v>
      </c>
      <c r="Y301" s="115">
        <v>1.71</v>
      </c>
      <c r="Z301" s="115">
        <v>1.587</v>
      </c>
      <c r="AA301" s="115">
        <v>1.43</v>
      </c>
      <c r="AB301" s="115">
        <v>1.3109999999999999</v>
      </c>
      <c r="AC301" s="115">
        <v>1.1579999999999999</v>
      </c>
      <c r="AD301" s="43"/>
      <c r="AE301" s="43"/>
      <c r="AF301" s="43"/>
      <c r="AG301" s="43"/>
      <c r="AH301" s="43"/>
      <c r="AI301" s="43"/>
    </row>
    <row r="302" spans="1:35" x14ac:dyDescent="0.25">
      <c r="A302" s="115" t="s">
        <v>606</v>
      </c>
      <c r="B302" s="115">
        <v>144.07400000000001</v>
      </c>
      <c r="C302" s="115">
        <v>142.10400000000001</v>
      </c>
      <c r="D302" s="115">
        <v>140.63</v>
      </c>
      <c r="E302" s="115">
        <v>138.27500000000001</v>
      </c>
      <c r="F302" s="115">
        <v>135.16</v>
      </c>
      <c r="G302" s="115">
        <v>132.285</v>
      </c>
      <c r="H302" s="115">
        <v>129.078</v>
      </c>
      <c r="I302" s="115">
        <v>125.61199999999999</v>
      </c>
      <c r="J302" s="115">
        <v>121.85899999999999</v>
      </c>
      <c r="K302" s="115">
        <v>117.497</v>
      </c>
      <c r="L302" s="115">
        <v>113.211</v>
      </c>
      <c r="M302" s="115">
        <v>108.729</v>
      </c>
      <c r="N302" s="115">
        <v>104.372</v>
      </c>
      <c r="O302" s="115">
        <v>101.746</v>
      </c>
      <c r="P302" s="115">
        <v>98.933999999999997</v>
      </c>
      <c r="Q302" s="115">
        <v>96.344999999999999</v>
      </c>
      <c r="R302" s="115">
        <v>94.155000000000001</v>
      </c>
      <c r="S302" s="115">
        <v>88.22</v>
      </c>
      <c r="T302" s="115">
        <v>88.855000000000004</v>
      </c>
      <c r="U302" s="115">
        <v>86.459000000000003</v>
      </c>
      <c r="V302" s="115">
        <v>84.477000000000004</v>
      </c>
      <c r="W302" s="115">
        <v>82.655000000000001</v>
      </c>
      <c r="X302" s="115">
        <v>80.805999999999997</v>
      </c>
      <c r="Y302" s="115">
        <v>78.945999999999998</v>
      </c>
      <c r="Z302" s="115">
        <v>77.319999999999993</v>
      </c>
      <c r="AA302" s="115">
        <v>75.388000000000005</v>
      </c>
      <c r="AB302" s="115">
        <v>73.623999999999995</v>
      </c>
      <c r="AC302" s="115">
        <v>71.56</v>
      </c>
      <c r="AD302" s="43"/>
      <c r="AE302" s="43"/>
      <c r="AF302" s="43"/>
      <c r="AG302" s="43"/>
      <c r="AH302" s="43"/>
      <c r="AI302" s="43"/>
    </row>
    <row r="303" spans="1:35" x14ac:dyDescent="0.25">
      <c r="A303" s="115" t="s">
        <v>610</v>
      </c>
      <c r="B303" s="115">
        <v>144.07400000000001</v>
      </c>
      <c r="C303" s="115">
        <v>142.10400000000001</v>
      </c>
      <c r="D303" s="115">
        <v>140.63</v>
      </c>
      <c r="E303" s="115">
        <v>138.27500000000001</v>
      </c>
      <c r="F303" s="115">
        <v>135.16</v>
      </c>
      <c r="G303" s="115">
        <v>132.285</v>
      </c>
      <c r="H303" s="115">
        <v>129.078</v>
      </c>
      <c r="I303" s="115">
        <v>125.61199999999999</v>
      </c>
      <c r="J303" s="115">
        <v>122.23399999999999</v>
      </c>
      <c r="K303" s="115">
        <v>118.51</v>
      </c>
      <c r="L303" s="115">
        <v>114.83799999999999</v>
      </c>
      <c r="M303" s="115">
        <v>111.23099999999999</v>
      </c>
      <c r="N303" s="115">
        <v>107.65</v>
      </c>
      <c r="O303" s="115">
        <v>105.825</v>
      </c>
      <c r="P303" s="115">
        <v>104.026</v>
      </c>
      <c r="Q303" s="115">
        <v>102.253</v>
      </c>
      <c r="R303" s="115">
        <v>100.85299999999999</v>
      </c>
      <c r="S303" s="115">
        <v>96.2</v>
      </c>
      <c r="T303" s="115">
        <v>97.400999999999996</v>
      </c>
      <c r="U303" s="115">
        <v>96.06</v>
      </c>
      <c r="V303" s="115">
        <v>94.912000000000006</v>
      </c>
      <c r="W303" s="115">
        <v>93.885000000000005</v>
      </c>
      <c r="X303" s="115">
        <v>93.070999999999998</v>
      </c>
      <c r="Y303" s="115">
        <v>92.031000000000006</v>
      </c>
      <c r="Z303" s="115">
        <v>91.215999999999994</v>
      </c>
      <c r="AA303" s="115">
        <v>90.35</v>
      </c>
      <c r="AB303" s="115">
        <v>89.418000000000006</v>
      </c>
      <c r="AC303" s="115">
        <v>88.438999999999993</v>
      </c>
      <c r="AD303" s="43"/>
      <c r="AE303" s="43"/>
      <c r="AF303" s="43"/>
      <c r="AG303" s="43"/>
      <c r="AH303" s="43"/>
      <c r="AI303" s="43"/>
    </row>
    <row r="304" spans="1:35" x14ac:dyDescent="0.25">
      <c r="A304" s="115" t="s">
        <v>7</v>
      </c>
      <c r="B304" s="115">
        <v>20.02</v>
      </c>
      <c r="C304" s="115">
        <v>19.600999999999999</v>
      </c>
      <c r="D304" s="115">
        <v>19.574999999999999</v>
      </c>
      <c r="E304" s="115">
        <v>19.088000000000001</v>
      </c>
      <c r="F304" s="115">
        <v>18.257000000000001</v>
      </c>
      <c r="G304" s="115">
        <v>17.594000000000001</v>
      </c>
      <c r="H304" s="115">
        <v>16.811</v>
      </c>
      <c r="I304" s="115">
        <v>15.885999999999999</v>
      </c>
      <c r="J304" s="115">
        <v>15.006</v>
      </c>
      <c r="K304" s="115">
        <v>14.026999999999999</v>
      </c>
      <c r="L304" s="115">
        <v>13.111000000000001</v>
      </c>
      <c r="M304" s="115">
        <v>12.26</v>
      </c>
      <c r="N304" s="115">
        <v>11.457000000000001</v>
      </c>
      <c r="O304" s="115">
        <v>10.59</v>
      </c>
      <c r="P304" s="115">
        <v>9.7620000000000005</v>
      </c>
      <c r="Q304" s="115">
        <v>8.9920000000000009</v>
      </c>
      <c r="R304" s="115">
        <v>8.3919999999999995</v>
      </c>
      <c r="S304" s="115">
        <v>6.6680000000000001</v>
      </c>
      <c r="T304" s="115">
        <v>7.024</v>
      </c>
      <c r="U304" s="115">
        <v>6.516</v>
      </c>
      <c r="V304" s="115">
        <v>6.0880000000000001</v>
      </c>
      <c r="W304" s="115">
        <v>5.7320000000000002</v>
      </c>
      <c r="X304" s="115">
        <v>5.444</v>
      </c>
      <c r="Y304" s="115">
        <v>5.1050000000000004</v>
      </c>
      <c r="Z304" s="115">
        <v>4.8369999999999997</v>
      </c>
      <c r="AA304" s="115">
        <v>4.5640000000000001</v>
      </c>
      <c r="AB304" s="115">
        <v>4.282</v>
      </c>
      <c r="AC304" s="115">
        <v>3.9950000000000001</v>
      </c>
      <c r="AD304" s="43"/>
      <c r="AE304" s="43"/>
      <c r="AF304" s="43"/>
      <c r="AG304" s="43"/>
      <c r="AH304" s="43"/>
      <c r="AI304" s="43"/>
    </row>
    <row r="305" spans="1:35" x14ac:dyDescent="0.25">
      <c r="A305" s="115" t="s">
        <v>638</v>
      </c>
      <c r="B305" s="115"/>
      <c r="C305" s="115">
        <v>4.5999999999999999E-2</v>
      </c>
      <c r="D305" s="115">
        <v>8.3000000000000004E-2</v>
      </c>
      <c r="E305" s="115">
        <v>0.121</v>
      </c>
      <c r="F305" s="115">
        <v>0.157</v>
      </c>
      <c r="G305" s="115">
        <v>0.19500000000000001</v>
      </c>
      <c r="H305" s="115">
        <v>0.23200000000000001</v>
      </c>
      <c r="I305" s="115">
        <v>0.25800000000000001</v>
      </c>
      <c r="J305" s="115">
        <v>0.28100000000000003</v>
      </c>
      <c r="K305" s="115">
        <v>0.30199999999999999</v>
      </c>
      <c r="L305" s="115">
        <v>0.32400000000000001</v>
      </c>
      <c r="M305" s="115">
        <v>0.34399999999999997</v>
      </c>
      <c r="N305" s="115">
        <v>0.36399999999999999</v>
      </c>
      <c r="O305" s="115">
        <v>0.38300000000000001</v>
      </c>
      <c r="P305" s="115">
        <v>0.4</v>
      </c>
      <c r="Q305" s="115">
        <v>0.41799999999999998</v>
      </c>
      <c r="R305" s="115">
        <v>0.435</v>
      </c>
      <c r="S305" s="115">
        <v>0.433</v>
      </c>
      <c r="T305" s="115">
        <v>0.438</v>
      </c>
      <c r="U305" s="115">
        <v>0.438</v>
      </c>
      <c r="V305" s="115">
        <v>0.441</v>
      </c>
      <c r="W305" s="115">
        <v>0.442</v>
      </c>
      <c r="X305" s="115">
        <v>0.442</v>
      </c>
      <c r="Y305" s="115">
        <v>0.443</v>
      </c>
      <c r="Z305" s="115">
        <v>0.44500000000000001</v>
      </c>
      <c r="AA305" s="115">
        <v>0.44400000000000001</v>
      </c>
      <c r="AB305" s="115">
        <v>0.44400000000000001</v>
      </c>
      <c r="AC305" s="115">
        <v>0.442</v>
      </c>
      <c r="AD305" s="43"/>
      <c r="AE305" s="43"/>
      <c r="AF305" s="43"/>
      <c r="AG305" s="43"/>
      <c r="AH305" s="43"/>
      <c r="AI305" s="43"/>
    </row>
    <row r="306" spans="1:35" x14ac:dyDescent="0.25">
      <c r="A306" s="115" t="s">
        <v>8</v>
      </c>
      <c r="B306" s="115">
        <v>10.044</v>
      </c>
      <c r="C306" s="115">
        <v>9.0399999999999991</v>
      </c>
      <c r="D306" s="115">
        <v>8.1820000000000004</v>
      </c>
      <c r="E306" s="115">
        <v>7.23</v>
      </c>
      <c r="F306" s="115">
        <v>6.14</v>
      </c>
      <c r="G306" s="115">
        <v>5.2370000000000001</v>
      </c>
      <c r="H306" s="115">
        <v>4.3789999999999996</v>
      </c>
      <c r="I306" s="115">
        <v>3.5590000000000002</v>
      </c>
      <c r="J306" s="115">
        <v>2.7570000000000001</v>
      </c>
      <c r="K306" s="115">
        <v>1.996</v>
      </c>
      <c r="L306" s="115">
        <v>1.2849999999999999</v>
      </c>
      <c r="M306" s="115">
        <v>0.622</v>
      </c>
      <c r="N306" s="115">
        <v>0</v>
      </c>
      <c r="O306" s="115">
        <v>0</v>
      </c>
      <c r="P306" s="115">
        <v>0</v>
      </c>
      <c r="Q306" s="115">
        <v>0</v>
      </c>
      <c r="R306" s="115">
        <v>0</v>
      </c>
      <c r="S306" s="115">
        <v>0</v>
      </c>
      <c r="T306" s="115">
        <v>0</v>
      </c>
      <c r="U306" s="115">
        <v>0</v>
      </c>
      <c r="V306" s="115">
        <v>0</v>
      </c>
      <c r="W306" s="115">
        <v>0</v>
      </c>
      <c r="X306" s="115">
        <v>0</v>
      </c>
      <c r="Y306" s="115">
        <v>0</v>
      </c>
      <c r="Z306" s="115">
        <v>0</v>
      </c>
      <c r="AA306" s="115">
        <v>0</v>
      </c>
      <c r="AB306" s="115">
        <v>0</v>
      </c>
      <c r="AC306" s="115">
        <v>0</v>
      </c>
      <c r="AD306" s="43"/>
      <c r="AE306" s="43"/>
      <c r="AF306" s="43"/>
      <c r="AG306" s="43"/>
      <c r="AH306" s="43"/>
      <c r="AI306" s="43"/>
    </row>
    <row r="307" spans="1:35" x14ac:dyDescent="0.25">
      <c r="A307" s="115" t="s">
        <v>218</v>
      </c>
      <c r="B307" s="115"/>
      <c r="C307" s="115">
        <v>1.508</v>
      </c>
      <c r="D307" s="115">
        <v>0.96699999999999997</v>
      </c>
      <c r="E307" s="115">
        <v>1.3939999999999999</v>
      </c>
      <c r="F307" s="115">
        <v>1.9219999999999999</v>
      </c>
      <c r="G307" s="115">
        <v>1.452</v>
      </c>
      <c r="H307" s="115">
        <v>1.415</v>
      </c>
      <c r="I307" s="115">
        <v>1.4319999999999999</v>
      </c>
      <c r="J307" s="115">
        <v>1.6160000000000001</v>
      </c>
      <c r="K307" s="115">
        <v>1.619</v>
      </c>
      <c r="L307" s="115">
        <v>1.5309999999999999</v>
      </c>
      <c r="M307" s="115">
        <v>1.508</v>
      </c>
      <c r="N307" s="115">
        <v>1.4279999999999999</v>
      </c>
      <c r="O307" s="115">
        <v>0.94699999999999995</v>
      </c>
      <c r="P307" s="115">
        <v>1.006</v>
      </c>
      <c r="Q307" s="115">
        <v>0.92400000000000004</v>
      </c>
      <c r="R307" s="115">
        <v>0.78</v>
      </c>
      <c r="S307" s="115">
        <v>1.9670000000000001</v>
      </c>
      <c r="T307" s="115">
        <v>-0.21299999999999999</v>
      </c>
      <c r="U307" s="115">
        <v>0.70899999999999996</v>
      </c>
      <c r="V307" s="115">
        <v>0.59</v>
      </c>
      <c r="W307" s="115">
        <v>0.48299999999999998</v>
      </c>
      <c r="X307" s="115">
        <v>0.45900000000000002</v>
      </c>
      <c r="Y307" s="115">
        <v>0.46</v>
      </c>
      <c r="Z307" s="115">
        <v>0.39600000000000002</v>
      </c>
      <c r="AA307" s="115">
        <v>0.42699999999999999</v>
      </c>
      <c r="AB307" s="115">
        <v>0.39500000000000002</v>
      </c>
      <c r="AC307" s="115">
        <v>0.42499999999999999</v>
      </c>
      <c r="AD307" s="43"/>
      <c r="AE307" s="43"/>
      <c r="AF307" s="43"/>
      <c r="AG307" s="43"/>
      <c r="AH307" s="43"/>
      <c r="AI307" s="43"/>
    </row>
    <row r="308" spans="1:35" x14ac:dyDescent="0.25">
      <c r="A308" s="115" t="s">
        <v>673</v>
      </c>
      <c r="B308" s="115"/>
      <c r="C308" s="115">
        <v>0</v>
      </c>
      <c r="D308" s="115">
        <v>0</v>
      </c>
      <c r="E308" s="115">
        <v>0</v>
      </c>
      <c r="F308" s="115">
        <v>0</v>
      </c>
      <c r="G308" s="115">
        <v>0</v>
      </c>
      <c r="H308" s="115">
        <v>0</v>
      </c>
      <c r="I308" s="115">
        <v>0</v>
      </c>
      <c r="J308" s="115">
        <v>7.0999999999999994E-2</v>
      </c>
      <c r="K308" s="115">
        <v>0.10299999999999999</v>
      </c>
      <c r="L308" s="115">
        <v>8.6999999999999994E-2</v>
      </c>
      <c r="M308" s="115">
        <v>0.128</v>
      </c>
      <c r="N308" s="115">
        <v>0.10199999999999999</v>
      </c>
      <c r="O308" s="115">
        <v>0.107</v>
      </c>
      <c r="P308" s="115">
        <v>0.14699999999999999</v>
      </c>
      <c r="Q308" s="115">
        <v>0.112</v>
      </c>
      <c r="R308" s="115">
        <v>0.112</v>
      </c>
      <c r="S308" s="115">
        <v>0.14899999999999999</v>
      </c>
      <c r="T308" s="115">
        <v>0.11</v>
      </c>
      <c r="U308" s="115">
        <v>0.14399999999999999</v>
      </c>
      <c r="V308" s="115">
        <v>0.107</v>
      </c>
      <c r="W308" s="115">
        <v>0.106</v>
      </c>
      <c r="X308" s="115">
        <v>0.14000000000000001</v>
      </c>
      <c r="Y308" s="115">
        <v>0.104</v>
      </c>
      <c r="Z308" s="115">
        <v>0.10199999999999999</v>
      </c>
      <c r="AA308" s="115">
        <v>0.13500000000000001</v>
      </c>
      <c r="AB308" s="115">
        <v>0.1</v>
      </c>
      <c r="AC308" s="115">
        <v>0.13200000000000001</v>
      </c>
      <c r="AD308" s="43"/>
      <c r="AE308" s="43"/>
      <c r="AF308" s="43"/>
      <c r="AG308" s="43"/>
      <c r="AH308" s="43"/>
      <c r="AI308" s="43"/>
    </row>
    <row r="309" spans="1:35" x14ac:dyDescent="0.25">
      <c r="A309" s="115" t="s">
        <v>225</v>
      </c>
      <c r="B309" s="115"/>
      <c r="C309" s="115">
        <v>1.1040000000000001</v>
      </c>
      <c r="D309" s="115">
        <v>0.89200000000000002</v>
      </c>
      <c r="E309" s="115">
        <v>0.92</v>
      </c>
      <c r="F309" s="115">
        <v>0.97499999999999998</v>
      </c>
      <c r="G309" s="115">
        <v>0.97899999999999998</v>
      </c>
      <c r="H309" s="115">
        <v>0.98399999999999999</v>
      </c>
      <c r="I309" s="115">
        <v>0.98399999999999999</v>
      </c>
      <c r="J309" s="115">
        <v>0.99399999999999999</v>
      </c>
      <c r="K309" s="115">
        <v>1.0069999999999999</v>
      </c>
      <c r="L309" s="115">
        <v>1.0069999999999999</v>
      </c>
      <c r="M309" s="115">
        <v>1.0069999999999999</v>
      </c>
      <c r="N309" s="115">
        <v>1.0029999999999999</v>
      </c>
      <c r="O309" s="115">
        <v>0.53900000000000003</v>
      </c>
      <c r="P309" s="115">
        <v>0.53500000000000003</v>
      </c>
      <c r="Q309" s="115">
        <v>0.52600000000000002</v>
      </c>
      <c r="R309" s="115">
        <v>0.41099999999999998</v>
      </c>
      <c r="S309" s="115">
        <v>0.432</v>
      </c>
      <c r="T309" s="115">
        <v>0.39</v>
      </c>
      <c r="U309" s="115">
        <v>0.378</v>
      </c>
      <c r="V309" s="115">
        <v>0.317</v>
      </c>
      <c r="W309" s="115">
        <v>0.222</v>
      </c>
      <c r="X309" s="115">
        <v>0.17499999999999999</v>
      </c>
      <c r="Y309" s="115">
        <v>0.23</v>
      </c>
      <c r="Z309" s="115">
        <v>0.17499999999999999</v>
      </c>
      <c r="AA309" s="115">
        <v>0.182</v>
      </c>
      <c r="AB309" s="115">
        <v>0.191</v>
      </c>
      <c r="AC309" s="115">
        <v>0.19700000000000001</v>
      </c>
      <c r="AD309" s="43"/>
      <c r="AE309" s="43"/>
      <c r="AF309" s="43"/>
      <c r="AG309" s="43"/>
      <c r="AH309" s="43"/>
      <c r="AI309" s="43"/>
    </row>
    <row r="310" spans="1:35" x14ac:dyDescent="0.25">
      <c r="A310" s="115" t="s">
        <v>222</v>
      </c>
      <c r="B310" s="115"/>
      <c r="C310" s="115">
        <v>0.30299999999999999</v>
      </c>
      <c r="D310" s="115">
        <v>0.159</v>
      </c>
      <c r="E310" s="115">
        <v>0.224</v>
      </c>
      <c r="F310" s="115">
        <v>0.27100000000000002</v>
      </c>
      <c r="G310" s="115">
        <v>0.23799999999999999</v>
      </c>
      <c r="H310" s="115">
        <v>0.20399999999999999</v>
      </c>
      <c r="I310" s="115">
        <v>0.24099999999999999</v>
      </c>
      <c r="J310" s="115">
        <v>0.312</v>
      </c>
      <c r="K310" s="115">
        <v>0.29499999999999998</v>
      </c>
      <c r="L310" s="115">
        <v>0.25</v>
      </c>
      <c r="M310" s="115">
        <v>0.20899999999999999</v>
      </c>
      <c r="N310" s="115">
        <v>0.17199999999999999</v>
      </c>
      <c r="O310" s="115">
        <v>0.17399999999999999</v>
      </c>
      <c r="P310" s="115">
        <v>0.20300000000000001</v>
      </c>
      <c r="Q310" s="115">
        <v>0.17699999999999999</v>
      </c>
      <c r="R310" s="115">
        <v>0.157</v>
      </c>
      <c r="S310" s="115">
        <v>0.28199999999999997</v>
      </c>
      <c r="T310" s="115">
        <v>0.124</v>
      </c>
      <c r="U310" s="115">
        <v>0.111</v>
      </c>
      <c r="V310" s="115">
        <v>9.1999999999999998E-2</v>
      </c>
      <c r="W310" s="115">
        <v>8.5000000000000006E-2</v>
      </c>
      <c r="X310" s="115">
        <v>7.6999999999999999E-2</v>
      </c>
      <c r="Y310" s="115">
        <v>6.9000000000000006E-2</v>
      </c>
      <c r="Z310" s="115">
        <v>6.3E-2</v>
      </c>
      <c r="AA310" s="115">
        <v>5.6000000000000001E-2</v>
      </c>
      <c r="AB310" s="115">
        <v>5.0999999999999997E-2</v>
      </c>
      <c r="AC310" s="115">
        <v>4.4999999999999998E-2</v>
      </c>
      <c r="AD310" s="43"/>
      <c r="AE310" s="43"/>
      <c r="AF310" s="43"/>
      <c r="AG310" s="43"/>
      <c r="AH310" s="43"/>
      <c r="AI310" s="43"/>
    </row>
    <row r="311" spans="1:35" x14ac:dyDescent="0.25">
      <c r="A311" s="115" t="s">
        <v>671</v>
      </c>
      <c r="B311" s="115"/>
      <c r="C311" s="115">
        <v>-5.5E-2</v>
      </c>
      <c r="D311" s="115">
        <v>-4.4999999999999998E-2</v>
      </c>
      <c r="E311" s="115">
        <v>-4.2999999999999997E-2</v>
      </c>
      <c r="F311" s="115">
        <v>-0.04</v>
      </c>
      <c r="G311" s="115">
        <v>-3.7999999999999999E-2</v>
      </c>
      <c r="H311" s="115">
        <v>-3.5999999999999997E-2</v>
      </c>
      <c r="I311" s="115">
        <v>-2.4E-2</v>
      </c>
      <c r="J311" s="115">
        <v>-0.02</v>
      </c>
      <c r="K311" s="115">
        <v>-1.7000000000000001E-2</v>
      </c>
      <c r="L311" s="115">
        <v>-1.6E-2</v>
      </c>
      <c r="M311" s="115">
        <v>-1.2999999999999999E-2</v>
      </c>
      <c r="N311" s="115">
        <v>-1.4E-2</v>
      </c>
      <c r="O311" s="115">
        <v>-1.4E-2</v>
      </c>
      <c r="P311" s="115">
        <v>-0.01</v>
      </c>
      <c r="Q311" s="115">
        <v>-0.01</v>
      </c>
      <c r="R311" s="115">
        <v>-8.9999999999999993E-3</v>
      </c>
      <c r="S311" s="115">
        <v>0.03</v>
      </c>
      <c r="T311" s="115">
        <v>1.9E-2</v>
      </c>
      <c r="U311" s="115">
        <v>2.5000000000000001E-2</v>
      </c>
      <c r="V311" s="115">
        <v>2.3E-2</v>
      </c>
      <c r="W311" s="115">
        <v>2.4E-2</v>
      </c>
      <c r="X311" s="115">
        <v>2.5000000000000001E-2</v>
      </c>
      <c r="Y311" s="115">
        <v>2.3E-2</v>
      </c>
      <c r="Z311" s="115">
        <v>2.3E-2</v>
      </c>
      <c r="AA311" s="115">
        <v>2.4E-2</v>
      </c>
      <c r="AB311" s="115">
        <v>2.1000000000000001E-2</v>
      </c>
      <c r="AC311" s="115">
        <v>2.9000000000000001E-2</v>
      </c>
      <c r="AD311" s="43"/>
      <c r="AE311" s="43"/>
      <c r="AF311" s="43"/>
      <c r="AG311" s="43"/>
      <c r="AH311" s="43"/>
      <c r="AI311" s="43"/>
    </row>
    <row r="312" spans="1:35" x14ac:dyDescent="0.25">
      <c r="A312" s="115" t="s">
        <v>672</v>
      </c>
      <c r="B312" s="115"/>
      <c r="C312" s="115">
        <v>0.10100000000000001</v>
      </c>
      <c r="D312" s="115">
        <v>-8.4000000000000005E-2</v>
      </c>
      <c r="E312" s="115">
        <v>0.251</v>
      </c>
      <c r="F312" s="115">
        <v>0.67600000000000005</v>
      </c>
      <c r="G312" s="115">
        <v>0.23499999999999999</v>
      </c>
      <c r="H312" s="115">
        <v>0.22700000000000001</v>
      </c>
      <c r="I312" s="115">
        <v>0.20699999999999999</v>
      </c>
      <c r="J312" s="115">
        <v>0.23899999999999999</v>
      </c>
      <c r="K312" s="115">
        <v>0.214</v>
      </c>
      <c r="L312" s="115">
        <v>0.187</v>
      </c>
      <c r="M312" s="115">
        <v>0.16400000000000001</v>
      </c>
      <c r="N312" s="115">
        <v>0.15</v>
      </c>
      <c r="O312" s="115">
        <v>0.127</v>
      </c>
      <c r="P312" s="115">
        <v>0.121</v>
      </c>
      <c r="Q312" s="115">
        <v>0.109</v>
      </c>
      <c r="R312" s="115">
        <v>0.1</v>
      </c>
      <c r="S312" s="115">
        <v>1.105</v>
      </c>
      <c r="T312" s="115">
        <v>-0.83599999999999997</v>
      </c>
      <c r="U312" s="115">
        <v>7.5999999999999998E-2</v>
      </c>
      <c r="V312" s="115">
        <v>7.3999999999999996E-2</v>
      </c>
      <c r="W312" s="115">
        <v>7.0000000000000007E-2</v>
      </c>
      <c r="X312" s="115">
        <v>6.8000000000000005E-2</v>
      </c>
      <c r="Y312" s="115">
        <v>5.8000000000000003E-2</v>
      </c>
      <c r="Z312" s="115">
        <v>5.6000000000000001E-2</v>
      </c>
      <c r="AA312" s="115">
        <v>5.3999999999999999E-2</v>
      </c>
      <c r="AB312" s="115">
        <v>5.2999999999999999E-2</v>
      </c>
      <c r="AC312" s="115">
        <v>5.0999999999999997E-2</v>
      </c>
      <c r="AD312" s="43"/>
      <c r="AE312" s="43"/>
      <c r="AF312" s="43"/>
      <c r="AG312" s="43"/>
      <c r="AH312" s="43"/>
      <c r="AI312" s="43"/>
    </row>
    <row r="313" spans="1:35" x14ac:dyDescent="0.25">
      <c r="A313" s="115" t="s">
        <v>670</v>
      </c>
      <c r="B313" s="115"/>
      <c r="C313" s="115">
        <v>3.9E-2</v>
      </c>
      <c r="D313" s="115">
        <v>2.5999999999999999E-2</v>
      </c>
      <c r="E313" s="115">
        <v>3.7999999999999999E-2</v>
      </c>
      <c r="F313" s="115">
        <v>5.6000000000000001E-2</v>
      </c>
      <c r="G313" s="115">
        <v>4.3999999999999997E-2</v>
      </c>
      <c r="H313" s="115">
        <v>4.4999999999999998E-2</v>
      </c>
      <c r="I313" s="115">
        <v>4.8000000000000001E-2</v>
      </c>
      <c r="J313" s="115">
        <v>5.8000000000000003E-2</v>
      </c>
      <c r="K313" s="115">
        <v>6.0999999999999999E-2</v>
      </c>
      <c r="L313" s="115">
        <v>6.2E-2</v>
      </c>
      <c r="M313" s="115">
        <v>6.5000000000000002E-2</v>
      </c>
      <c r="N313" s="115">
        <v>6.6000000000000003E-2</v>
      </c>
      <c r="O313" s="115">
        <v>4.5999999999999999E-2</v>
      </c>
      <c r="P313" s="115">
        <v>5.1999999999999998E-2</v>
      </c>
      <c r="Q313" s="115">
        <v>0.05</v>
      </c>
      <c r="R313" s="115">
        <v>4.4999999999999998E-2</v>
      </c>
      <c r="S313" s="115">
        <v>0.121</v>
      </c>
      <c r="T313" s="115">
        <v>-1.2999999999999999E-2</v>
      </c>
      <c r="U313" s="115">
        <v>0.05</v>
      </c>
      <c r="V313" s="115">
        <v>4.3999999999999997E-2</v>
      </c>
      <c r="W313" s="115">
        <v>3.7999999999999999E-2</v>
      </c>
      <c r="X313" s="115">
        <v>3.7999999999999999E-2</v>
      </c>
      <c r="Y313" s="115">
        <v>3.9E-2</v>
      </c>
      <c r="Z313" s="115">
        <v>3.5000000000000003E-2</v>
      </c>
      <c r="AA313" s="115">
        <v>3.9E-2</v>
      </c>
      <c r="AB313" s="115">
        <v>3.7999999999999999E-2</v>
      </c>
      <c r="AC313" s="115">
        <v>4.2999999999999997E-2</v>
      </c>
      <c r="AD313" s="43"/>
      <c r="AE313" s="43"/>
      <c r="AF313" s="43"/>
      <c r="AG313" s="43"/>
      <c r="AH313" s="43"/>
      <c r="AI313" s="43"/>
    </row>
    <row r="314" spans="1:35" x14ac:dyDescent="0.25">
      <c r="A314" s="115" t="s">
        <v>669</v>
      </c>
      <c r="B314" s="115"/>
      <c r="C314" s="115">
        <v>1.4530000000000001</v>
      </c>
      <c r="D314" s="115">
        <v>0.92200000000000004</v>
      </c>
      <c r="E314" s="115">
        <v>1.351</v>
      </c>
      <c r="F314" s="115">
        <v>1.8819999999999999</v>
      </c>
      <c r="G314" s="115">
        <v>1.4139999999999999</v>
      </c>
      <c r="H314" s="115">
        <v>1.3779999999999999</v>
      </c>
      <c r="I314" s="115">
        <v>1.4079999999999999</v>
      </c>
      <c r="J314" s="115">
        <v>1.5960000000000001</v>
      </c>
      <c r="K314" s="115">
        <v>1.6020000000000001</v>
      </c>
      <c r="L314" s="115">
        <v>1.516</v>
      </c>
      <c r="M314" s="115">
        <v>1.4950000000000001</v>
      </c>
      <c r="N314" s="115">
        <v>1.4139999999999999</v>
      </c>
      <c r="O314" s="115">
        <v>0.93300000000000005</v>
      </c>
      <c r="P314" s="115">
        <v>0.996</v>
      </c>
      <c r="Q314" s="115">
        <v>0.91400000000000003</v>
      </c>
      <c r="R314" s="115">
        <v>0.77100000000000002</v>
      </c>
      <c r="S314" s="115">
        <v>1.998</v>
      </c>
      <c r="T314" s="115">
        <v>-0.19400000000000001</v>
      </c>
      <c r="U314" s="115">
        <v>0.73399999999999999</v>
      </c>
      <c r="V314" s="115">
        <v>0.61399999999999999</v>
      </c>
      <c r="W314" s="115">
        <v>0.50700000000000001</v>
      </c>
      <c r="X314" s="115">
        <v>0.48499999999999999</v>
      </c>
      <c r="Y314" s="115">
        <v>0.48299999999999998</v>
      </c>
      <c r="Z314" s="115">
        <v>0.41799999999999998</v>
      </c>
      <c r="AA314" s="115">
        <v>0.45100000000000001</v>
      </c>
      <c r="AB314" s="115">
        <v>0.41599999999999998</v>
      </c>
      <c r="AC314" s="115">
        <v>0.45400000000000001</v>
      </c>
      <c r="AD314" s="43"/>
      <c r="AE314" s="43"/>
      <c r="AF314" s="43"/>
      <c r="AG314" s="43"/>
      <c r="AH314" s="43"/>
      <c r="AI314" s="43"/>
    </row>
    <row r="315" spans="1:35" x14ac:dyDescent="0.25">
      <c r="A315" s="115" t="s">
        <v>652</v>
      </c>
      <c r="B315" s="115"/>
      <c r="C315" s="115">
        <v>0.66</v>
      </c>
      <c r="D315" s="115">
        <v>0.33500000000000002</v>
      </c>
      <c r="E315" s="115">
        <v>0.46300000000000002</v>
      </c>
      <c r="F315" s="115">
        <v>0.58899999999999997</v>
      </c>
      <c r="G315" s="115">
        <v>0.51300000000000001</v>
      </c>
      <c r="H315" s="115">
        <v>0.435</v>
      </c>
      <c r="I315" s="115">
        <v>0.51500000000000001</v>
      </c>
      <c r="J315" s="115">
        <v>0.63900000000000001</v>
      </c>
      <c r="K315" s="115">
        <v>0.60299999999999998</v>
      </c>
      <c r="L315" s="115">
        <v>0.50700000000000001</v>
      </c>
      <c r="M315" s="115">
        <v>0.42</v>
      </c>
      <c r="N315" s="115">
        <v>0.34100000000000003</v>
      </c>
      <c r="O315" s="115">
        <v>0.34100000000000003</v>
      </c>
      <c r="P315" s="115">
        <v>0.38900000000000001</v>
      </c>
      <c r="Q315" s="115">
        <v>0.33700000000000002</v>
      </c>
      <c r="R315" s="115">
        <v>0.29799999999999999</v>
      </c>
      <c r="S315" s="115">
        <v>0.61899999999999999</v>
      </c>
      <c r="T315" s="115">
        <v>0.23200000000000001</v>
      </c>
      <c r="U315" s="115">
        <v>0.20599999999999999</v>
      </c>
      <c r="V315" s="115">
        <v>0.17</v>
      </c>
      <c r="W315" s="115">
        <v>0.158</v>
      </c>
      <c r="X315" s="115">
        <v>0.14299999999999999</v>
      </c>
      <c r="Y315" s="115">
        <v>0.128</v>
      </c>
      <c r="Z315" s="115">
        <v>0.11600000000000001</v>
      </c>
      <c r="AA315" s="115">
        <v>0.104</v>
      </c>
      <c r="AB315" s="115">
        <v>9.4E-2</v>
      </c>
      <c r="AC315" s="115">
        <v>8.4000000000000005E-2</v>
      </c>
      <c r="AD315" s="43"/>
      <c r="AE315" s="43"/>
      <c r="AF315" s="43"/>
      <c r="AG315" s="43"/>
      <c r="AH315" s="43"/>
      <c r="AI315" s="43"/>
    </row>
    <row r="316" spans="1:35" x14ac:dyDescent="0.25">
      <c r="A316" s="115" t="s">
        <v>609</v>
      </c>
      <c r="B316" s="115">
        <v>2.2829999999999999</v>
      </c>
      <c r="C316" s="115">
        <v>2.2370000000000001</v>
      </c>
      <c r="D316" s="115">
        <v>2.206</v>
      </c>
      <c r="E316" s="115">
        <v>2.1549999999999998</v>
      </c>
      <c r="F316" s="115">
        <v>2.089</v>
      </c>
      <c r="G316" s="115">
        <v>2.0350000000000001</v>
      </c>
      <c r="H316" s="115">
        <v>1.978</v>
      </c>
      <c r="I316" s="115">
        <v>1.913</v>
      </c>
      <c r="J316" s="115">
        <v>1.851</v>
      </c>
      <c r="K316" s="115">
        <v>1.7869999999999999</v>
      </c>
      <c r="L316" s="115">
        <v>1.7270000000000001</v>
      </c>
      <c r="M316" s="115">
        <v>1.671</v>
      </c>
      <c r="N316" s="115">
        <v>1.619</v>
      </c>
      <c r="O316" s="115">
        <v>1.58</v>
      </c>
      <c r="P316" s="115">
        <v>1.542</v>
      </c>
      <c r="Q316" s="115">
        <v>1.5069999999999999</v>
      </c>
      <c r="R316" s="115">
        <v>1.4770000000000001</v>
      </c>
      <c r="S316" s="115">
        <v>1.407</v>
      </c>
      <c r="T316" s="115">
        <v>1.409</v>
      </c>
      <c r="U316" s="115">
        <v>1.381</v>
      </c>
      <c r="V316" s="115">
        <v>1.355</v>
      </c>
      <c r="W316" s="115">
        <v>1.335</v>
      </c>
      <c r="X316" s="115">
        <v>1.3149999999999999</v>
      </c>
      <c r="Y316" s="115">
        <v>1.2949999999999999</v>
      </c>
      <c r="Z316" s="115">
        <v>1.2769999999999999</v>
      </c>
      <c r="AA316" s="115">
        <v>1.2589999999999999</v>
      </c>
      <c r="AB316" s="115">
        <v>1.242</v>
      </c>
      <c r="AC316" s="115">
        <v>1.2230000000000001</v>
      </c>
      <c r="AD316" s="43"/>
      <c r="AE316" s="43"/>
      <c r="AF316" s="43"/>
      <c r="AG316" s="43"/>
      <c r="AH316" s="43"/>
      <c r="AI316" s="43"/>
    </row>
    <row r="317" spans="1:35" x14ac:dyDescent="0.25">
      <c r="A317" s="115" t="s">
        <v>627</v>
      </c>
      <c r="B317" s="115">
        <v>32.585000000000001</v>
      </c>
      <c r="C317" s="115">
        <v>32.715000000000003</v>
      </c>
      <c r="D317" s="115">
        <v>32.527000000000001</v>
      </c>
      <c r="E317" s="115">
        <v>32.552</v>
      </c>
      <c r="F317" s="115">
        <v>33.164000000000001</v>
      </c>
      <c r="G317" s="115">
        <v>33.143000000000001</v>
      </c>
      <c r="H317" s="115">
        <v>33.118000000000002</v>
      </c>
      <c r="I317" s="115">
        <v>32.951999999999998</v>
      </c>
      <c r="J317" s="115">
        <v>32.801000000000002</v>
      </c>
      <c r="K317" s="115">
        <v>32.585999999999999</v>
      </c>
      <c r="L317" s="115">
        <v>32.357999999999997</v>
      </c>
      <c r="M317" s="115">
        <v>32.122</v>
      </c>
      <c r="N317" s="115">
        <v>31.895</v>
      </c>
      <c r="O317" s="115">
        <v>31.759</v>
      </c>
      <c r="P317" s="115">
        <v>31.602</v>
      </c>
      <c r="Q317" s="115">
        <v>31.423999999999999</v>
      </c>
      <c r="R317" s="115">
        <v>31.306000000000001</v>
      </c>
      <c r="S317" s="115">
        <v>34.284999999999997</v>
      </c>
      <c r="T317" s="115">
        <v>30.702000000000002</v>
      </c>
      <c r="U317" s="115">
        <v>30.516999999999999</v>
      </c>
      <c r="V317" s="115">
        <v>30.39</v>
      </c>
      <c r="W317" s="115">
        <v>30.452999999999999</v>
      </c>
      <c r="X317" s="115">
        <v>30.529</v>
      </c>
      <c r="Y317" s="115">
        <v>30.561</v>
      </c>
      <c r="Z317" s="115">
        <v>30.631</v>
      </c>
      <c r="AA317" s="115">
        <v>30.71</v>
      </c>
      <c r="AB317" s="115">
        <v>30.795999999999999</v>
      </c>
      <c r="AC317" s="115">
        <v>30.870999999999999</v>
      </c>
      <c r="AD317" s="43"/>
      <c r="AE317" s="43"/>
      <c r="AF317" s="43"/>
      <c r="AG317" s="43"/>
      <c r="AH317" s="43"/>
      <c r="AI317" s="43"/>
    </row>
    <row r="318" spans="1:35" x14ac:dyDescent="0.25">
      <c r="A318" s="115" t="s">
        <v>622</v>
      </c>
      <c r="B318" s="115">
        <v>4.5519999999999996</v>
      </c>
      <c r="C318" s="115">
        <v>4.5830000000000002</v>
      </c>
      <c r="D318" s="115">
        <v>4.5640000000000001</v>
      </c>
      <c r="E318" s="115">
        <v>4.5650000000000004</v>
      </c>
      <c r="F318" s="115">
        <v>4.6520000000000001</v>
      </c>
      <c r="G318" s="115">
        <v>4.6509999999999998</v>
      </c>
      <c r="H318" s="115">
        <v>4.6500000000000004</v>
      </c>
      <c r="I318" s="115">
        <v>4.6289999999999996</v>
      </c>
      <c r="J318" s="115">
        <v>4.6070000000000002</v>
      </c>
      <c r="K318" s="115">
        <v>4.577</v>
      </c>
      <c r="L318" s="115">
        <v>4.5460000000000003</v>
      </c>
      <c r="M318" s="115">
        <v>4.516</v>
      </c>
      <c r="N318" s="115">
        <v>4.4889999999999999</v>
      </c>
      <c r="O318" s="115">
        <v>4.4710000000000001</v>
      </c>
      <c r="P318" s="115">
        <v>4.4459999999999997</v>
      </c>
      <c r="Q318" s="115">
        <v>4.42</v>
      </c>
      <c r="R318" s="115">
        <v>4.4000000000000004</v>
      </c>
      <c r="S318" s="115">
        <v>4.9210000000000003</v>
      </c>
      <c r="T318" s="115">
        <v>4.327</v>
      </c>
      <c r="U318" s="115">
        <v>4.2949999999999999</v>
      </c>
      <c r="V318" s="115">
        <v>4.2720000000000002</v>
      </c>
      <c r="W318" s="115">
        <v>4.274</v>
      </c>
      <c r="X318" s="115">
        <v>4.2759999999999998</v>
      </c>
      <c r="Y318" s="115">
        <v>4.2729999999999997</v>
      </c>
      <c r="Z318" s="115">
        <v>4.2729999999999997</v>
      </c>
      <c r="AA318" s="115">
        <v>4.2750000000000004</v>
      </c>
      <c r="AB318" s="115">
        <v>4.2779999999999996</v>
      </c>
      <c r="AC318" s="115">
        <v>4.2789999999999999</v>
      </c>
      <c r="AD318" s="43"/>
      <c r="AE318" s="43"/>
      <c r="AF318" s="43"/>
      <c r="AG318" s="43"/>
      <c r="AH318" s="43"/>
      <c r="AI318" s="43"/>
    </row>
    <row r="319" spans="1:35" x14ac:dyDescent="0.25">
      <c r="A319" s="115" t="s">
        <v>623</v>
      </c>
      <c r="B319" s="115">
        <v>5.7759999999999998</v>
      </c>
      <c r="C319" s="115">
        <v>5.8259999999999996</v>
      </c>
      <c r="D319" s="115">
        <v>5.806</v>
      </c>
      <c r="E319" s="115">
        <v>5.8129999999999997</v>
      </c>
      <c r="F319" s="115">
        <v>5.923</v>
      </c>
      <c r="G319" s="115">
        <v>5.9219999999999997</v>
      </c>
      <c r="H319" s="115">
        <v>5.9210000000000003</v>
      </c>
      <c r="I319" s="115">
        <v>5.8929999999999998</v>
      </c>
      <c r="J319" s="115">
        <v>5.867</v>
      </c>
      <c r="K319" s="115">
        <v>5.8330000000000002</v>
      </c>
      <c r="L319" s="115">
        <v>5.7960000000000003</v>
      </c>
      <c r="M319" s="115">
        <v>5.758</v>
      </c>
      <c r="N319" s="115">
        <v>5.7220000000000004</v>
      </c>
      <c r="O319" s="115">
        <v>5.7030000000000003</v>
      </c>
      <c r="P319" s="115">
        <v>5.6769999999999996</v>
      </c>
      <c r="Q319" s="115">
        <v>5.6479999999999997</v>
      </c>
      <c r="R319" s="115">
        <v>5.6280000000000001</v>
      </c>
      <c r="S319" s="115">
        <v>6.2329999999999997</v>
      </c>
      <c r="T319" s="115">
        <v>5.5389999999999997</v>
      </c>
      <c r="U319" s="115">
        <v>5.5019999999999998</v>
      </c>
      <c r="V319" s="115">
        <v>5.4749999999999996</v>
      </c>
      <c r="W319" s="115">
        <v>5.4829999999999997</v>
      </c>
      <c r="X319" s="115">
        <v>5.492</v>
      </c>
      <c r="Y319" s="115">
        <v>5.4930000000000003</v>
      </c>
      <c r="Z319" s="115">
        <v>5.5010000000000003</v>
      </c>
      <c r="AA319" s="115">
        <v>5.51</v>
      </c>
      <c r="AB319" s="115">
        <v>5.5209999999999999</v>
      </c>
      <c r="AC319" s="115">
        <v>5.5279999999999996</v>
      </c>
      <c r="AD319" s="43"/>
      <c r="AE319" s="43"/>
      <c r="AF319" s="43"/>
      <c r="AG319" s="43"/>
      <c r="AH319" s="43"/>
      <c r="AI319" s="43"/>
    </row>
    <row r="320" spans="1:35" x14ac:dyDescent="0.25">
      <c r="A320" s="115" t="s">
        <v>624</v>
      </c>
      <c r="B320" s="115">
        <v>6.5410000000000004</v>
      </c>
      <c r="C320" s="115">
        <v>6.5579999999999998</v>
      </c>
      <c r="D320" s="115">
        <v>6.524</v>
      </c>
      <c r="E320" s="115">
        <v>6.5259999999999998</v>
      </c>
      <c r="F320" s="115">
        <v>6.6420000000000003</v>
      </c>
      <c r="G320" s="115">
        <v>6.6340000000000003</v>
      </c>
      <c r="H320" s="115">
        <v>6.6260000000000003</v>
      </c>
      <c r="I320" s="115">
        <v>6.59</v>
      </c>
      <c r="J320" s="115">
        <v>6.5579999999999998</v>
      </c>
      <c r="K320" s="115">
        <v>6.5140000000000002</v>
      </c>
      <c r="L320" s="115">
        <v>6.4669999999999996</v>
      </c>
      <c r="M320" s="115">
        <v>6.4180000000000001</v>
      </c>
      <c r="N320" s="115">
        <v>6.37</v>
      </c>
      <c r="O320" s="115">
        <v>6.3449999999999998</v>
      </c>
      <c r="P320" s="115">
        <v>6.3140000000000001</v>
      </c>
      <c r="Q320" s="115">
        <v>6.2789999999999999</v>
      </c>
      <c r="R320" s="115">
        <v>6.2549999999999999</v>
      </c>
      <c r="S320" s="115">
        <v>6.7919999999999998</v>
      </c>
      <c r="T320" s="115">
        <v>6.1310000000000002</v>
      </c>
      <c r="U320" s="115">
        <v>6.0970000000000004</v>
      </c>
      <c r="V320" s="115">
        <v>6.0750000000000002</v>
      </c>
      <c r="W320" s="115">
        <v>6.0919999999999996</v>
      </c>
      <c r="X320" s="115">
        <v>6.1120000000000001</v>
      </c>
      <c r="Y320" s="115">
        <v>6.1239999999999997</v>
      </c>
      <c r="Z320" s="115">
        <v>6.1440000000000001</v>
      </c>
      <c r="AA320" s="115">
        <v>6.1660000000000004</v>
      </c>
      <c r="AB320" s="115">
        <v>6.1890000000000001</v>
      </c>
      <c r="AC320" s="115">
        <v>6.2119999999999997</v>
      </c>
      <c r="AD320" s="43"/>
      <c r="AE320" s="43"/>
      <c r="AF320" s="43"/>
      <c r="AG320" s="43"/>
      <c r="AH320" s="43"/>
      <c r="AI320" s="43"/>
    </row>
    <row r="321" spans="1:35" x14ac:dyDescent="0.25">
      <c r="A321" s="115" t="s">
        <v>625</v>
      </c>
      <c r="B321" s="115">
        <v>7.1859999999999999</v>
      </c>
      <c r="C321" s="115">
        <v>7.2210000000000001</v>
      </c>
      <c r="D321" s="115">
        <v>7.1840000000000002</v>
      </c>
      <c r="E321" s="115">
        <v>7.1970000000000001</v>
      </c>
      <c r="F321" s="115">
        <v>7.335</v>
      </c>
      <c r="G321" s="115">
        <v>7.335</v>
      </c>
      <c r="H321" s="115">
        <v>7.3339999999999996</v>
      </c>
      <c r="I321" s="115">
        <v>7.3010000000000002</v>
      </c>
      <c r="J321" s="115">
        <v>7.2720000000000002</v>
      </c>
      <c r="K321" s="115">
        <v>7.23</v>
      </c>
      <c r="L321" s="115">
        <v>7.1849999999999996</v>
      </c>
      <c r="M321" s="115">
        <v>7.1360000000000001</v>
      </c>
      <c r="N321" s="115">
        <v>7.0880000000000001</v>
      </c>
      <c r="O321" s="115">
        <v>7.06</v>
      </c>
      <c r="P321" s="115">
        <v>7.0289999999999999</v>
      </c>
      <c r="Q321" s="115">
        <v>6.992</v>
      </c>
      <c r="R321" s="115">
        <v>6.968</v>
      </c>
      <c r="S321" s="115">
        <v>7.5869999999999997</v>
      </c>
      <c r="T321" s="115">
        <v>6.8250000000000002</v>
      </c>
      <c r="U321" s="115">
        <v>6.7869999999999999</v>
      </c>
      <c r="V321" s="115">
        <v>6.7610000000000001</v>
      </c>
      <c r="W321" s="115">
        <v>6.7789999999999999</v>
      </c>
      <c r="X321" s="115">
        <v>6.7990000000000004</v>
      </c>
      <c r="Y321" s="115">
        <v>6.81</v>
      </c>
      <c r="Z321" s="115">
        <v>6.8289999999999997</v>
      </c>
      <c r="AA321" s="115">
        <v>6.851</v>
      </c>
      <c r="AB321" s="115">
        <v>6.8730000000000002</v>
      </c>
      <c r="AC321" s="115">
        <v>6.8940000000000001</v>
      </c>
      <c r="AD321" s="43"/>
      <c r="AE321" s="43"/>
      <c r="AF321" s="43"/>
      <c r="AG321" s="43"/>
      <c r="AH321" s="43"/>
      <c r="AI321" s="43"/>
    </row>
    <row r="322" spans="1:35" x14ac:dyDescent="0.25">
      <c r="A322" s="115" t="s">
        <v>626</v>
      </c>
      <c r="B322" s="115">
        <v>8.5289999999999999</v>
      </c>
      <c r="C322" s="115">
        <v>8.5269999999999992</v>
      </c>
      <c r="D322" s="115">
        <v>8.4480000000000004</v>
      </c>
      <c r="E322" s="115">
        <v>8.4510000000000005</v>
      </c>
      <c r="F322" s="115">
        <v>8.6129999999999995</v>
      </c>
      <c r="G322" s="115">
        <v>8.6</v>
      </c>
      <c r="H322" s="115">
        <v>8.5860000000000003</v>
      </c>
      <c r="I322" s="115">
        <v>8.5389999999999997</v>
      </c>
      <c r="J322" s="115">
        <v>8.4969999999999999</v>
      </c>
      <c r="K322" s="115">
        <v>8.4320000000000004</v>
      </c>
      <c r="L322" s="115">
        <v>8.3629999999999995</v>
      </c>
      <c r="M322" s="115">
        <v>8.2940000000000005</v>
      </c>
      <c r="N322" s="115">
        <v>8.2249999999999996</v>
      </c>
      <c r="O322" s="115">
        <v>8.18</v>
      </c>
      <c r="P322" s="115">
        <v>8.1349999999999998</v>
      </c>
      <c r="Q322" s="115">
        <v>8.0850000000000009</v>
      </c>
      <c r="R322" s="115">
        <v>8.0549999999999997</v>
      </c>
      <c r="S322" s="115">
        <v>8.7520000000000007</v>
      </c>
      <c r="T322" s="115">
        <v>7.8789999999999996</v>
      </c>
      <c r="U322" s="115">
        <v>7.8360000000000003</v>
      </c>
      <c r="V322" s="115">
        <v>7.8070000000000004</v>
      </c>
      <c r="W322" s="115">
        <v>7.8259999999999996</v>
      </c>
      <c r="X322" s="115">
        <v>7.85</v>
      </c>
      <c r="Y322" s="115">
        <v>7.8609999999999998</v>
      </c>
      <c r="Z322" s="115">
        <v>7.8840000000000003</v>
      </c>
      <c r="AA322" s="115">
        <v>7.9080000000000004</v>
      </c>
      <c r="AB322" s="115">
        <v>7.9340000000000002</v>
      </c>
      <c r="AC322" s="115">
        <v>7.9580000000000002</v>
      </c>
      <c r="AD322" s="43"/>
      <c r="AE322" s="43"/>
      <c r="AF322" s="43"/>
      <c r="AG322" s="43"/>
      <c r="AH322" s="43"/>
      <c r="AI322" s="43"/>
    </row>
    <row r="323" spans="1:35" x14ac:dyDescent="0.25">
      <c r="A323" s="115" t="s">
        <v>848</v>
      </c>
      <c r="B323" s="115"/>
      <c r="C323" s="115">
        <v>347706518.10699999</v>
      </c>
      <c r="D323" s="115">
        <v>347538965.62400001</v>
      </c>
      <c r="E323" s="115">
        <v>350955902.30199999</v>
      </c>
      <c r="F323" s="115">
        <v>362924154.50099999</v>
      </c>
      <c r="G323" s="115">
        <v>364909481.72600001</v>
      </c>
      <c r="H323" s="115">
        <v>365407712.33399999</v>
      </c>
      <c r="I323" s="115">
        <v>363136624.21100003</v>
      </c>
      <c r="J323" s="115">
        <v>363824381.40499997</v>
      </c>
      <c r="K323" s="115">
        <v>362274937.49199998</v>
      </c>
      <c r="L323" s="115">
        <v>360535333.62</v>
      </c>
      <c r="M323" s="115">
        <v>358844553.384</v>
      </c>
      <c r="N323" s="115">
        <v>357361584.31800002</v>
      </c>
      <c r="O323" s="115">
        <v>354561993.07499999</v>
      </c>
      <c r="P323" s="115">
        <v>352786979.60600001</v>
      </c>
      <c r="Q323" s="115">
        <v>350958690.21499997</v>
      </c>
      <c r="R323" s="115">
        <v>349600017.95499998</v>
      </c>
      <c r="S323" s="115">
        <v>403816536.92000002</v>
      </c>
      <c r="T323" s="115">
        <v>341129431.00300002</v>
      </c>
      <c r="U323" s="115">
        <v>336108934.05299997</v>
      </c>
      <c r="V323" s="115">
        <v>331034187.64399999</v>
      </c>
      <c r="W323" s="115">
        <v>327423769.54000002</v>
      </c>
      <c r="X323" s="115">
        <v>323573276.78899997</v>
      </c>
      <c r="Y323" s="115">
        <v>318969177.67199999</v>
      </c>
      <c r="Z323" s="115">
        <v>314363607.69499999</v>
      </c>
      <c r="AA323" s="115">
        <v>309645083.72899997</v>
      </c>
      <c r="AB323" s="115">
        <v>304819747.11000001</v>
      </c>
      <c r="AC323" s="115">
        <v>299020224.37800002</v>
      </c>
      <c r="AD323" s="43"/>
      <c r="AE323" s="43"/>
      <c r="AF323" s="43"/>
      <c r="AG323" s="43"/>
      <c r="AH323" s="43"/>
      <c r="AI323" s="43"/>
    </row>
    <row r="324" spans="1:35" x14ac:dyDescent="0.25">
      <c r="A324" s="115" t="s">
        <v>849</v>
      </c>
      <c r="B324" s="115"/>
      <c r="C324" s="115">
        <v>474561913.53500003</v>
      </c>
      <c r="D324" s="115">
        <v>472817594.134</v>
      </c>
      <c r="E324" s="115">
        <v>477135680.02600002</v>
      </c>
      <c r="F324" s="115">
        <v>493843475.02700001</v>
      </c>
      <c r="G324" s="115">
        <v>496408012.29500002</v>
      </c>
      <c r="H324" s="115">
        <v>497186451.39099997</v>
      </c>
      <c r="I324" s="115">
        <v>494840888.21200001</v>
      </c>
      <c r="J324" s="115">
        <v>496153973.97100002</v>
      </c>
      <c r="K324" s="115">
        <v>494573522.24400002</v>
      </c>
      <c r="L324" s="115">
        <v>492549111.54500002</v>
      </c>
      <c r="M324" s="115">
        <v>490376071.972</v>
      </c>
      <c r="N324" s="115">
        <v>488294524.39099997</v>
      </c>
      <c r="O324" s="115">
        <v>484223018.477</v>
      </c>
      <c r="P324" s="115">
        <v>481318500.97500002</v>
      </c>
      <c r="Q324" s="115">
        <v>478253197.03299999</v>
      </c>
      <c r="R324" s="115">
        <v>475978978.241</v>
      </c>
      <c r="S324" s="115">
        <v>548802849.96200001</v>
      </c>
      <c r="T324" s="115">
        <v>463149782.37800002</v>
      </c>
      <c r="U324" s="115">
        <v>456528640.62400001</v>
      </c>
      <c r="V324" s="115">
        <v>450215009.06999999</v>
      </c>
      <c r="W324" s="115">
        <v>446272763.49299997</v>
      </c>
      <c r="X324" s="115">
        <v>442347282.903</v>
      </c>
      <c r="Y324" s="115">
        <v>437406557.50099999</v>
      </c>
      <c r="Z324" s="115">
        <v>432858284.375</v>
      </c>
      <c r="AA324" s="115">
        <v>428339397.03200001</v>
      </c>
      <c r="AB324" s="115">
        <v>423861677.71100003</v>
      </c>
      <c r="AC324" s="115">
        <v>418628068.73900002</v>
      </c>
      <c r="AD324" s="43"/>
      <c r="AE324" s="43"/>
      <c r="AF324" s="43"/>
      <c r="AG324" s="43"/>
      <c r="AH324" s="43"/>
      <c r="AI324" s="43"/>
    </row>
    <row r="325" spans="1:35" x14ac:dyDescent="0.25">
      <c r="A325" s="115" t="s">
        <v>850</v>
      </c>
      <c r="B325" s="115"/>
      <c r="C325" s="115">
        <v>711352843.35699999</v>
      </c>
      <c r="D325" s="115">
        <v>706041610.17400002</v>
      </c>
      <c r="E325" s="115">
        <v>710156836.11800003</v>
      </c>
      <c r="F325" s="115">
        <v>732136327.62199998</v>
      </c>
      <c r="G325" s="115">
        <v>733544832.86000001</v>
      </c>
      <c r="H325" s="115">
        <v>732873995.13800001</v>
      </c>
      <c r="I325" s="115">
        <v>728227794.84000003</v>
      </c>
      <c r="J325" s="115">
        <v>728021494.20799994</v>
      </c>
      <c r="K325" s="115">
        <v>723989405.12399995</v>
      </c>
      <c r="L325" s="115">
        <v>719117667.48199999</v>
      </c>
      <c r="M325" s="115">
        <v>713744720.95000005</v>
      </c>
      <c r="N325" s="115">
        <v>708239911.19799995</v>
      </c>
      <c r="O325" s="115">
        <v>700144582.23399997</v>
      </c>
      <c r="P325" s="115">
        <v>693379912.38699996</v>
      </c>
      <c r="Q325" s="115">
        <v>686275573.67400002</v>
      </c>
      <c r="R325" s="115">
        <v>680683979.20299995</v>
      </c>
      <c r="S325" s="115">
        <v>763491587.61699998</v>
      </c>
      <c r="T325" s="115">
        <v>653411592.046</v>
      </c>
      <c r="U325" s="115">
        <v>643580038.33599997</v>
      </c>
      <c r="V325" s="115">
        <v>634801374.54999995</v>
      </c>
      <c r="W325" s="115">
        <v>630198473.71300006</v>
      </c>
      <c r="X325" s="115">
        <v>625981296.41299999</v>
      </c>
      <c r="Y325" s="115">
        <v>620654148.82799995</v>
      </c>
      <c r="Z325" s="115">
        <v>616287478.148</v>
      </c>
      <c r="AA325" s="115">
        <v>612240302.36000001</v>
      </c>
      <c r="AB325" s="115">
        <v>608509781.80999994</v>
      </c>
      <c r="AC325" s="115">
        <v>604487408.50800002</v>
      </c>
      <c r="AD325" s="43"/>
      <c r="AE325" s="43"/>
      <c r="AF325" s="43"/>
      <c r="AG325" s="43"/>
      <c r="AH325" s="43"/>
      <c r="AI325" s="43"/>
    </row>
    <row r="326" spans="1:35" x14ac:dyDescent="0.25">
      <c r="A326" s="115" t="s">
        <v>851</v>
      </c>
      <c r="B326" s="115"/>
      <c r="C326" s="115">
        <v>1008109559.102</v>
      </c>
      <c r="D326" s="115">
        <v>1000435876.568</v>
      </c>
      <c r="E326" s="115">
        <v>1007056433.044</v>
      </c>
      <c r="F326" s="115">
        <v>1040063532.442</v>
      </c>
      <c r="G326" s="115">
        <v>1043095884.493</v>
      </c>
      <c r="H326" s="115">
        <v>1043071041.4220001</v>
      </c>
      <c r="I326" s="115">
        <v>1037041328.457</v>
      </c>
      <c r="J326" s="115">
        <v>1037490858.253</v>
      </c>
      <c r="K326" s="115">
        <v>1032397000.987</v>
      </c>
      <c r="L326" s="115">
        <v>1026067371.7180001</v>
      </c>
      <c r="M326" s="115">
        <v>1019001220.228</v>
      </c>
      <c r="N326" s="115">
        <v>1011749500.717</v>
      </c>
      <c r="O326" s="115">
        <v>1000476069.528</v>
      </c>
      <c r="P326" s="115">
        <v>991086500.49000001</v>
      </c>
      <c r="Q326" s="115">
        <v>981257125.21500003</v>
      </c>
      <c r="R326" s="115">
        <v>973632803.72099996</v>
      </c>
      <c r="S326" s="115">
        <v>1098473659.8110001</v>
      </c>
      <c r="T326" s="115">
        <v>935447510.13999999</v>
      </c>
      <c r="U326" s="115">
        <v>921713707.95799994</v>
      </c>
      <c r="V326" s="115">
        <v>909484939.08200002</v>
      </c>
      <c r="W326" s="115">
        <v>902948149.43700004</v>
      </c>
      <c r="X326" s="115">
        <v>897030594.074</v>
      </c>
      <c r="Y326" s="115">
        <v>889379563.91900003</v>
      </c>
      <c r="Z326" s="115">
        <v>883126039.98300004</v>
      </c>
      <c r="AA326" s="115">
        <v>877277915.64999998</v>
      </c>
      <c r="AB326" s="115">
        <v>871821286.36300004</v>
      </c>
      <c r="AC326" s="115">
        <v>865850956.71099997</v>
      </c>
      <c r="AD326" s="43"/>
      <c r="AE326" s="43"/>
      <c r="AF326" s="43"/>
      <c r="AG326" s="43"/>
      <c r="AH326" s="43"/>
      <c r="AI326" s="43"/>
    </row>
    <row r="327" spans="1:35" x14ac:dyDescent="0.25">
      <c r="A327" s="115" t="s">
        <v>852</v>
      </c>
      <c r="B327" s="115"/>
      <c r="C327" s="115">
        <v>1764398546.25</v>
      </c>
      <c r="D327" s="115">
        <v>1743893731.8080001</v>
      </c>
      <c r="E327" s="115">
        <v>1750513655.477</v>
      </c>
      <c r="F327" s="115">
        <v>1803306796.0929999</v>
      </c>
      <c r="G327" s="115">
        <v>1803213443.0469999</v>
      </c>
      <c r="H327" s="115">
        <v>1798609651.4189999</v>
      </c>
      <c r="I327" s="115">
        <v>1784063663.115</v>
      </c>
      <c r="J327" s="115">
        <v>1779199750.0150001</v>
      </c>
      <c r="K327" s="115">
        <v>1764481417.9690001</v>
      </c>
      <c r="L327" s="115">
        <v>1747312873.1389999</v>
      </c>
      <c r="M327" s="115">
        <v>1728479735.543</v>
      </c>
      <c r="N327" s="115">
        <v>1709006680.9000001</v>
      </c>
      <c r="O327" s="115">
        <v>1682482905.233</v>
      </c>
      <c r="P327" s="115">
        <v>1659061407.4289999</v>
      </c>
      <c r="Q327" s="115">
        <v>1635390072.2290001</v>
      </c>
      <c r="R327" s="115">
        <v>1616448376.7969999</v>
      </c>
      <c r="S327" s="115">
        <v>1759671936.8499999</v>
      </c>
      <c r="T327" s="115">
        <v>1518757905.1530001</v>
      </c>
      <c r="U327" s="115">
        <v>1496806154.1129999</v>
      </c>
      <c r="V327" s="115">
        <v>1477728697.3659999</v>
      </c>
      <c r="W327" s="115">
        <v>1467919190.7190001</v>
      </c>
      <c r="X327" s="115">
        <v>1459350263.8410001</v>
      </c>
      <c r="Y327" s="115">
        <v>1448572893.1600001</v>
      </c>
      <c r="Z327" s="115">
        <v>1440169501.092</v>
      </c>
      <c r="AA327" s="115">
        <v>1432616128.4990001</v>
      </c>
      <c r="AB327" s="115">
        <v>1425809221.2939999</v>
      </c>
      <c r="AC327" s="115">
        <v>1418494276.675</v>
      </c>
      <c r="AD327" s="43"/>
      <c r="AE327" s="43"/>
      <c r="AF327" s="43"/>
      <c r="AG327" s="43"/>
      <c r="AH327" s="43"/>
      <c r="AI327" s="43"/>
    </row>
    <row r="328" spans="1:35" x14ac:dyDescent="0.25">
      <c r="A328" s="115" t="s">
        <v>853</v>
      </c>
      <c r="B328" s="115"/>
      <c r="C328" s="115">
        <v>989860668.80599999</v>
      </c>
      <c r="D328" s="115">
        <v>980530961.97500002</v>
      </c>
      <c r="E328" s="115">
        <v>970579394.977</v>
      </c>
      <c r="F328" s="115">
        <v>983348597.16400003</v>
      </c>
      <c r="G328" s="115">
        <v>977666429.27900004</v>
      </c>
      <c r="H328" s="115">
        <v>971089101.50300002</v>
      </c>
      <c r="I328" s="115">
        <v>961623029.94400001</v>
      </c>
      <c r="J328" s="115">
        <v>941882013.28699994</v>
      </c>
      <c r="K328" s="115">
        <v>921784527.97000003</v>
      </c>
      <c r="L328" s="115">
        <v>905215820.38699996</v>
      </c>
      <c r="M328" s="115">
        <v>891956261.36000001</v>
      </c>
      <c r="N328" s="115">
        <v>881731853.55400002</v>
      </c>
      <c r="O328" s="115">
        <v>874002488.43799996</v>
      </c>
      <c r="P328" s="115">
        <v>855298149.47800004</v>
      </c>
      <c r="Q328" s="115">
        <v>839082038.53600001</v>
      </c>
      <c r="R328" s="115">
        <v>826457491.171</v>
      </c>
      <c r="S328" s="115">
        <v>907404524.28799999</v>
      </c>
      <c r="T328" s="115">
        <v>801835298.90999997</v>
      </c>
      <c r="U328" s="115">
        <v>792870135.35000002</v>
      </c>
      <c r="V328" s="115">
        <v>785718049.55200005</v>
      </c>
      <c r="W328" s="115">
        <v>785636918.50699997</v>
      </c>
      <c r="X328" s="115">
        <v>785901858.04799998</v>
      </c>
      <c r="Y328" s="115">
        <v>786278320.31099999</v>
      </c>
      <c r="Z328" s="115">
        <v>787638374.03400004</v>
      </c>
      <c r="AA328" s="115">
        <v>789951548.91999996</v>
      </c>
      <c r="AB328" s="115">
        <v>793145053.69200003</v>
      </c>
      <c r="AC328" s="115">
        <v>797276953.80700004</v>
      </c>
      <c r="AD328" s="43"/>
      <c r="AE328" s="43"/>
      <c r="AF328" s="43"/>
      <c r="AG328" s="43"/>
      <c r="AH328" s="43"/>
      <c r="AI328" s="43"/>
    </row>
    <row r="329" spans="1:35" x14ac:dyDescent="0.25">
      <c r="A329" s="115" t="s">
        <v>854</v>
      </c>
      <c r="B329" s="115"/>
      <c r="C329" s="115">
        <v>885902490.51300001</v>
      </c>
      <c r="D329" s="115">
        <v>880781259.43799996</v>
      </c>
      <c r="E329" s="115">
        <v>876195856.02999997</v>
      </c>
      <c r="F329" s="115">
        <v>891843972.71200001</v>
      </c>
      <c r="G329" s="115">
        <v>889581570.97800004</v>
      </c>
      <c r="H329" s="115">
        <v>885862575.09200001</v>
      </c>
      <c r="I329" s="115">
        <v>878942099.43799996</v>
      </c>
      <c r="J329" s="115">
        <v>864484344.36899996</v>
      </c>
      <c r="K329" s="115">
        <v>848958844.90400004</v>
      </c>
      <c r="L329" s="115">
        <v>836100535.60599995</v>
      </c>
      <c r="M329" s="115">
        <v>825830278.495</v>
      </c>
      <c r="N329" s="115">
        <v>818000118.977</v>
      </c>
      <c r="O329" s="115">
        <v>812091714.41499996</v>
      </c>
      <c r="P329" s="115">
        <v>795914245.78600001</v>
      </c>
      <c r="Q329" s="115">
        <v>781893286.13300002</v>
      </c>
      <c r="R329" s="115">
        <v>771088286.33500004</v>
      </c>
      <c r="S329" s="115">
        <v>852611252.49899995</v>
      </c>
      <c r="T329" s="115">
        <v>749840583.30999994</v>
      </c>
      <c r="U329" s="115">
        <v>742135687.52900004</v>
      </c>
      <c r="V329" s="115">
        <v>736068230.10500002</v>
      </c>
      <c r="W329" s="115">
        <v>736573002.82000005</v>
      </c>
      <c r="X329" s="115">
        <v>737371414.65799999</v>
      </c>
      <c r="Y329" s="115">
        <v>738146618.70299995</v>
      </c>
      <c r="Z329" s="115">
        <v>739828915.90600002</v>
      </c>
      <c r="AA329" s="115">
        <v>742363069.755</v>
      </c>
      <c r="AB329" s="115">
        <v>745680440.97300005</v>
      </c>
      <c r="AC329" s="115">
        <v>749850188.20500004</v>
      </c>
      <c r="AD329" s="43"/>
      <c r="AE329" s="43"/>
      <c r="AF329" s="43"/>
      <c r="AG329" s="43"/>
      <c r="AH329" s="43"/>
      <c r="AI329" s="43"/>
    </row>
    <row r="330" spans="1:35" x14ac:dyDescent="0.25">
      <c r="A330" s="115" t="s">
        <v>855</v>
      </c>
      <c r="B330" s="115"/>
      <c r="C330" s="115">
        <v>834493582.96000004</v>
      </c>
      <c r="D330" s="115">
        <v>830438304.95899999</v>
      </c>
      <c r="E330" s="115">
        <v>827458582.972</v>
      </c>
      <c r="F330" s="115">
        <v>844422545.22800004</v>
      </c>
      <c r="G330" s="115">
        <v>843346589.85599995</v>
      </c>
      <c r="H330" s="115">
        <v>840758771.35599995</v>
      </c>
      <c r="I330" s="115">
        <v>834962849.42200005</v>
      </c>
      <c r="J330" s="115">
        <v>821770069.57299995</v>
      </c>
      <c r="K330" s="115">
        <v>807532840.12300003</v>
      </c>
      <c r="L330" s="115">
        <v>795833255.32000005</v>
      </c>
      <c r="M330" s="115">
        <v>786603369.81799996</v>
      </c>
      <c r="N330" s="115">
        <v>779726312.76999998</v>
      </c>
      <c r="O330" s="115">
        <v>774681386.06500006</v>
      </c>
      <c r="P330" s="115">
        <v>760261282.99699998</v>
      </c>
      <c r="Q330" s="115">
        <v>747966974.597</v>
      </c>
      <c r="R330" s="115">
        <v>738773705.85699999</v>
      </c>
      <c r="S330" s="115">
        <v>824820273.15499997</v>
      </c>
      <c r="T330" s="115">
        <v>720678432.55799997</v>
      </c>
      <c r="U330" s="115">
        <v>714314759.33000004</v>
      </c>
      <c r="V330" s="115">
        <v>709518125.85500002</v>
      </c>
      <c r="W330" s="115">
        <v>710641508.73199999</v>
      </c>
      <c r="X330" s="115">
        <v>712128488.53699994</v>
      </c>
      <c r="Y330" s="115">
        <v>713438374.75199997</v>
      </c>
      <c r="Z330" s="115">
        <v>715641553.81299996</v>
      </c>
      <c r="AA330" s="115">
        <v>718608879.31799996</v>
      </c>
      <c r="AB330" s="115">
        <v>722266099.87</v>
      </c>
      <c r="AC330" s="115">
        <v>726688813.47099996</v>
      </c>
      <c r="AD330" s="43"/>
      <c r="AE330" s="43"/>
      <c r="AF330" s="43"/>
      <c r="AG330" s="43"/>
      <c r="AH330" s="43"/>
      <c r="AI330" s="43"/>
    </row>
    <row r="331" spans="1:35" x14ac:dyDescent="0.25">
      <c r="A331" s="115" t="s">
        <v>856</v>
      </c>
      <c r="B331" s="115"/>
      <c r="C331" s="115">
        <v>782157639.88300002</v>
      </c>
      <c r="D331" s="115">
        <v>776631108.35699999</v>
      </c>
      <c r="E331" s="115">
        <v>773221070.08000004</v>
      </c>
      <c r="F331" s="115">
        <v>789888334.24899995</v>
      </c>
      <c r="G331" s="115">
        <v>788704349.20799994</v>
      </c>
      <c r="H331" s="115">
        <v>786259409.01600003</v>
      </c>
      <c r="I331" s="115">
        <v>780895022.94700003</v>
      </c>
      <c r="J331" s="115">
        <v>767090897.69500005</v>
      </c>
      <c r="K331" s="115">
        <v>752538892.37899995</v>
      </c>
      <c r="L331" s="115">
        <v>740645497.898</v>
      </c>
      <c r="M331" s="115">
        <v>731306782.07000005</v>
      </c>
      <c r="N331" s="115">
        <v>724397449.15499997</v>
      </c>
      <c r="O331" s="115">
        <v>719209557.26900005</v>
      </c>
      <c r="P331" s="115">
        <v>705468544.21599996</v>
      </c>
      <c r="Q331" s="115">
        <v>693766474.10399997</v>
      </c>
      <c r="R331" s="115">
        <v>685032181.41400003</v>
      </c>
      <c r="S331" s="115">
        <v>770204800.43099999</v>
      </c>
      <c r="T331" s="115">
        <v>667488473.88300002</v>
      </c>
      <c r="U331" s="115">
        <v>661461472.37399995</v>
      </c>
      <c r="V331" s="115">
        <v>656964206.18900001</v>
      </c>
      <c r="W331" s="115">
        <v>657677074.48000002</v>
      </c>
      <c r="X331" s="115">
        <v>658859575.796</v>
      </c>
      <c r="Y331" s="115">
        <v>659797781.18700004</v>
      </c>
      <c r="Z331" s="115">
        <v>661642875.27400005</v>
      </c>
      <c r="AA331" s="115">
        <v>664197443.38999999</v>
      </c>
      <c r="AB331" s="115">
        <v>667384041.95899999</v>
      </c>
      <c r="AC331" s="115">
        <v>671270217.921</v>
      </c>
      <c r="AD331" s="43"/>
      <c r="AE331" s="43"/>
      <c r="AF331" s="43"/>
      <c r="AG331" s="43"/>
      <c r="AH331" s="43"/>
      <c r="AI331" s="43"/>
    </row>
    <row r="332" spans="1:35" x14ac:dyDescent="0.25">
      <c r="A332" s="115" t="s">
        <v>857</v>
      </c>
      <c r="B332" s="115"/>
      <c r="C332" s="115">
        <v>761754943.13199997</v>
      </c>
      <c r="D332" s="115">
        <v>754666045.22000003</v>
      </c>
      <c r="E332" s="115">
        <v>749352818.09300005</v>
      </c>
      <c r="F332" s="115">
        <v>764639106.47599995</v>
      </c>
      <c r="G332" s="115">
        <v>762188534.86000001</v>
      </c>
      <c r="H332" s="115">
        <v>758824420.00300002</v>
      </c>
      <c r="I332" s="115">
        <v>752890738.44500005</v>
      </c>
      <c r="J332" s="115">
        <v>735672865.90499997</v>
      </c>
      <c r="K332" s="115">
        <v>718403944.23800004</v>
      </c>
      <c r="L332" s="115">
        <v>704296543.67299998</v>
      </c>
      <c r="M332" s="115">
        <v>693135857.26199996</v>
      </c>
      <c r="N332" s="115">
        <v>684719697.19299996</v>
      </c>
      <c r="O332" s="115">
        <v>678311096.09200001</v>
      </c>
      <c r="P332" s="115">
        <v>663697985.85800004</v>
      </c>
      <c r="Q332" s="115">
        <v>651199591.58599997</v>
      </c>
      <c r="R332" s="115">
        <v>641693168.76800001</v>
      </c>
      <c r="S332" s="115">
        <v>721263475.83200002</v>
      </c>
      <c r="T332" s="115">
        <v>622424292.76499999</v>
      </c>
      <c r="U332" s="115">
        <v>615859901.88100004</v>
      </c>
      <c r="V332" s="115">
        <v>610874111.72500002</v>
      </c>
      <c r="W332" s="115">
        <v>610624633.60800004</v>
      </c>
      <c r="X332" s="115">
        <v>610967174.99300003</v>
      </c>
      <c r="Y332" s="115">
        <v>611116053.92799997</v>
      </c>
      <c r="Z332" s="115">
        <v>612211871.58000004</v>
      </c>
      <c r="AA332" s="115">
        <v>614013623.29400003</v>
      </c>
      <c r="AB332" s="115">
        <v>616440296.41700006</v>
      </c>
      <c r="AC332" s="115">
        <v>619541532.53699994</v>
      </c>
      <c r="AD332" s="43"/>
      <c r="AE332" s="43"/>
      <c r="AF332" s="43"/>
      <c r="AG332" s="43"/>
      <c r="AH332" s="43"/>
      <c r="AI332" s="43"/>
    </row>
    <row r="333" spans="1:35" x14ac:dyDescent="0.25">
      <c r="A333" s="115" t="s">
        <v>858</v>
      </c>
      <c r="B333" s="115"/>
      <c r="C333" s="115">
        <v>871367496.29799998</v>
      </c>
      <c r="D333" s="115">
        <v>864792673.27100003</v>
      </c>
      <c r="E333" s="115">
        <v>871864573.60699999</v>
      </c>
      <c r="F333" s="115">
        <v>903490809.90100002</v>
      </c>
      <c r="G333" s="115">
        <v>904504515.33000004</v>
      </c>
      <c r="H333" s="115">
        <v>902052388.36800003</v>
      </c>
      <c r="I333" s="115">
        <v>893918461.40100002</v>
      </c>
      <c r="J333" s="115">
        <v>891505193.28199995</v>
      </c>
      <c r="K333" s="115">
        <v>882436331.35500002</v>
      </c>
      <c r="L333" s="115">
        <v>871782339.66400003</v>
      </c>
      <c r="M333" s="115">
        <v>860721327.94299996</v>
      </c>
      <c r="N333" s="115">
        <v>850709969.32799995</v>
      </c>
      <c r="O333" s="115">
        <v>841439641.03900003</v>
      </c>
      <c r="P333" s="115">
        <v>836890866.04400003</v>
      </c>
      <c r="Q333" s="115">
        <v>833302311.102</v>
      </c>
      <c r="R333" s="115">
        <v>830895969.26300001</v>
      </c>
      <c r="S333" s="115">
        <v>978089722.47000003</v>
      </c>
      <c r="T333" s="115">
        <v>822298136.28499997</v>
      </c>
      <c r="U333" s="115">
        <v>818835300.01600003</v>
      </c>
      <c r="V333" s="115">
        <v>819691887.46099997</v>
      </c>
      <c r="W333" s="115">
        <v>821893075.50600004</v>
      </c>
      <c r="X333" s="115">
        <v>824894924.99600005</v>
      </c>
      <c r="Y333" s="115">
        <v>826282332.45700002</v>
      </c>
      <c r="Z333" s="115">
        <v>828682258.27199996</v>
      </c>
      <c r="AA333" s="115">
        <v>831365874.30200005</v>
      </c>
      <c r="AB333" s="115">
        <v>834237076.77100003</v>
      </c>
      <c r="AC333" s="115">
        <v>837517701.74399996</v>
      </c>
      <c r="AD333" s="43"/>
      <c r="AE333" s="43"/>
      <c r="AF333" s="43"/>
      <c r="AG333" s="43"/>
      <c r="AH333" s="43"/>
      <c r="AI333" s="43"/>
    </row>
    <row r="334" spans="1:35" x14ac:dyDescent="0.25">
      <c r="A334" s="115" t="s">
        <v>859</v>
      </c>
      <c r="B334" s="115"/>
      <c r="C334" s="115">
        <v>673697845.85000002</v>
      </c>
      <c r="D334" s="115">
        <v>668378439.57000005</v>
      </c>
      <c r="E334" s="115">
        <v>673115692.09500003</v>
      </c>
      <c r="F334" s="115">
        <v>696394161.82299995</v>
      </c>
      <c r="G334" s="115">
        <v>696828561.40199995</v>
      </c>
      <c r="H334" s="115">
        <v>694824867.58299994</v>
      </c>
      <c r="I334" s="115">
        <v>688509702.80999994</v>
      </c>
      <c r="J334" s="115">
        <v>686622055.41700006</v>
      </c>
      <c r="K334" s="115">
        <v>679821123.12</v>
      </c>
      <c r="L334" s="115">
        <v>672078945.50899994</v>
      </c>
      <c r="M334" s="115">
        <v>664836309.12899995</v>
      </c>
      <c r="N334" s="115">
        <v>658532622.83800006</v>
      </c>
      <c r="O334" s="115">
        <v>652906986.50199997</v>
      </c>
      <c r="P334" s="115">
        <v>650685973.69099998</v>
      </c>
      <c r="Q334" s="115">
        <v>648972225.78999996</v>
      </c>
      <c r="R334" s="115">
        <v>647969223.18599999</v>
      </c>
      <c r="S334" s="115">
        <v>763086584.01100004</v>
      </c>
      <c r="T334" s="115">
        <v>642855173.80499995</v>
      </c>
      <c r="U334" s="115">
        <v>640620355.227</v>
      </c>
      <c r="V334" s="115">
        <v>641270108.31200004</v>
      </c>
      <c r="W334" s="115">
        <v>643110838.28699994</v>
      </c>
      <c r="X334" s="115">
        <v>645553284.375</v>
      </c>
      <c r="Y334" s="115">
        <v>646773543.20500004</v>
      </c>
      <c r="Z334" s="115">
        <v>648773741.31299996</v>
      </c>
      <c r="AA334" s="115">
        <v>651013415.48000002</v>
      </c>
      <c r="AB334" s="115">
        <v>653419133.824</v>
      </c>
      <c r="AC334" s="115">
        <v>656165233.59099996</v>
      </c>
      <c r="AD334" s="43"/>
      <c r="AE334" s="43"/>
      <c r="AF334" s="43"/>
      <c r="AG334" s="43"/>
      <c r="AH334" s="43"/>
      <c r="AI334" s="43"/>
    </row>
    <row r="335" spans="1:35" x14ac:dyDescent="0.25">
      <c r="A335" s="115" t="s">
        <v>860</v>
      </c>
      <c r="B335" s="115"/>
      <c r="C335" s="115">
        <v>440662380.69999999</v>
      </c>
      <c r="D335" s="115">
        <v>437220162.866</v>
      </c>
      <c r="E335" s="115">
        <v>439989850.59799999</v>
      </c>
      <c r="F335" s="115">
        <v>454879983.278</v>
      </c>
      <c r="G335" s="115">
        <v>455057956.796</v>
      </c>
      <c r="H335" s="115">
        <v>453828412.30900002</v>
      </c>
      <c r="I335" s="115">
        <v>449761527.68599999</v>
      </c>
      <c r="J335" s="115">
        <v>448655389.63700002</v>
      </c>
      <c r="K335" s="115">
        <v>444327118.19499999</v>
      </c>
      <c r="L335" s="115">
        <v>439262233.542</v>
      </c>
      <c r="M335" s="115">
        <v>433955235.11699998</v>
      </c>
      <c r="N335" s="115">
        <v>429122963.551</v>
      </c>
      <c r="O335" s="115">
        <v>424866936.264</v>
      </c>
      <c r="P335" s="115">
        <v>422934648.55400002</v>
      </c>
      <c r="Q335" s="115">
        <v>421404688</v>
      </c>
      <c r="R335" s="115">
        <v>420418076.21899998</v>
      </c>
      <c r="S335" s="115">
        <v>495454680.31</v>
      </c>
      <c r="T335" s="115">
        <v>416613503.18900001</v>
      </c>
      <c r="U335" s="115">
        <v>415015220.92400002</v>
      </c>
      <c r="V335" s="115">
        <v>415404708.95700002</v>
      </c>
      <c r="W335" s="115">
        <v>416654760.14600003</v>
      </c>
      <c r="X335" s="115">
        <v>418298263.49699998</v>
      </c>
      <c r="Y335" s="115">
        <v>419160899.62800002</v>
      </c>
      <c r="Z335" s="115">
        <v>420538472.12599999</v>
      </c>
      <c r="AA335" s="115">
        <v>422084816.32099998</v>
      </c>
      <c r="AB335" s="115">
        <v>423751303.15100002</v>
      </c>
      <c r="AC335" s="115">
        <v>425648996.35900003</v>
      </c>
      <c r="AD335" s="43"/>
      <c r="AE335" s="43"/>
      <c r="AF335" s="43"/>
      <c r="AG335" s="43"/>
      <c r="AH335" s="43"/>
      <c r="AI335" s="43"/>
    </row>
    <row r="336" spans="1:35" x14ac:dyDescent="0.25">
      <c r="A336" s="115" t="s">
        <v>861</v>
      </c>
      <c r="B336" s="115"/>
      <c r="C336" s="115">
        <v>232736199.479</v>
      </c>
      <c r="D336" s="115">
        <v>230718490.002</v>
      </c>
      <c r="E336" s="115">
        <v>231961133.706</v>
      </c>
      <c r="F336" s="115">
        <v>239434027.29699999</v>
      </c>
      <c r="G336" s="115">
        <v>239498680.67699999</v>
      </c>
      <c r="H336" s="115">
        <v>238992827.329</v>
      </c>
      <c r="I336" s="115">
        <v>237023713.447</v>
      </c>
      <c r="J336" s="115">
        <v>236595148.97600001</v>
      </c>
      <c r="K336" s="115">
        <v>234506931.22499999</v>
      </c>
      <c r="L336" s="115">
        <v>232045178.664</v>
      </c>
      <c r="M336" s="115">
        <v>229438944.046</v>
      </c>
      <c r="N336" s="115">
        <v>227079345.785</v>
      </c>
      <c r="O336" s="115">
        <v>224905657.61300001</v>
      </c>
      <c r="P336" s="115">
        <v>223934277.391</v>
      </c>
      <c r="Q336" s="115">
        <v>223174202.414</v>
      </c>
      <c r="R336" s="115">
        <v>222705804.87599999</v>
      </c>
      <c r="S336" s="115">
        <v>261679945.01300001</v>
      </c>
      <c r="T336" s="115">
        <v>220736860.815</v>
      </c>
      <c r="U336" s="115">
        <v>219917204.93000001</v>
      </c>
      <c r="V336" s="115">
        <v>220119005.81900001</v>
      </c>
      <c r="W336" s="115">
        <v>220789035.68700001</v>
      </c>
      <c r="X336" s="115">
        <v>221640832.40400001</v>
      </c>
      <c r="Y336" s="115">
        <v>222072816.67300001</v>
      </c>
      <c r="Z336" s="115">
        <v>222760620.25999999</v>
      </c>
      <c r="AA336" s="115">
        <v>223526829.414</v>
      </c>
      <c r="AB336" s="115">
        <v>224348043.69299999</v>
      </c>
      <c r="AC336" s="115">
        <v>225284175.13699999</v>
      </c>
      <c r="AD336" s="43"/>
      <c r="AE336" s="43"/>
      <c r="AF336" s="43"/>
      <c r="AG336" s="43"/>
      <c r="AH336" s="43"/>
      <c r="AI336" s="43"/>
    </row>
    <row r="337" spans="1:35" x14ac:dyDescent="0.25">
      <c r="A337" s="115" t="s">
        <v>862</v>
      </c>
      <c r="B337" s="115"/>
      <c r="C337" s="115">
        <v>104275374.557</v>
      </c>
      <c r="D337" s="115">
        <v>102909800.31900001</v>
      </c>
      <c r="E337" s="115">
        <v>102748576.692</v>
      </c>
      <c r="F337" s="115">
        <v>105048790.933</v>
      </c>
      <c r="G337" s="115">
        <v>104352785.425</v>
      </c>
      <c r="H337" s="115">
        <v>103533944.47</v>
      </c>
      <c r="I337" s="115">
        <v>102075279.01000001</v>
      </c>
      <c r="J337" s="115">
        <v>101156925.066</v>
      </c>
      <c r="K337" s="115">
        <v>99424505.849999994</v>
      </c>
      <c r="L337" s="115">
        <v>97499527.104000002</v>
      </c>
      <c r="M337" s="115">
        <v>95664601.912</v>
      </c>
      <c r="N337" s="115">
        <v>94026765.341000006</v>
      </c>
      <c r="O337" s="115">
        <v>92448396.048999995</v>
      </c>
      <c r="P337" s="115">
        <v>91453119.476999998</v>
      </c>
      <c r="Q337" s="115">
        <v>90616650.855000004</v>
      </c>
      <c r="R337" s="115">
        <v>89967380.157000005</v>
      </c>
      <c r="S337" s="115">
        <v>103497821.77599999</v>
      </c>
      <c r="T337" s="115">
        <v>88431186.226999998</v>
      </c>
      <c r="U337" s="115">
        <v>87835692.653999999</v>
      </c>
      <c r="V337" s="115">
        <v>87825992.996000007</v>
      </c>
      <c r="W337" s="115">
        <v>88086408.160999998</v>
      </c>
      <c r="X337" s="115">
        <v>88399681.922999993</v>
      </c>
      <c r="Y337" s="115">
        <v>88578544.954999998</v>
      </c>
      <c r="Z337" s="115">
        <v>88850212.817000002</v>
      </c>
      <c r="AA337" s="115">
        <v>89162036.700000003</v>
      </c>
      <c r="AB337" s="115">
        <v>89506284.655000001</v>
      </c>
      <c r="AC337" s="115">
        <v>89904555.520999998</v>
      </c>
      <c r="AD337" s="43"/>
      <c r="AE337" s="43"/>
      <c r="AF337" s="43"/>
      <c r="AG337" s="43"/>
      <c r="AH337" s="43"/>
      <c r="AI337" s="43"/>
    </row>
    <row r="338" spans="1:35" x14ac:dyDescent="0.25">
      <c r="A338" s="115" t="s">
        <v>863</v>
      </c>
      <c r="B338" s="115"/>
      <c r="C338" s="115">
        <v>1730538722.9349999</v>
      </c>
      <c r="D338" s="115">
        <v>1728585452.438</v>
      </c>
      <c r="E338" s="115">
        <v>1744372984.6340001</v>
      </c>
      <c r="F338" s="115">
        <v>1794299083.9430001</v>
      </c>
      <c r="G338" s="115">
        <v>1802640202.9660001</v>
      </c>
      <c r="H338" s="115">
        <v>1810791296.5350001</v>
      </c>
      <c r="I338" s="115">
        <v>1806136195.082</v>
      </c>
      <c r="J338" s="115">
        <v>1806033837.822</v>
      </c>
      <c r="K338" s="115">
        <v>1803271635.016</v>
      </c>
      <c r="L338" s="115">
        <v>1797290683.7360001</v>
      </c>
      <c r="M338" s="115">
        <v>1788217901.865</v>
      </c>
      <c r="N338" s="115">
        <v>1776979193.286</v>
      </c>
      <c r="O338" s="115">
        <v>1774077520.5009999</v>
      </c>
      <c r="P338" s="115">
        <v>1772057531.9909999</v>
      </c>
      <c r="Q338" s="115">
        <v>1766672087.273</v>
      </c>
      <c r="R338" s="115">
        <v>1762419602.9319999</v>
      </c>
      <c r="S338" s="115">
        <v>2027471417.7920001</v>
      </c>
      <c r="T338" s="115">
        <v>1731370005.832</v>
      </c>
      <c r="U338" s="115">
        <v>1715101177.326</v>
      </c>
      <c r="V338" s="115">
        <v>1700642276.865</v>
      </c>
      <c r="W338" s="115">
        <v>1698227862.9979999</v>
      </c>
      <c r="X338" s="115">
        <v>1695847838.4460001</v>
      </c>
      <c r="Y338" s="115">
        <v>1689501756.0369999</v>
      </c>
      <c r="Z338" s="115">
        <v>1684850773.5739999</v>
      </c>
      <c r="AA338" s="115">
        <v>1680218221.7079999</v>
      </c>
      <c r="AB338" s="115">
        <v>1675346565.5369999</v>
      </c>
      <c r="AC338" s="115">
        <v>1667371921.9360001</v>
      </c>
      <c r="AD338" s="43"/>
      <c r="AE338" s="43"/>
      <c r="AF338" s="43"/>
      <c r="AG338" s="43"/>
      <c r="AH338" s="43"/>
      <c r="AI338" s="43"/>
    </row>
    <row r="339" spans="1:35" x14ac:dyDescent="0.25">
      <c r="A339" s="115" t="s">
        <v>864</v>
      </c>
      <c r="B339" s="115"/>
      <c r="C339" s="115">
        <v>3036958969.961</v>
      </c>
      <c r="D339" s="115">
        <v>3020833823.2690001</v>
      </c>
      <c r="E339" s="115">
        <v>3036925001.3909998</v>
      </c>
      <c r="F339" s="115">
        <v>3109821002.3969998</v>
      </c>
      <c r="G339" s="115">
        <v>3111287370.3709998</v>
      </c>
      <c r="H339" s="115">
        <v>3111967480.8319998</v>
      </c>
      <c r="I339" s="115">
        <v>3092503615.5469999</v>
      </c>
      <c r="J339" s="115">
        <v>3080023371.9109998</v>
      </c>
      <c r="K339" s="115">
        <v>3062727897.7350001</v>
      </c>
      <c r="L339" s="115">
        <v>3039883169.1719999</v>
      </c>
      <c r="M339" s="115">
        <v>3011883757.5100002</v>
      </c>
      <c r="N339" s="115">
        <v>2980270177.5380001</v>
      </c>
      <c r="O339" s="115">
        <v>2969492448.651</v>
      </c>
      <c r="P339" s="115">
        <v>2960814693.5630002</v>
      </c>
      <c r="Q339" s="115">
        <v>2946682430.8839998</v>
      </c>
      <c r="R339" s="115">
        <v>2936613012.2340002</v>
      </c>
      <c r="S339" s="115">
        <v>3297203234.6230001</v>
      </c>
      <c r="T339" s="115">
        <v>2882588517.4970002</v>
      </c>
      <c r="U339" s="115">
        <v>2856970748.5029998</v>
      </c>
      <c r="V339" s="115">
        <v>2835981433.1680002</v>
      </c>
      <c r="W339" s="115">
        <v>2837019864.9120002</v>
      </c>
      <c r="X339" s="115">
        <v>2839122462.3299999</v>
      </c>
      <c r="Y339" s="115">
        <v>2834577731.131</v>
      </c>
      <c r="Z339" s="115">
        <v>2834171560.8070002</v>
      </c>
      <c r="AA339" s="115">
        <v>2833880833.0380001</v>
      </c>
      <c r="AB339" s="115">
        <v>2833292176.4520001</v>
      </c>
      <c r="AC339" s="115">
        <v>2829137841.6230001</v>
      </c>
      <c r="AD339" s="43"/>
      <c r="AE339" s="43"/>
      <c r="AF339" s="43"/>
      <c r="AG339" s="43"/>
      <c r="AH339" s="43"/>
      <c r="AI339" s="43"/>
    </row>
    <row r="340" spans="1:35" x14ac:dyDescent="0.25">
      <c r="A340" s="115" t="s">
        <v>865</v>
      </c>
      <c r="B340" s="115"/>
      <c r="C340" s="115">
        <v>3990028908.2249999</v>
      </c>
      <c r="D340" s="115">
        <v>3955081495.355</v>
      </c>
      <c r="E340" s="115">
        <v>3962296475.8670001</v>
      </c>
      <c r="F340" s="115">
        <v>4044423451.0489998</v>
      </c>
      <c r="G340" s="115">
        <v>4034686079.5949998</v>
      </c>
      <c r="H340" s="115">
        <v>4023652646.0689998</v>
      </c>
      <c r="I340" s="115">
        <v>3990447145.461</v>
      </c>
      <c r="J340" s="115">
        <v>3965474565.4359999</v>
      </c>
      <c r="K340" s="115">
        <v>3932408147.3280001</v>
      </c>
      <c r="L340" s="115">
        <v>3892691942.6129999</v>
      </c>
      <c r="M340" s="115">
        <v>3847112811.276</v>
      </c>
      <c r="N340" s="115">
        <v>3797772468.4840002</v>
      </c>
      <c r="O340" s="115">
        <v>3777593072.5900002</v>
      </c>
      <c r="P340" s="115">
        <v>3760950740.3080001</v>
      </c>
      <c r="Q340" s="115">
        <v>3737829126.0900002</v>
      </c>
      <c r="R340" s="115">
        <v>3722158328.3249998</v>
      </c>
      <c r="S340" s="115">
        <v>4048753320</v>
      </c>
      <c r="T340" s="115">
        <v>3629948831.5339999</v>
      </c>
      <c r="U340" s="115">
        <v>3605732502.5809999</v>
      </c>
      <c r="V340" s="115">
        <v>3588308723.0819998</v>
      </c>
      <c r="W340" s="115">
        <v>3599174801.0599999</v>
      </c>
      <c r="X340" s="115">
        <v>3611852464.2810001</v>
      </c>
      <c r="Y340" s="115">
        <v>3617276279.3709998</v>
      </c>
      <c r="Z340" s="115">
        <v>3628410128.8189998</v>
      </c>
      <c r="AA340" s="115">
        <v>3640071928.079</v>
      </c>
      <c r="AB340" s="115">
        <v>3651823298.5819998</v>
      </c>
      <c r="AC340" s="115">
        <v>3661733156.059</v>
      </c>
      <c r="AD340" s="43"/>
      <c r="AE340" s="43"/>
      <c r="AF340" s="43"/>
      <c r="AG340" s="43"/>
      <c r="AH340" s="43"/>
      <c r="AI340" s="43"/>
    </row>
    <row r="341" spans="1:35" x14ac:dyDescent="0.25">
      <c r="A341" s="115" t="s">
        <v>866</v>
      </c>
      <c r="B341" s="115"/>
      <c r="C341" s="115">
        <v>4839045211.5699997</v>
      </c>
      <c r="D341" s="115">
        <v>4795777370.1330004</v>
      </c>
      <c r="E341" s="115">
        <v>4806448854.4180002</v>
      </c>
      <c r="F341" s="115">
        <v>4910994902.9720001</v>
      </c>
      <c r="G341" s="115">
        <v>4903096759.5640001</v>
      </c>
      <c r="H341" s="115">
        <v>4893979470.4870005</v>
      </c>
      <c r="I341" s="115">
        <v>4858458486.6700001</v>
      </c>
      <c r="J341" s="115">
        <v>4833558794.9309998</v>
      </c>
      <c r="K341" s="115">
        <v>4797899517.684</v>
      </c>
      <c r="L341" s="115">
        <v>4754794774.3199997</v>
      </c>
      <c r="M341" s="115">
        <v>4705082637.927</v>
      </c>
      <c r="N341" s="115">
        <v>4651249479.243</v>
      </c>
      <c r="O341" s="115">
        <v>4627704601.9750004</v>
      </c>
      <c r="P341" s="115">
        <v>4608088001.6850004</v>
      </c>
      <c r="Q341" s="115">
        <v>4580278256.684</v>
      </c>
      <c r="R341" s="115">
        <v>4561770990.698</v>
      </c>
      <c r="S341" s="115">
        <v>5003436810.8529997</v>
      </c>
      <c r="T341" s="115">
        <v>4451280897.8979998</v>
      </c>
      <c r="U341" s="115">
        <v>4422190094.724</v>
      </c>
      <c r="V341" s="115">
        <v>4401460379.7519999</v>
      </c>
      <c r="W341" s="115">
        <v>4414866133.2150002</v>
      </c>
      <c r="X341" s="115">
        <v>4430895486.4069996</v>
      </c>
      <c r="Y341" s="115">
        <v>4436886857.1400003</v>
      </c>
      <c r="Z341" s="115">
        <v>4450241515.4119997</v>
      </c>
      <c r="AA341" s="115">
        <v>4463932849.5480003</v>
      </c>
      <c r="AB341" s="115">
        <v>4477347232.052</v>
      </c>
      <c r="AC341" s="115">
        <v>4488189489.3719997</v>
      </c>
      <c r="AD341" s="43"/>
      <c r="AE341" s="43"/>
      <c r="AF341" s="43"/>
      <c r="AG341" s="43"/>
      <c r="AH341" s="43"/>
      <c r="AI341" s="43"/>
    </row>
    <row r="342" spans="1:35" x14ac:dyDescent="0.25">
      <c r="A342" s="115" t="s">
        <v>867</v>
      </c>
      <c r="B342" s="115"/>
      <c r="C342" s="115">
        <v>5740834948.6289997</v>
      </c>
      <c r="D342" s="115">
        <v>5657067633.599</v>
      </c>
      <c r="E342" s="115">
        <v>5655787774.835</v>
      </c>
      <c r="F342" s="115">
        <v>5777966144.0539999</v>
      </c>
      <c r="G342" s="115">
        <v>5756723391.7040005</v>
      </c>
      <c r="H342" s="115">
        <v>5735670077.4879999</v>
      </c>
      <c r="I342" s="115">
        <v>5688196287.3549995</v>
      </c>
      <c r="J342" s="115">
        <v>5654612393.8879995</v>
      </c>
      <c r="K342" s="115">
        <v>5599945053.1870003</v>
      </c>
      <c r="L342" s="115">
        <v>5539446662.4960003</v>
      </c>
      <c r="M342" s="115">
        <v>5473737325.6420002</v>
      </c>
      <c r="N342" s="115">
        <v>5405597656.9300003</v>
      </c>
      <c r="O342" s="115">
        <v>5374286128.2309999</v>
      </c>
      <c r="P342" s="115">
        <v>5349681496.3120003</v>
      </c>
      <c r="Q342" s="115">
        <v>5318039135.1339998</v>
      </c>
      <c r="R342" s="115">
        <v>5301512585.9469995</v>
      </c>
      <c r="S342" s="115">
        <v>5868801855.4090004</v>
      </c>
      <c r="T342" s="115">
        <v>5205951036.0120001</v>
      </c>
      <c r="U342" s="115">
        <v>5175969364.5459995</v>
      </c>
      <c r="V342" s="115">
        <v>5157023263.059</v>
      </c>
      <c r="W342" s="115">
        <v>5174696109.7469997</v>
      </c>
      <c r="X342" s="115">
        <v>5197105713.9219999</v>
      </c>
      <c r="Y342" s="115">
        <v>5206234405.0139999</v>
      </c>
      <c r="Z342" s="115">
        <v>5225127924.6190004</v>
      </c>
      <c r="AA342" s="115">
        <v>5243988514.2159996</v>
      </c>
      <c r="AB342" s="115">
        <v>5262142117.6660004</v>
      </c>
      <c r="AC342" s="115">
        <v>5277872585.8959999</v>
      </c>
      <c r="AD342" s="43"/>
      <c r="AE342" s="43"/>
      <c r="AF342" s="43"/>
      <c r="AG342" s="43"/>
      <c r="AH342" s="43"/>
      <c r="AI342" s="43"/>
    </row>
    <row r="343" spans="1:35" x14ac:dyDescent="0.25">
      <c r="A343" s="115" t="s">
        <v>868</v>
      </c>
      <c r="B343" s="115"/>
      <c r="C343" s="115">
        <v>564409821.94599998</v>
      </c>
      <c r="D343" s="115">
        <v>551371308.06500006</v>
      </c>
      <c r="E343" s="115">
        <v>532987382.38300002</v>
      </c>
      <c r="F343" s="115">
        <v>528663092.95300001</v>
      </c>
      <c r="G343" s="115">
        <v>517556283.34200001</v>
      </c>
      <c r="H343" s="115">
        <v>509219603.72000003</v>
      </c>
      <c r="I343" s="115">
        <v>502240961.02499998</v>
      </c>
      <c r="J343" s="115">
        <v>494239767.46899998</v>
      </c>
      <c r="K343" s="115">
        <v>487871897.051</v>
      </c>
      <c r="L343" s="115">
        <v>482734035.18099999</v>
      </c>
      <c r="M343" s="115">
        <v>478425029.83700001</v>
      </c>
      <c r="N343" s="115">
        <v>474779191.52100003</v>
      </c>
      <c r="O343" s="115">
        <v>473383293.00999999</v>
      </c>
      <c r="P343" s="115">
        <v>468782615.523</v>
      </c>
      <c r="Q343" s="115">
        <v>463987967.86500001</v>
      </c>
      <c r="R343" s="115">
        <v>460288429.68300003</v>
      </c>
      <c r="S343" s="115">
        <v>510636522.99699998</v>
      </c>
      <c r="T343" s="115">
        <v>450591594.28500003</v>
      </c>
      <c r="U343" s="115">
        <v>446959741.87</v>
      </c>
      <c r="V343" s="115">
        <v>444101384.509</v>
      </c>
      <c r="W343" s="115">
        <v>445484596.77200001</v>
      </c>
      <c r="X343" s="115">
        <v>446932359.958</v>
      </c>
      <c r="Y343" s="115">
        <v>447763795.50300002</v>
      </c>
      <c r="Z343" s="115">
        <v>449183655.204</v>
      </c>
      <c r="AA343" s="115">
        <v>450837306.30500001</v>
      </c>
      <c r="AB343" s="115">
        <v>452684510.472</v>
      </c>
      <c r="AC343" s="115">
        <v>454603853.91000003</v>
      </c>
      <c r="AD343" s="43"/>
      <c r="AE343" s="43"/>
      <c r="AF343" s="43"/>
      <c r="AG343" s="43"/>
      <c r="AH343" s="43"/>
      <c r="AI343" s="43"/>
    </row>
    <row r="344" spans="1:35" x14ac:dyDescent="0.25">
      <c r="A344" s="115" t="s">
        <v>869</v>
      </c>
      <c r="B344" s="115"/>
      <c r="C344" s="115">
        <v>681758739.57200003</v>
      </c>
      <c r="D344" s="115">
        <v>671446035.15600002</v>
      </c>
      <c r="E344" s="115">
        <v>653108237.81099999</v>
      </c>
      <c r="F344" s="115">
        <v>650899519.09000003</v>
      </c>
      <c r="G344" s="115">
        <v>639688933.36500001</v>
      </c>
      <c r="H344" s="115">
        <v>631251664.51600003</v>
      </c>
      <c r="I344" s="115">
        <v>623971322.69500005</v>
      </c>
      <c r="J344" s="115">
        <v>615016019.24899995</v>
      </c>
      <c r="K344" s="115">
        <v>607873650.255</v>
      </c>
      <c r="L344" s="115">
        <v>602012114.47800004</v>
      </c>
      <c r="M344" s="115">
        <v>596984899.09399998</v>
      </c>
      <c r="N344" s="115">
        <v>592624696.15699995</v>
      </c>
      <c r="O344" s="115">
        <v>590909135.44400001</v>
      </c>
      <c r="P344" s="115">
        <v>585708295.949</v>
      </c>
      <c r="Q344" s="115">
        <v>580118036.33500004</v>
      </c>
      <c r="R344" s="115">
        <v>575786406.84000003</v>
      </c>
      <c r="S344" s="115">
        <v>638364176.04100001</v>
      </c>
      <c r="T344" s="115">
        <v>564020918.09500003</v>
      </c>
      <c r="U344" s="115">
        <v>559544188.58899999</v>
      </c>
      <c r="V344" s="115">
        <v>555987031.88900006</v>
      </c>
      <c r="W344" s="115">
        <v>558024519.30200005</v>
      </c>
      <c r="X344" s="115">
        <v>560059442.18499994</v>
      </c>
      <c r="Y344" s="115">
        <v>561290375.60000002</v>
      </c>
      <c r="Z344" s="115">
        <v>563237052.21700001</v>
      </c>
      <c r="AA344" s="115">
        <v>565459931.375</v>
      </c>
      <c r="AB344" s="115">
        <v>567912133.26699996</v>
      </c>
      <c r="AC344" s="115">
        <v>570449607.07299995</v>
      </c>
      <c r="AD344" s="43"/>
      <c r="AE344" s="43"/>
      <c r="AF344" s="43"/>
      <c r="AG344" s="43"/>
      <c r="AH344" s="43"/>
      <c r="AI344" s="43"/>
    </row>
    <row r="345" spans="1:35" x14ac:dyDescent="0.25">
      <c r="A345" s="115" t="s">
        <v>870</v>
      </c>
      <c r="B345" s="115"/>
      <c r="C345" s="115">
        <v>621528999.25899994</v>
      </c>
      <c r="D345" s="115">
        <v>610722124.829</v>
      </c>
      <c r="E345" s="115">
        <v>595175365.38300002</v>
      </c>
      <c r="F345" s="115">
        <v>594081001.21300006</v>
      </c>
      <c r="G345" s="115">
        <v>584751873.34200001</v>
      </c>
      <c r="H345" s="115">
        <v>577833138.91299999</v>
      </c>
      <c r="I345" s="115">
        <v>571861727.11199999</v>
      </c>
      <c r="J345" s="115">
        <v>564637826.26699996</v>
      </c>
      <c r="K345" s="115">
        <v>558797829.09300005</v>
      </c>
      <c r="L345" s="115">
        <v>553949716.78999996</v>
      </c>
      <c r="M345" s="115">
        <v>549708840.28900003</v>
      </c>
      <c r="N345" s="115">
        <v>545946622.71700001</v>
      </c>
      <c r="O345" s="115">
        <v>544387244.63100004</v>
      </c>
      <c r="P345" s="115">
        <v>539565184.12699997</v>
      </c>
      <c r="Q345" s="115">
        <v>534306106.33600003</v>
      </c>
      <c r="R345" s="115">
        <v>530167946.33200002</v>
      </c>
      <c r="S345" s="115">
        <v>587787368.39900005</v>
      </c>
      <c r="T345" s="115">
        <v>518893971.08399999</v>
      </c>
      <c r="U345" s="115">
        <v>514513119.16900003</v>
      </c>
      <c r="V345" s="115">
        <v>510973714.28100002</v>
      </c>
      <c r="W345" s="115">
        <v>512761074.99599999</v>
      </c>
      <c r="X345" s="115">
        <v>514519132.13499999</v>
      </c>
      <c r="Y345" s="115">
        <v>515516810.52399999</v>
      </c>
      <c r="Z345" s="115">
        <v>517179430.73900002</v>
      </c>
      <c r="AA345" s="115">
        <v>519094454.43599999</v>
      </c>
      <c r="AB345" s="115">
        <v>521219393.491</v>
      </c>
      <c r="AC345" s="115">
        <v>523425830.77600002</v>
      </c>
      <c r="AD345" s="43"/>
      <c r="AE345" s="43"/>
      <c r="AF345" s="43"/>
      <c r="AG345" s="43"/>
      <c r="AH345" s="43"/>
      <c r="AI345" s="43"/>
    </row>
    <row r="346" spans="1:35" x14ac:dyDescent="0.25">
      <c r="A346" s="115" t="s">
        <v>871</v>
      </c>
      <c r="B346" s="115"/>
      <c r="C346" s="115">
        <v>498217400.26599997</v>
      </c>
      <c r="D346" s="115">
        <v>490256885.11900002</v>
      </c>
      <c r="E346" s="115">
        <v>480298693.09600002</v>
      </c>
      <c r="F346" s="115">
        <v>482005487.16600001</v>
      </c>
      <c r="G346" s="115">
        <v>476192483.00300002</v>
      </c>
      <c r="H346" s="115">
        <v>472032718.71399999</v>
      </c>
      <c r="I346" s="115">
        <v>468382429.99599999</v>
      </c>
      <c r="J346" s="115">
        <v>463688880.53100002</v>
      </c>
      <c r="K346" s="115">
        <v>459934069.65600002</v>
      </c>
      <c r="L346" s="115">
        <v>456815746.98000002</v>
      </c>
      <c r="M346" s="115">
        <v>454056072.03899997</v>
      </c>
      <c r="N346" s="115">
        <v>451595492.84500003</v>
      </c>
      <c r="O346" s="115">
        <v>450612725.75599998</v>
      </c>
      <c r="P346" s="115">
        <v>447068940.009</v>
      </c>
      <c r="Q346" s="115">
        <v>443072274.27399999</v>
      </c>
      <c r="R346" s="115">
        <v>439954026.87599999</v>
      </c>
      <c r="S346" s="115">
        <v>493109764.96700001</v>
      </c>
      <c r="T346" s="115">
        <v>430965645.07099998</v>
      </c>
      <c r="U346" s="115">
        <v>427449177.56300002</v>
      </c>
      <c r="V346" s="115">
        <v>424634927.56</v>
      </c>
      <c r="W346" s="115">
        <v>426260922.49599999</v>
      </c>
      <c r="X346" s="115">
        <v>427881729.18199998</v>
      </c>
      <c r="Y346" s="115">
        <v>428752426.89499998</v>
      </c>
      <c r="Z346" s="115">
        <v>430206241.75800002</v>
      </c>
      <c r="AA346" s="115">
        <v>431842435.65700001</v>
      </c>
      <c r="AB346" s="115">
        <v>433619208.20099998</v>
      </c>
      <c r="AC346" s="115">
        <v>435430489.69300002</v>
      </c>
      <c r="AD346" s="43"/>
      <c r="AE346" s="43"/>
      <c r="AF346" s="43"/>
      <c r="AG346" s="43"/>
      <c r="AH346" s="43"/>
      <c r="AI346" s="43"/>
    </row>
    <row r="347" spans="1:35" x14ac:dyDescent="0.25">
      <c r="A347" s="115" t="s">
        <v>872</v>
      </c>
      <c r="B347" s="115"/>
      <c r="C347" s="115">
        <v>383192280.13499999</v>
      </c>
      <c r="D347" s="115">
        <v>377447914.75599998</v>
      </c>
      <c r="E347" s="115">
        <v>369818912.79400003</v>
      </c>
      <c r="F347" s="115">
        <v>371555306.921</v>
      </c>
      <c r="G347" s="115">
        <v>367164992.523</v>
      </c>
      <c r="H347" s="115">
        <v>364088712.51800001</v>
      </c>
      <c r="I347" s="115">
        <v>361423556.74400002</v>
      </c>
      <c r="J347" s="115">
        <v>358014465.39200002</v>
      </c>
      <c r="K347" s="115">
        <v>355328692.33200002</v>
      </c>
      <c r="L347" s="115">
        <v>353148215.389</v>
      </c>
      <c r="M347" s="115">
        <v>351252798.87199998</v>
      </c>
      <c r="N347" s="115">
        <v>349599674.79000002</v>
      </c>
      <c r="O347" s="115">
        <v>349078439.38599998</v>
      </c>
      <c r="P347" s="115">
        <v>346601557.94400001</v>
      </c>
      <c r="Q347" s="115">
        <v>343779247.83200002</v>
      </c>
      <c r="R347" s="115">
        <v>341659865.76599997</v>
      </c>
      <c r="S347" s="115">
        <v>385224259.12300003</v>
      </c>
      <c r="T347" s="115">
        <v>335159700.21100003</v>
      </c>
      <c r="U347" s="115">
        <v>332705752.66799998</v>
      </c>
      <c r="V347" s="115">
        <v>330806083.78799999</v>
      </c>
      <c r="W347" s="115">
        <v>332147580.296</v>
      </c>
      <c r="X347" s="115">
        <v>333540351.648</v>
      </c>
      <c r="Y347" s="115">
        <v>334278095.82300001</v>
      </c>
      <c r="Z347" s="115">
        <v>335498139.82700002</v>
      </c>
      <c r="AA347" s="115">
        <v>336834826.40499997</v>
      </c>
      <c r="AB347" s="115">
        <v>338250572.417</v>
      </c>
      <c r="AC347" s="115">
        <v>339665062.42199999</v>
      </c>
      <c r="AD347" s="43"/>
      <c r="AE347" s="43"/>
      <c r="AF347" s="43"/>
      <c r="AG347" s="43"/>
      <c r="AH347" s="43"/>
      <c r="AI347" s="43"/>
    </row>
    <row r="348" spans="1:35" x14ac:dyDescent="0.25">
      <c r="A348" s="115" t="s">
        <v>873</v>
      </c>
      <c r="B348" s="115"/>
      <c r="C348" s="115">
        <v>208587570.93700001</v>
      </c>
      <c r="D348" s="115">
        <v>204995419.70500001</v>
      </c>
      <c r="E348" s="115">
        <v>204532167.78400001</v>
      </c>
      <c r="F348" s="115">
        <v>208758378.82499999</v>
      </c>
      <c r="G348" s="115">
        <v>208135178.47799999</v>
      </c>
      <c r="H348" s="115">
        <v>208720074.854</v>
      </c>
      <c r="I348" s="115">
        <v>208723633.14199999</v>
      </c>
      <c r="J348" s="115">
        <v>209061442.331</v>
      </c>
      <c r="K348" s="115">
        <v>208440021.94400001</v>
      </c>
      <c r="L348" s="115">
        <v>206837731.82100001</v>
      </c>
      <c r="M348" s="115">
        <v>204725224.574</v>
      </c>
      <c r="N348" s="115">
        <v>203474690.68399999</v>
      </c>
      <c r="O348" s="115">
        <v>201875006.993</v>
      </c>
      <c r="P348" s="115">
        <v>200501254.285</v>
      </c>
      <c r="Q348" s="115">
        <v>198797238.153</v>
      </c>
      <c r="R348" s="115">
        <v>197424168.48800001</v>
      </c>
      <c r="S348" s="115">
        <v>235887757.317</v>
      </c>
      <c r="T348" s="115">
        <v>192276293.45500001</v>
      </c>
      <c r="U348" s="115">
        <v>190380762.80000001</v>
      </c>
      <c r="V348" s="115">
        <v>189897159.25299999</v>
      </c>
      <c r="W348" s="115">
        <v>190973747.96599999</v>
      </c>
      <c r="X348" s="115">
        <v>192127963.39300001</v>
      </c>
      <c r="Y348" s="115">
        <v>192535669.824</v>
      </c>
      <c r="Z348" s="115">
        <v>193268604.49000001</v>
      </c>
      <c r="AA348" s="115">
        <v>193947582.11899999</v>
      </c>
      <c r="AB348" s="115">
        <v>194530666.38100001</v>
      </c>
      <c r="AC348" s="115">
        <v>194934102.11500001</v>
      </c>
      <c r="AD348" s="43"/>
      <c r="AE348" s="43"/>
      <c r="AF348" s="43"/>
      <c r="AG348" s="43"/>
      <c r="AH348" s="43"/>
      <c r="AI348" s="43"/>
    </row>
    <row r="349" spans="1:35" x14ac:dyDescent="0.25">
      <c r="A349" s="115" t="s">
        <v>874</v>
      </c>
      <c r="B349" s="115"/>
      <c r="C349" s="115">
        <v>237412410.31999999</v>
      </c>
      <c r="D349" s="115">
        <v>234113629.877</v>
      </c>
      <c r="E349" s="115">
        <v>234169396.211</v>
      </c>
      <c r="F349" s="115">
        <v>239591318.97499999</v>
      </c>
      <c r="G349" s="115">
        <v>239354560.171</v>
      </c>
      <c r="H349" s="115">
        <v>240229257.11700001</v>
      </c>
      <c r="I349" s="115">
        <v>240454281.41</v>
      </c>
      <c r="J349" s="115">
        <v>241083963.37200001</v>
      </c>
      <c r="K349" s="115">
        <v>240720822.067</v>
      </c>
      <c r="L349" s="115">
        <v>239329352.817</v>
      </c>
      <c r="M349" s="115">
        <v>237259806.76100001</v>
      </c>
      <c r="N349" s="115">
        <v>235807319.03999999</v>
      </c>
      <c r="O349" s="115">
        <v>233963239.83700001</v>
      </c>
      <c r="P349" s="115">
        <v>232372119.14199999</v>
      </c>
      <c r="Q349" s="115">
        <v>230387133.771</v>
      </c>
      <c r="R349" s="115">
        <v>228774179.016</v>
      </c>
      <c r="S349" s="115">
        <v>272445205.62599999</v>
      </c>
      <c r="T349" s="115">
        <v>222820074.146</v>
      </c>
      <c r="U349" s="115">
        <v>220619939.45100001</v>
      </c>
      <c r="V349" s="115">
        <v>220033961.09900001</v>
      </c>
      <c r="W349" s="115">
        <v>221340447.58199999</v>
      </c>
      <c r="X349" s="115">
        <v>222712763.53099999</v>
      </c>
      <c r="Y349" s="115">
        <v>223246351.02399999</v>
      </c>
      <c r="Z349" s="115">
        <v>224144959.61300001</v>
      </c>
      <c r="AA349" s="115">
        <v>224990870.87400001</v>
      </c>
      <c r="AB349" s="115">
        <v>225738777.632</v>
      </c>
      <c r="AC349" s="115">
        <v>226300808.07699999</v>
      </c>
      <c r="AD349" s="43"/>
      <c r="AE349" s="43"/>
      <c r="AF349" s="43"/>
      <c r="AG349" s="43"/>
      <c r="AH349" s="43"/>
      <c r="AI349" s="43"/>
    </row>
    <row r="350" spans="1:35" x14ac:dyDescent="0.25">
      <c r="A350" s="115" t="s">
        <v>875</v>
      </c>
      <c r="B350" s="115"/>
      <c r="C350" s="115">
        <v>143680975.43599999</v>
      </c>
      <c r="D350" s="115">
        <v>141031327.12599999</v>
      </c>
      <c r="E350" s="115">
        <v>140441434.09900001</v>
      </c>
      <c r="F350" s="115">
        <v>143001534.07800001</v>
      </c>
      <c r="G350" s="115">
        <v>142361443.502</v>
      </c>
      <c r="H350" s="115">
        <v>142696247.01800001</v>
      </c>
      <c r="I350" s="115">
        <v>142627012.896</v>
      </c>
      <c r="J350" s="115">
        <v>142773031</v>
      </c>
      <c r="K350" s="115">
        <v>142210976.081</v>
      </c>
      <c r="L350" s="115">
        <v>140929930.80000001</v>
      </c>
      <c r="M350" s="115">
        <v>139388425.083</v>
      </c>
      <c r="N350" s="115">
        <v>138676544.35499999</v>
      </c>
      <c r="O350" s="115">
        <v>137744389.27399999</v>
      </c>
      <c r="P350" s="115">
        <v>136949485.14199999</v>
      </c>
      <c r="Q350" s="115">
        <v>135914047.16100001</v>
      </c>
      <c r="R350" s="115">
        <v>135086077.56799999</v>
      </c>
      <c r="S350" s="115">
        <v>161936326.301</v>
      </c>
      <c r="T350" s="115">
        <v>131796648.38699999</v>
      </c>
      <c r="U350" s="115">
        <v>130551324.492</v>
      </c>
      <c r="V350" s="115">
        <v>130213717.583</v>
      </c>
      <c r="W350" s="115">
        <v>130942343.859</v>
      </c>
      <c r="X350" s="115">
        <v>131722478.05500001</v>
      </c>
      <c r="Y350" s="115">
        <v>131983775.074</v>
      </c>
      <c r="Z350" s="115">
        <v>132466525.566</v>
      </c>
      <c r="AA350" s="115">
        <v>132909223.734</v>
      </c>
      <c r="AB350" s="115">
        <v>133282415.68700001</v>
      </c>
      <c r="AC350" s="115">
        <v>133523417.764</v>
      </c>
      <c r="AD350" s="43"/>
      <c r="AE350" s="43"/>
      <c r="AF350" s="43"/>
      <c r="AG350" s="43"/>
      <c r="AH350" s="43"/>
      <c r="AI350" s="43"/>
    </row>
    <row r="351" spans="1:35" x14ac:dyDescent="0.25">
      <c r="A351" s="115" t="s">
        <v>876</v>
      </c>
      <c r="B351" s="115"/>
      <c r="C351" s="115">
        <v>60608133.049000002</v>
      </c>
      <c r="D351" s="115">
        <v>59452920.630999997</v>
      </c>
      <c r="E351" s="115">
        <v>59261075.310000002</v>
      </c>
      <c r="F351" s="115">
        <v>60407006.869999997</v>
      </c>
      <c r="G351" s="115">
        <v>60190658.002999999</v>
      </c>
      <c r="H351" s="115">
        <v>60429555.888999999</v>
      </c>
      <c r="I351" s="115">
        <v>60502185.090000004</v>
      </c>
      <c r="J351" s="115">
        <v>60680239.917000003</v>
      </c>
      <c r="K351" s="115">
        <v>60599006.318000004</v>
      </c>
      <c r="L351" s="115">
        <v>60257271.138999999</v>
      </c>
      <c r="M351" s="115">
        <v>59761828.081</v>
      </c>
      <c r="N351" s="115">
        <v>59435870.659000002</v>
      </c>
      <c r="O351" s="115">
        <v>59009981.228</v>
      </c>
      <c r="P351" s="115">
        <v>58647083.947999999</v>
      </c>
      <c r="Q351" s="115">
        <v>58187229.281999998</v>
      </c>
      <c r="R351" s="115">
        <v>57822746.684</v>
      </c>
      <c r="S351" s="115">
        <v>69261871.055000007</v>
      </c>
      <c r="T351" s="115">
        <v>56402646.886</v>
      </c>
      <c r="U351" s="115">
        <v>55880716.616999999</v>
      </c>
      <c r="V351" s="115">
        <v>55769126.487000003</v>
      </c>
      <c r="W351" s="115">
        <v>56108308.979999997</v>
      </c>
      <c r="X351" s="115">
        <v>56471462.031999998</v>
      </c>
      <c r="Y351" s="115">
        <v>56614182.840000004</v>
      </c>
      <c r="Z351" s="115">
        <v>56852495.236000001</v>
      </c>
      <c r="AA351" s="115">
        <v>57074855.092</v>
      </c>
      <c r="AB351" s="115">
        <v>57269080.533</v>
      </c>
      <c r="AC351" s="115">
        <v>57412466.943000004</v>
      </c>
      <c r="AD351" s="43"/>
      <c r="AE351" s="43"/>
      <c r="AF351" s="43"/>
      <c r="AG351" s="43"/>
      <c r="AH351" s="43"/>
      <c r="AI351" s="43"/>
    </row>
    <row r="352" spans="1:35" x14ac:dyDescent="0.25">
      <c r="A352" s="115" t="s">
        <v>877</v>
      </c>
      <c r="B352" s="115"/>
      <c r="C352" s="115">
        <v>16248018.123</v>
      </c>
      <c r="D352" s="115">
        <v>15951377.341</v>
      </c>
      <c r="E352" s="115">
        <v>15942847.237</v>
      </c>
      <c r="F352" s="115">
        <v>16352042.151000001</v>
      </c>
      <c r="G352" s="115">
        <v>16355178.335999999</v>
      </c>
      <c r="H352" s="115">
        <v>16383700.109999999</v>
      </c>
      <c r="I352" s="115">
        <v>16367728.73</v>
      </c>
      <c r="J352" s="115">
        <v>16377683.159</v>
      </c>
      <c r="K352" s="115">
        <v>16318668.963</v>
      </c>
      <c r="L352" s="115">
        <v>16193385.551999999</v>
      </c>
      <c r="M352" s="115">
        <v>16037200.532</v>
      </c>
      <c r="N352" s="115">
        <v>15928745.517000001</v>
      </c>
      <c r="O352" s="115">
        <v>15790121.322000001</v>
      </c>
      <c r="P352" s="115">
        <v>15669537.83</v>
      </c>
      <c r="Q352" s="115">
        <v>15522878.335000001</v>
      </c>
      <c r="R352" s="115">
        <v>15402062.824999999</v>
      </c>
      <c r="S352" s="115">
        <v>18201238.009</v>
      </c>
      <c r="T352" s="115">
        <v>14966682.259</v>
      </c>
      <c r="U352" s="115">
        <v>14810885.475</v>
      </c>
      <c r="V352" s="115">
        <v>14768545.15</v>
      </c>
      <c r="W352" s="115">
        <v>14854123.146</v>
      </c>
      <c r="X352" s="115">
        <v>14943124.864</v>
      </c>
      <c r="Y352" s="115">
        <v>14977793.892999999</v>
      </c>
      <c r="Z352" s="115">
        <v>15036044.639</v>
      </c>
      <c r="AA352" s="115">
        <v>15090978.786</v>
      </c>
      <c r="AB352" s="115">
        <v>15139675.378</v>
      </c>
      <c r="AC352" s="115">
        <v>15175931.505999999</v>
      </c>
      <c r="AD352" s="43"/>
      <c r="AE352" s="43"/>
      <c r="AF352" s="43"/>
      <c r="AG352" s="43"/>
      <c r="AH352" s="43"/>
      <c r="AI352" s="43"/>
    </row>
    <row r="353" spans="1:35" x14ac:dyDescent="0.25">
      <c r="A353" s="115" t="s">
        <v>878</v>
      </c>
      <c r="B353" s="115"/>
      <c r="C353" s="115">
        <v>582701862.28799999</v>
      </c>
      <c r="D353" s="115">
        <v>580540763.05400002</v>
      </c>
      <c r="E353" s="115">
        <v>586190628.75</v>
      </c>
      <c r="F353" s="115">
        <v>610889824.04499996</v>
      </c>
      <c r="G353" s="115">
        <v>613513338.16499996</v>
      </c>
      <c r="H353" s="115">
        <v>612964216.56500006</v>
      </c>
      <c r="I353" s="115">
        <v>606665238.55700004</v>
      </c>
      <c r="J353" s="115">
        <v>606947992.90699995</v>
      </c>
      <c r="K353" s="115">
        <v>602398397.46800005</v>
      </c>
      <c r="L353" s="115">
        <v>597434172.79799998</v>
      </c>
      <c r="M353" s="115">
        <v>592587139.82500005</v>
      </c>
      <c r="N353" s="115">
        <v>588251413.75699997</v>
      </c>
      <c r="O353" s="115">
        <v>580996970.08200002</v>
      </c>
      <c r="P353" s="115">
        <v>575973954.62399995</v>
      </c>
      <c r="Q353" s="115">
        <v>570875735.03100002</v>
      </c>
      <c r="R353" s="115">
        <v>566826827.64999998</v>
      </c>
      <c r="S353" s="115">
        <v>707706125.80799997</v>
      </c>
      <c r="T353" s="115">
        <v>548263737.48500001</v>
      </c>
      <c r="U353" s="115">
        <v>537379799.76900005</v>
      </c>
      <c r="V353" s="115">
        <v>526493056.19300002</v>
      </c>
      <c r="W353" s="115">
        <v>518655228.023</v>
      </c>
      <c r="X353" s="115">
        <v>510386447.10600001</v>
      </c>
      <c r="Y353" s="115">
        <v>500377070.60699999</v>
      </c>
      <c r="Z353" s="115">
        <v>490426137.39999998</v>
      </c>
      <c r="AA353" s="115">
        <v>480251003.42400002</v>
      </c>
      <c r="AB353" s="115">
        <v>469854081.528</v>
      </c>
      <c r="AC353" s="115">
        <v>457553480.176</v>
      </c>
      <c r="AD353" s="43"/>
      <c r="AE353" s="43"/>
      <c r="AF353" s="43"/>
      <c r="AG353" s="43"/>
      <c r="AH353" s="43"/>
      <c r="AI353" s="43"/>
    </row>
    <row r="354" spans="1:35" x14ac:dyDescent="0.25">
      <c r="A354" s="115" t="s">
        <v>879</v>
      </c>
      <c r="B354" s="115"/>
      <c r="C354" s="115">
        <v>687566464.55200005</v>
      </c>
      <c r="D354" s="115">
        <v>681922423.02499998</v>
      </c>
      <c r="E354" s="115">
        <v>687851888.75999999</v>
      </c>
      <c r="F354" s="115">
        <v>717757638.96000004</v>
      </c>
      <c r="G354" s="115">
        <v>720480407.41900003</v>
      </c>
      <c r="H354" s="115">
        <v>719907913.14600003</v>
      </c>
      <c r="I354" s="115">
        <v>713809352.54100001</v>
      </c>
      <c r="J354" s="115">
        <v>714773519.49000001</v>
      </c>
      <c r="K354" s="115">
        <v>710306554.64400005</v>
      </c>
      <c r="L354" s="115">
        <v>704974688.01800001</v>
      </c>
      <c r="M354" s="115">
        <v>699341681.204</v>
      </c>
      <c r="N354" s="115">
        <v>693911172.09399998</v>
      </c>
      <c r="O354" s="115">
        <v>684579368.21000004</v>
      </c>
      <c r="P354" s="115">
        <v>677397230.52400005</v>
      </c>
      <c r="Q354" s="115">
        <v>669922365.95700002</v>
      </c>
      <c r="R354" s="115">
        <v>663945064.77999997</v>
      </c>
      <c r="S354" s="115">
        <v>826106547.10599995</v>
      </c>
      <c r="T354" s="115">
        <v>638315926.55299997</v>
      </c>
      <c r="U354" s="115">
        <v>625193220.52699995</v>
      </c>
      <c r="V354" s="115">
        <v>612740200.97500002</v>
      </c>
      <c r="W354" s="115">
        <v>604540798.35800004</v>
      </c>
      <c r="X354" s="115">
        <v>596454935.93099999</v>
      </c>
      <c r="Y354" s="115">
        <v>586311600.15600002</v>
      </c>
      <c r="Z354" s="115">
        <v>576957396.35599995</v>
      </c>
      <c r="AA354" s="115">
        <v>567651268.80900002</v>
      </c>
      <c r="AB354" s="115">
        <v>558407606.53999996</v>
      </c>
      <c r="AC354" s="115">
        <v>547874382.324</v>
      </c>
      <c r="AD354" s="43"/>
      <c r="AE354" s="43"/>
      <c r="AF354" s="43"/>
      <c r="AG354" s="43"/>
      <c r="AH354" s="43"/>
      <c r="AI354" s="43"/>
    </row>
    <row r="355" spans="1:35" x14ac:dyDescent="0.25">
      <c r="A355" s="115" t="s">
        <v>880</v>
      </c>
      <c r="B355" s="115"/>
      <c r="C355" s="115">
        <v>945661615.37199998</v>
      </c>
      <c r="D355" s="115">
        <v>933319437.98899996</v>
      </c>
      <c r="E355" s="115">
        <v>937384427.97800004</v>
      </c>
      <c r="F355" s="115">
        <v>973085917.98000002</v>
      </c>
      <c r="G355" s="115">
        <v>972563019.08899999</v>
      </c>
      <c r="H355" s="115">
        <v>968532639.89600003</v>
      </c>
      <c r="I355" s="115">
        <v>958129828.49000001</v>
      </c>
      <c r="J355" s="115">
        <v>955571562.99399996</v>
      </c>
      <c r="K355" s="115">
        <v>946426983.56400001</v>
      </c>
      <c r="L355" s="115">
        <v>935777184.94799995</v>
      </c>
      <c r="M355" s="115">
        <v>924202522.26499999</v>
      </c>
      <c r="N355" s="115">
        <v>912392989.65199995</v>
      </c>
      <c r="O355" s="115">
        <v>895995069.38999999</v>
      </c>
      <c r="P355" s="115">
        <v>881749236.421</v>
      </c>
      <c r="Q355" s="115">
        <v>866893140.38699996</v>
      </c>
      <c r="R355" s="115">
        <v>854626005.62</v>
      </c>
      <c r="S355" s="115">
        <v>1019633319.097</v>
      </c>
      <c r="T355" s="115">
        <v>804272234.82200003</v>
      </c>
      <c r="U355" s="115">
        <v>785936523.23399997</v>
      </c>
      <c r="V355" s="115">
        <v>769486228.48300004</v>
      </c>
      <c r="W355" s="115">
        <v>759855204.69299996</v>
      </c>
      <c r="X355" s="115">
        <v>750963962.90999997</v>
      </c>
      <c r="Y355" s="115">
        <v>740057399.34599996</v>
      </c>
      <c r="Z355" s="115">
        <v>730832364.51300001</v>
      </c>
      <c r="AA355" s="115">
        <v>722141423.80900002</v>
      </c>
      <c r="AB355" s="115">
        <v>713977825.15799999</v>
      </c>
      <c r="AC355" s="115">
        <v>705413351.11500001</v>
      </c>
      <c r="AD355" s="43"/>
      <c r="AE355" s="43"/>
      <c r="AF355" s="43"/>
      <c r="AG355" s="43"/>
      <c r="AH355" s="43"/>
      <c r="AI355" s="43"/>
    </row>
    <row r="356" spans="1:35" x14ac:dyDescent="0.25">
      <c r="A356" s="115" t="s">
        <v>881</v>
      </c>
      <c r="B356" s="115"/>
      <c r="C356" s="115">
        <v>1230911412.7720001</v>
      </c>
      <c r="D356" s="115">
        <v>1214536287.2579999</v>
      </c>
      <c r="E356" s="115">
        <v>1221009281.957</v>
      </c>
      <c r="F356" s="115">
        <v>1270421635.0150001</v>
      </c>
      <c r="G356" s="115">
        <v>1271356417.602</v>
      </c>
      <c r="H356" s="115">
        <v>1267550033.869</v>
      </c>
      <c r="I356" s="115">
        <v>1254834735.2130001</v>
      </c>
      <c r="J356" s="115">
        <v>1252633056.5239999</v>
      </c>
      <c r="K356" s="115">
        <v>1241673976.7449999</v>
      </c>
      <c r="L356" s="115">
        <v>1228680691.97</v>
      </c>
      <c r="M356" s="115">
        <v>1214439440.1300001</v>
      </c>
      <c r="N356" s="115">
        <v>1199897000.9030001</v>
      </c>
      <c r="O356" s="115">
        <v>1178753771.7620001</v>
      </c>
      <c r="P356" s="115">
        <v>1160414598.5739999</v>
      </c>
      <c r="Q356" s="115">
        <v>1141344038.576</v>
      </c>
      <c r="R356" s="115">
        <v>1125751734.112</v>
      </c>
      <c r="S356" s="115">
        <v>1354249610.4960001</v>
      </c>
      <c r="T356" s="115">
        <v>1060648451.239</v>
      </c>
      <c r="U356" s="115">
        <v>1037019755.152</v>
      </c>
      <c r="V356" s="115">
        <v>1015884870.675</v>
      </c>
      <c r="W356" s="115">
        <v>1003325200.114</v>
      </c>
      <c r="X356" s="115">
        <v>991848892.36199999</v>
      </c>
      <c r="Y356" s="115">
        <v>977498198.55599999</v>
      </c>
      <c r="Z356" s="115">
        <v>965404342.45500004</v>
      </c>
      <c r="AA356" s="115">
        <v>953944645.99000001</v>
      </c>
      <c r="AB356" s="115">
        <v>943095319.56099999</v>
      </c>
      <c r="AC356" s="115">
        <v>931589607.37</v>
      </c>
      <c r="AD356" s="43"/>
      <c r="AE356" s="43"/>
      <c r="AF356" s="43"/>
      <c r="AG356" s="43"/>
      <c r="AH356" s="43"/>
      <c r="AI356" s="43"/>
    </row>
    <row r="357" spans="1:35" x14ac:dyDescent="0.25">
      <c r="A357" s="115" t="s">
        <v>882</v>
      </c>
      <c r="B357" s="115"/>
      <c r="C357" s="115">
        <v>1867007164.372</v>
      </c>
      <c r="D357" s="115">
        <v>1832778811.539</v>
      </c>
      <c r="E357" s="115">
        <v>1836088343.967</v>
      </c>
      <c r="F357" s="115">
        <v>1904598296.4920001</v>
      </c>
      <c r="G357" s="115">
        <v>1898926824.645</v>
      </c>
      <c r="H357" s="115">
        <v>1887189141.4960001</v>
      </c>
      <c r="I357" s="115">
        <v>1862705791.595</v>
      </c>
      <c r="J357" s="115">
        <v>1851842783.2650001</v>
      </c>
      <c r="K357" s="115">
        <v>1827479858.73</v>
      </c>
      <c r="L357" s="115">
        <v>1799644232.687</v>
      </c>
      <c r="M357" s="115">
        <v>1769402672.6240001</v>
      </c>
      <c r="N357" s="115">
        <v>1738249497.585</v>
      </c>
      <c r="O357" s="115">
        <v>1697402196.3729999</v>
      </c>
      <c r="P357" s="115">
        <v>1660467182.8239999</v>
      </c>
      <c r="Q357" s="115">
        <v>1623133891.3629999</v>
      </c>
      <c r="R357" s="115">
        <v>1592213357.776</v>
      </c>
      <c r="S357" s="115">
        <v>1811818169.319</v>
      </c>
      <c r="T357" s="115">
        <v>1451290943.0139999</v>
      </c>
      <c r="U357" s="115">
        <v>1418991328.8559999</v>
      </c>
      <c r="V357" s="115">
        <v>1390693612.4749999</v>
      </c>
      <c r="W357" s="115">
        <v>1374298962.631</v>
      </c>
      <c r="X357" s="115">
        <v>1359671859.4189999</v>
      </c>
      <c r="Y357" s="115">
        <v>1342077635.516</v>
      </c>
      <c r="Z357" s="115">
        <v>1327696386.029</v>
      </c>
      <c r="AA357" s="115">
        <v>1314484319.3399999</v>
      </c>
      <c r="AB357" s="115">
        <v>1302304442.7019999</v>
      </c>
      <c r="AC357" s="115">
        <v>1289683808.0050001</v>
      </c>
      <c r="AD357" s="43"/>
      <c r="AE357" s="43"/>
      <c r="AF357" s="43"/>
      <c r="AG357" s="43"/>
      <c r="AH357" s="43"/>
      <c r="AI357" s="43"/>
    </row>
    <row r="358" spans="1:35" x14ac:dyDescent="0.25">
      <c r="A358" s="115" t="s">
        <v>883</v>
      </c>
      <c r="B358" s="115"/>
      <c r="C358" s="115">
        <v>1507915869.5829999</v>
      </c>
      <c r="D358" s="115">
        <v>1483513739.928</v>
      </c>
      <c r="E358" s="115">
        <v>1457548600.142</v>
      </c>
      <c r="F358" s="115">
        <v>1477361931.7249999</v>
      </c>
      <c r="G358" s="115">
        <v>1460806550.3110001</v>
      </c>
      <c r="H358" s="115">
        <v>1442958333.836</v>
      </c>
      <c r="I358" s="115">
        <v>1420600941.326</v>
      </c>
      <c r="J358" s="115">
        <v>1377793733.25</v>
      </c>
      <c r="K358" s="115">
        <v>1334543735.9059999</v>
      </c>
      <c r="L358" s="115">
        <v>1298194191.319</v>
      </c>
      <c r="M358" s="115">
        <v>1268284272.6289999</v>
      </c>
      <c r="N358" s="115">
        <v>1244297903.1240001</v>
      </c>
      <c r="O358" s="115">
        <v>1224957381.036</v>
      </c>
      <c r="P358" s="115">
        <v>1185049934.1730001</v>
      </c>
      <c r="Q358" s="115">
        <v>1149888345.1459999</v>
      </c>
      <c r="R358" s="115">
        <v>1121470748.868</v>
      </c>
      <c r="S358" s="115">
        <v>1292362852.579</v>
      </c>
      <c r="T358" s="115">
        <v>1067804133.732</v>
      </c>
      <c r="U358" s="115">
        <v>1047376902.3150001</v>
      </c>
      <c r="V358" s="115">
        <v>1030387324.336</v>
      </c>
      <c r="W358" s="115">
        <v>1025743132.3200001</v>
      </c>
      <c r="X358" s="115">
        <v>1021864569.247</v>
      </c>
      <c r="Y358" s="115">
        <v>1018053946.778</v>
      </c>
      <c r="Z358" s="115">
        <v>1016071303.49</v>
      </c>
      <c r="AA358" s="115">
        <v>1015785188.865</v>
      </c>
      <c r="AB358" s="115">
        <v>1017049107.811</v>
      </c>
      <c r="AC358" s="115">
        <v>1019825886.125</v>
      </c>
      <c r="AD358" s="43"/>
      <c r="AE358" s="43"/>
      <c r="AF358" s="43"/>
      <c r="AG358" s="43"/>
      <c r="AH358" s="43"/>
      <c r="AI358" s="43"/>
    </row>
    <row r="359" spans="1:35" x14ac:dyDescent="0.25">
      <c r="A359" s="115" t="s">
        <v>884</v>
      </c>
      <c r="B359" s="115"/>
      <c r="C359" s="115">
        <v>1170164419.5239999</v>
      </c>
      <c r="D359" s="115">
        <v>1156872444.8670001</v>
      </c>
      <c r="E359" s="115">
        <v>1143976826.3629999</v>
      </c>
      <c r="F359" s="115">
        <v>1166393341.8929999</v>
      </c>
      <c r="G359" s="115">
        <v>1158214035.8210001</v>
      </c>
      <c r="H359" s="115">
        <v>1147876505.9920001</v>
      </c>
      <c r="I359" s="115">
        <v>1132965313.572</v>
      </c>
      <c r="J359" s="115">
        <v>1104673800.954</v>
      </c>
      <c r="K359" s="115">
        <v>1074779642.5539999</v>
      </c>
      <c r="L359" s="115">
        <v>1049446619.7029999</v>
      </c>
      <c r="M359" s="115">
        <v>1028510944.599</v>
      </c>
      <c r="N359" s="115">
        <v>1011732312.395</v>
      </c>
      <c r="O359" s="115">
        <v>998077104.35300004</v>
      </c>
      <c r="P359" s="115">
        <v>967389790.41700006</v>
      </c>
      <c r="Q359" s="115">
        <v>940304798.847</v>
      </c>
      <c r="R359" s="115">
        <v>918509246.10300004</v>
      </c>
      <c r="S359" s="115">
        <v>1068089673.4299999</v>
      </c>
      <c r="T359" s="115">
        <v>877125406.36300004</v>
      </c>
      <c r="U359" s="115">
        <v>861355464.722</v>
      </c>
      <c r="V359" s="115">
        <v>848310798.23000002</v>
      </c>
      <c r="W359" s="115">
        <v>845389890.64600003</v>
      </c>
      <c r="X359" s="115">
        <v>843039995.21200001</v>
      </c>
      <c r="Y359" s="115">
        <v>840553040.875</v>
      </c>
      <c r="Z359" s="115">
        <v>839544240.574</v>
      </c>
      <c r="AA359" s="115">
        <v>839873457.45200002</v>
      </c>
      <c r="AB359" s="115">
        <v>841420525.05900002</v>
      </c>
      <c r="AC359" s="115">
        <v>844176666.83599997</v>
      </c>
      <c r="AD359" s="43"/>
      <c r="AE359" s="43"/>
      <c r="AF359" s="43"/>
      <c r="AG359" s="43"/>
      <c r="AH359" s="43"/>
      <c r="AI359" s="43"/>
    </row>
    <row r="360" spans="1:35" x14ac:dyDescent="0.25">
      <c r="A360" s="115" t="s">
        <v>885</v>
      </c>
      <c r="B360" s="115"/>
      <c r="C360" s="115">
        <v>1003477676.02</v>
      </c>
      <c r="D360" s="115">
        <v>993379973.76600003</v>
      </c>
      <c r="E360" s="115">
        <v>984251679.597</v>
      </c>
      <c r="F360" s="115">
        <v>1006722718.115</v>
      </c>
      <c r="G360" s="115">
        <v>1001186531.365</v>
      </c>
      <c r="H360" s="115">
        <v>993576323.22800004</v>
      </c>
      <c r="I360" s="115">
        <v>981755109.09300005</v>
      </c>
      <c r="J360" s="115">
        <v>957741570.91799998</v>
      </c>
      <c r="K360" s="115">
        <v>932347378.09200001</v>
      </c>
      <c r="L360" s="115">
        <v>910947971.85099995</v>
      </c>
      <c r="M360" s="115">
        <v>893402530.55499995</v>
      </c>
      <c r="N360" s="115">
        <v>879532279.95700002</v>
      </c>
      <c r="O360" s="115">
        <v>868400689.21000004</v>
      </c>
      <c r="P360" s="115">
        <v>843001895.45799994</v>
      </c>
      <c r="Q360" s="115">
        <v>820849011.67999995</v>
      </c>
      <c r="R360" s="115">
        <v>803355992.12899995</v>
      </c>
      <c r="S360" s="115">
        <v>946698253.05400002</v>
      </c>
      <c r="T360" s="115">
        <v>770248150.63300002</v>
      </c>
      <c r="U360" s="115">
        <v>757850935.92499995</v>
      </c>
      <c r="V360" s="115">
        <v>747841417.21599996</v>
      </c>
      <c r="W360" s="115">
        <v>746184974.33800006</v>
      </c>
      <c r="X360" s="115">
        <v>745146573.74000001</v>
      </c>
      <c r="Y360" s="115">
        <v>743769888.25</v>
      </c>
      <c r="Z360" s="115">
        <v>743723436.04700005</v>
      </c>
      <c r="AA360" s="115">
        <v>744780643.59599996</v>
      </c>
      <c r="AB360" s="115">
        <v>746824361.14300001</v>
      </c>
      <c r="AC360" s="115">
        <v>749858023.73800004</v>
      </c>
      <c r="AD360" s="43"/>
      <c r="AE360" s="43"/>
      <c r="AF360" s="43"/>
      <c r="AG360" s="43"/>
      <c r="AH360" s="43"/>
      <c r="AI360" s="43"/>
    </row>
    <row r="361" spans="1:35" x14ac:dyDescent="0.25">
      <c r="A361" s="115" t="s">
        <v>886</v>
      </c>
      <c r="B361" s="115"/>
      <c r="C361" s="115">
        <v>872218115.45500004</v>
      </c>
      <c r="D361" s="115">
        <v>860863270.50800002</v>
      </c>
      <c r="E361" s="115">
        <v>852062722.51600003</v>
      </c>
      <c r="F361" s="115">
        <v>872757831.33000004</v>
      </c>
      <c r="G361" s="115">
        <v>867725499.745</v>
      </c>
      <c r="H361" s="115">
        <v>861129314.46300006</v>
      </c>
      <c r="I361" s="115">
        <v>851009094.125</v>
      </c>
      <c r="J361" s="115">
        <v>828159114.48599994</v>
      </c>
      <c r="K361" s="115">
        <v>804437677.59800005</v>
      </c>
      <c r="L361" s="115">
        <v>784574015.38100004</v>
      </c>
      <c r="M361" s="115">
        <v>768391294.73099995</v>
      </c>
      <c r="N361" s="115">
        <v>755713693.61199999</v>
      </c>
      <c r="O361" s="115">
        <v>745429185.48199999</v>
      </c>
      <c r="P361" s="115">
        <v>723203731.85699999</v>
      </c>
      <c r="Q361" s="115">
        <v>703846195.19500005</v>
      </c>
      <c r="R361" s="115">
        <v>688601707.56500006</v>
      </c>
      <c r="S361" s="115">
        <v>819434423.96099997</v>
      </c>
      <c r="T361" s="115">
        <v>659205166.79100001</v>
      </c>
      <c r="U361" s="115">
        <v>648437343.24800003</v>
      </c>
      <c r="V361" s="115">
        <v>639818710.81900001</v>
      </c>
      <c r="W361" s="115">
        <v>637985754.78699994</v>
      </c>
      <c r="X361" s="115">
        <v>636858945.33500004</v>
      </c>
      <c r="Y361" s="115">
        <v>635336608.68099999</v>
      </c>
      <c r="Z361" s="115">
        <v>635059715.99699998</v>
      </c>
      <c r="AA361" s="115">
        <v>635731470.579</v>
      </c>
      <c r="AB361" s="115">
        <v>637240761.55599999</v>
      </c>
      <c r="AC361" s="115">
        <v>639587857.59200001</v>
      </c>
      <c r="AD361" s="43"/>
      <c r="AE361" s="43"/>
      <c r="AF361" s="43"/>
      <c r="AG361" s="43"/>
      <c r="AH361" s="43"/>
      <c r="AI361" s="43"/>
    </row>
    <row r="362" spans="1:35" x14ac:dyDescent="0.25">
      <c r="A362" s="115" t="s">
        <v>887</v>
      </c>
      <c r="B362" s="115"/>
      <c r="C362" s="115">
        <v>740902656.33500004</v>
      </c>
      <c r="D362" s="115">
        <v>729267104.14900005</v>
      </c>
      <c r="E362" s="115">
        <v>719535802.79200006</v>
      </c>
      <c r="F362" s="115">
        <v>736212277.06299996</v>
      </c>
      <c r="G362" s="115">
        <v>730531259.29499996</v>
      </c>
      <c r="H362" s="115">
        <v>723910412.84300005</v>
      </c>
      <c r="I362" s="115">
        <v>714624204.403</v>
      </c>
      <c r="J362" s="115">
        <v>690914980.61500001</v>
      </c>
      <c r="K362" s="115">
        <v>667270975.56099999</v>
      </c>
      <c r="L362" s="115">
        <v>647573399.82599998</v>
      </c>
      <c r="M362" s="115">
        <v>631539750.86600006</v>
      </c>
      <c r="N362" s="115">
        <v>618927209.57700002</v>
      </c>
      <c r="O362" s="115">
        <v>608722133.93799996</v>
      </c>
      <c r="P362" s="115">
        <v>588729879.65400004</v>
      </c>
      <c r="Q362" s="115">
        <v>571304160.34500003</v>
      </c>
      <c r="R362" s="115">
        <v>557463221.56400001</v>
      </c>
      <c r="S362" s="115">
        <v>663448505.53900003</v>
      </c>
      <c r="T362" s="115">
        <v>530430316.40899998</v>
      </c>
      <c r="U362" s="115">
        <v>520699903.78899997</v>
      </c>
      <c r="V362" s="115">
        <v>512881023.98799998</v>
      </c>
      <c r="W362" s="115">
        <v>510374230.86400002</v>
      </c>
      <c r="X362" s="115">
        <v>508617047.98400003</v>
      </c>
      <c r="Y362" s="115">
        <v>506582229.59600002</v>
      </c>
      <c r="Z362" s="115">
        <v>505669035.63999999</v>
      </c>
      <c r="AA362" s="115">
        <v>505570221.24699998</v>
      </c>
      <c r="AB362" s="115">
        <v>506186432.79799998</v>
      </c>
      <c r="AC362" s="115">
        <v>507503873.509</v>
      </c>
      <c r="AD362" s="43"/>
      <c r="AE362" s="43"/>
      <c r="AF362" s="43"/>
      <c r="AG362" s="43"/>
      <c r="AH362" s="43"/>
      <c r="AI362" s="43"/>
    </row>
    <row r="363" spans="1:35" x14ac:dyDescent="0.25">
      <c r="A363" s="115" t="s">
        <v>888</v>
      </c>
      <c r="B363" s="115"/>
      <c r="C363" s="115">
        <v>1239407457.1459999</v>
      </c>
      <c r="D363" s="115">
        <v>1221070892.6930001</v>
      </c>
      <c r="E363" s="115">
        <v>1228410747.2160001</v>
      </c>
      <c r="F363" s="115">
        <v>1282063722.2750001</v>
      </c>
      <c r="G363" s="115">
        <v>1278317316.352</v>
      </c>
      <c r="H363" s="115">
        <v>1268305599.598</v>
      </c>
      <c r="I363" s="115">
        <v>1248537971.635</v>
      </c>
      <c r="J363" s="115">
        <v>1239220245.6500001</v>
      </c>
      <c r="K363" s="115">
        <v>1217419669.711</v>
      </c>
      <c r="L363" s="115">
        <v>1192569875.582</v>
      </c>
      <c r="M363" s="115">
        <v>1167415894.6229999</v>
      </c>
      <c r="N363" s="115">
        <v>1144430544.368</v>
      </c>
      <c r="O363" s="115">
        <v>1122502126.658</v>
      </c>
      <c r="P363" s="115">
        <v>1109150565.7390001</v>
      </c>
      <c r="Q363" s="115">
        <v>1097788098.062</v>
      </c>
      <c r="R363" s="115">
        <v>1088726304.1849999</v>
      </c>
      <c r="S363" s="115">
        <v>1382025321.335</v>
      </c>
      <c r="T363" s="115">
        <v>1066044189.7079999</v>
      </c>
      <c r="U363" s="115">
        <v>1056433788.6569999</v>
      </c>
      <c r="V363" s="115">
        <v>1054816970.949</v>
      </c>
      <c r="W363" s="115">
        <v>1055373431.312</v>
      </c>
      <c r="X363" s="115">
        <v>1057279872.382</v>
      </c>
      <c r="Y363" s="115">
        <v>1056100138.62</v>
      </c>
      <c r="Z363" s="115">
        <v>1056617922.5089999</v>
      </c>
      <c r="AA363" s="115">
        <v>1057554771.415</v>
      </c>
      <c r="AB363" s="115">
        <v>1058740216.932</v>
      </c>
      <c r="AC363" s="115">
        <v>1060405934.105</v>
      </c>
      <c r="AD363" s="43"/>
      <c r="AE363" s="43"/>
      <c r="AF363" s="43"/>
      <c r="AG363" s="43"/>
      <c r="AH363" s="43"/>
      <c r="AI363" s="43"/>
    </row>
    <row r="364" spans="1:35" x14ac:dyDescent="0.25">
      <c r="A364" s="115" t="s">
        <v>889</v>
      </c>
      <c r="B364" s="115"/>
      <c r="C364" s="115">
        <v>841297053.45099998</v>
      </c>
      <c r="D364" s="115">
        <v>828409611.176</v>
      </c>
      <c r="E364" s="115">
        <v>831869693.13999999</v>
      </c>
      <c r="F364" s="115">
        <v>865766726.46099997</v>
      </c>
      <c r="G364" s="115">
        <v>862326426.44400001</v>
      </c>
      <c r="H364" s="115">
        <v>855098810.29999995</v>
      </c>
      <c r="I364" s="115">
        <v>841419357.824</v>
      </c>
      <c r="J364" s="115">
        <v>834779452.45599997</v>
      </c>
      <c r="K364" s="115">
        <v>820085270.09500003</v>
      </c>
      <c r="L364" s="115">
        <v>803834757.95099998</v>
      </c>
      <c r="M364" s="115">
        <v>788857287.778</v>
      </c>
      <c r="N364" s="115">
        <v>775588416.03400004</v>
      </c>
      <c r="O364" s="115">
        <v>763227787.153</v>
      </c>
      <c r="P364" s="115">
        <v>756278487.25</v>
      </c>
      <c r="Q364" s="115">
        <v>750284157.55200005</v>
      </c>
      <c r="R364" s="115">
        <v>745504805.84200001</v>
      </c>
      <c r="S364" s="115">
        <v>946904648.03299999</v>
      </c>
      <c r="T364" s="115">
        <v>732569216.54100001</v>
      </c>
      <c r="U364" s="115">
        <v>726722438.66600001</v>
      </c>
      <c r="V364" s="115">
        <v>725562595.68599999</v>
      </c>
      <c r="W364" s="115">
        <v>726103229.28400004</v>
      </c>
      <c r="X364" s="115">
        <v>727534037.72300005</v>
      </c>
      <c r="Y364" s="115">
        <v>726908727.33399999</v>
      </c>
      <c r="Z364" s="115">
        <v>727431045.89600003</v>
      </c>
      <c r="AA364" s="115">
        <v>728270646.15499997</v>
      </c>
      <c r="AB364" s="115">
        <v>729313439.70099998</v>
      </c>
      <c r="AC364" s="115">
        <v>730719988.93499994</v>
      </c>
      <c r="AD364" s="43"/>
      <c r="AE364" s="43"/>
      <c r="AF364" s="43"/>
      <c r="AG364" s="43"/>
      <c r="AH364" s="43"/>
      <c r="AI364" s="43"/>
    </row>
    <row r="365" spans="1:35" x14ac:dyDescent="0.25">
      <c r="A365" s="115" t="s">
        <v>890</v>
      </c>
      <c r="B365" s="115"/>
      <c r="C365" s="115">
        <v>507084601.19499999</v>
      </c>
      <c r="D365" s="115">
        <v>499541602.02100003</v>
      </c>
      <c r="E365" s="115">
        <v>501083101.44300002</v>
      </c>
      <c r="F365" s="115">
        <v>520785916.17900002</v>
      </c>
      <c r="G365" s="115">
        <v>518596856.69800001</v>
      </c>
      <c r="H365" s="115">
        <v>514472191.55800003</v>
      </c>
      <c r="I365" s="115">
        <v>506462586.10399997</v>
      </c>
      <c r="J365" s="115">
        <v>502778435.07700002</v>
      </c>
      <c r="K365" s="115">
        <v>494265876.602</v>
      </c>
      <c r="L365" s="115">
        <v>484618580.49900001</v>
      </c>
      <c r="M365" s="115">
        <v>474755542.87900001</v>
      </c>
      <c r="N365" s="115">
        <v>465677731.50400001</v>
      </c>
      <c r="O365" s="115">
        <v>457303547.90700001</v>
      </c>
      <c r="P365" s="115">
        <v>452345783.579</v>
      </c>
      <c r="Q365" s="115">
        <v>448077486.417</v>
      </c>
      <c r="R365" s="115">
        <v>444663222.58399999</v>
      </c>
      <c r="S365" s="115">
        <v>565030641.84399998</v>
      </c>
      <c r="T365" s="115">
        <v>436109852.15100002</v>
      </c>
      <c r="U365" s="115">
        <v>432361053.22899997</v>
      </c>
      <c r="V365" s="115">
        <v>431598798.17799997</v>
      </c>
      <c r="W365" s="115">
        <v>431972042.05599999</v>
      </c>
      <c r="X365" s="115">
        <v>432880013.57200003</v>
      </c>
      <c r="Y365" s="115">
        <v>432582132.84100002</v>
      </c>
      <c r="Z365" s="115">
        <v>432980574.36699998</v>
      </c>
      <c r="AA365" s="115">
        <v>433587664.977</v>
      </c>
      <c r="AB365" s="115">
        <v>434334117.39600003</v>
      </c>
      <c r="AC365" s="115">
        <v>435312501.81699997</v>
      </c>
      <c r="AD365" s="43"/>
      <c r="AE365" s="43"/>
      <c r="AF365" s="43"/>
      <c r="AG365" s="43"/>
      <c r="AH365" s="43"/>
      <c r="AI365" s="43"/>
    </row>
    <row r="366" spans="1:35" x14ac:dyDescent="0.25">
      <c r="A366" s="115" t="s">
        <v>891</v>
      </c>
      <c r="B366" s="115"/>
      <c r="C366" s="115">
        <v>246880906.60600001</v>
      </c>
      <c r="D366" s="115">
        <v>242827103.903</v>
      </c>
      <c r="E366" s="115">
        <v>243213952.412</v>
      </c>
      <c r="F366" s="115">
        <v>252253204.63499999</v>
      </c>
      <c r="G366" s="115">
        <v>251118124.68799999</v>
      </c>
      <c r="H366" s="115">
        <v>249301689.31600001</v>
      </c>
      <c r="I366" s="115">
        <v>245635105.11700001</v>
      </c>
      <c r="J366" s="115">
        <v>244055034.993</v>
      </c>
      <c r="K366" s="115">
        <v>240171510.94100001</v>
      </c>
      <c r="L366" s="115">
        <v>235754667.257</v>
      </c>
      <c r="M366" s="115">
        <v>231205947.63499999</v>
      </c>
      <c r="N366" s="115">
        <v>227032707.64199999</v>
      </c>
      <c r="O366" s="115">
        <v>223055123.75099999</v>
      </c>
      <c r="P366" s="115">
        <v>220707547.18700001</v>
      </c>
      <c r="Q366" s="115">
        <v>218693949.141</v>
      </c>
      <c r="R366" s="115">
        <v>217105318.81099999</v>
      </c>
      <c r="S366" s="115">
        <v>274959773.14300001</v>
      </c>
      <c r="T366" s="115">
        <v>213004329.435</v>
      </c>
      <c r="U366" s="115">
        <v>211217814.41299999</v>
      </c>
      <c r="V366" s="115">
        <v>210853664.64199999</v>
      </c>
      <c r="W366" s="115">
        <v>211059348.208</v>
      </c>
      <c r="X366" s="115">
        <v>211492586.53999999</v>
      </c>
      <c r="Y366" s="115">
        <v>211325923.94400001</v>
      </c>
      <c r="Z366" s="115">
        <v>211478053.21700001</v>
      </c>
      <c r="AA366" s="115">
        <v>211716759.972</v>
      </c>
      <c r="AB366" s="115">
        <v>212011036.16100001</v>
      </c>
      <c r="AC366" s="115">
        <v>212407473.11399999</v>
      </c>
      <c r="AD366" s="43"/>
      <c r="AE366" s="43"/>
      <c r="AF366" s="43"/>
      <c r="AG366" s="43"/>
      <c r="AH366" s="43"/>
      <c r="AI366" s="43"/>
    </row>
    <row r="367" spans="1:35" x14ac:dyDescent="0.25">
      <c r="A367" s="115" t="s">
        <v>892</v>
      </c>
      <c r="B367" s="115"/>
      <c r="C367" s="115">
        <v>98524802.088</v>
      </c>
      <c r="D367" s="115">
        <v>96342044.040000007</v>
      </c>
      <c r="E367" s="115">
        <v>95654855.130999997</v>
      </c>
      <c r="F367" s="115">
        <v>98031542.157000005</v>
      </c>
      <c r="G367" s="115">
        <v>96741598.591999993</v>
      </c>
      <c r="H367" s="115">
        <v>95352722.929000005</v>
      </c>
      <c r="I367" s="115">
        <v>93242536.202000007</v>
      </c>
      <c r="J367" s="115">
        <v>91775100.415999994</v>
      </c>
      <c r="K367" s="115">
        <v>89306303.902999997</v>
      </c>
      <c r="L367" s="115">
        <v>86596819.497999996</v>
      </c>
      <c r="M367" s="115">
        <v>84047511.269999996</v>
      </c>
      <c r="N367" s="115">
        <v>81762658.678000003</v>
      </c>
      <c r="O367" s="115">
        <v>79525683.172000006</v>
      </c>
      <c r="P367" s="115">
        <v>77977844.159999996</v>
      </c>
      <c r="Q367" s="115">
        <v>76637605.479000002</v>
      </c>
      <c r="R367" s="115">
        <v>75533041.604000002</v>
      </c>
      <c r="S367" s="115">
        <v>92719366.069000006</v>
      </c>
      <c r="T367" s="115">
        <v>73217221.437000006</v>
      </c>
      <c r="U367" s="115">
        <v>72286315.790000007</v>
      </c>
      <c r="V367" s="115">
        <v>72055565.011999995</v>
      </c>
      <c r="W367" s="115">
        <v>72111439.511000007</v>
      </c>
      <c r="X367" s="115">
        <v>72223751.456</v>
      </c>
      <c r="Y367" s="115">
        <v>72168972.957000002</v>
      </c>
      <c r="Z367" s="115">
        <v>72213267.658000007</v>
      </c>
      <c r="AA367" s="115">
        <v>72296653.622999996</v>
      </c>
      <c r="AB367" s="115">
        <v>72410262.066</v>
      </c>
      <c r="AC367" s="115">
        <v>72567260.019999996</v>
      </c>
      <c r="AD367" s="43"/>
      <c r="AE367" s="43"/>
      <c r="AF367" s="43"/>
      <c r="AG367" s="43"/>
      <c r="AH367" s="43"/>
      <c r="AI367" s="43"/>
    </row>
    <row r="368" spans="1:35" x14ac:dyDescent="0.25">
      <c r="A368" s="115" t="s">
        <v>893</v>
      </c>
      <c r="B368" s="115"/>
      <c r="C368" s="115">
        <v>3266034314.5500002</v>
      </c>
      <c r="D368" s="115">
        <v>3249483658.8769999</v>
      </c>
      <c r="E368" s="115">
        <v>3278015692.2059999</v>
      </c>
      <c r="F368" s="115">
        <v>3395032362.5599999</v>
      </c>
      <c r="G368" s="115">
        <v>3404325712.5029998</v>
      </c>
      <c r="H368" s="115">
        <v>3413194154.757</v>
      </c>
      <c r="I368" s="115">
        <v>3391675484.7470002</v>
      </c>
      <c r="J368" s="115">
        <v>3382137371.3870001</v>
      </c>
      <c r="K368" s="115">
        <v>3365702411.9790001</v>
      </c>
      <c r="L368" s="115">
        <v>3340907256.5180001</v>
      </c>
      <c r="M368" s="115">
        <v>3308081873.8119998</v>
      </c>
      <c r="N368" s="115">
        <v>3269674362.0970001</v>
      </c>
      <c r="O368" s="115">
        <v>3252999328.2449999</v>
      </c>
      <c r="P368" s="115">
        <v>3238279788.8509998</v>
      </c>
      <c r="Q368" s="115">
        <v>3215487792.4590001</v>
      </c>
      <c r="R368" s="115">
        <v>3195602224.7639999</v>
      </c>
      <c r="S368" s="115">
        <v>3954590776.1919999</v>
      </c>
      <c r="T368" s="115">
        <v>3107546210.77</v>
      </c>
      <c r="U368" s="115">
        <v>3062011093.6370001</v>
      </c>
      <c r="V368" s="115">
        <v>3021354662.9840002</v>
      </c>
      <c r="W368" s="115">
        <v>3009287910.112</v>
      </c>
      <c r="X368" s="115">
        <v>2997801763.2670002</v>
      </c>
      <c r="Y368" s="115">
        <v>2975986190.007</v>
      </c>
      <c r="Z368" s="115">
        <v>2958639850.6880002</v>
      </c>
      <c r="AA368" s="115">
        <v>2941421646.48</v>
      </c>
      <c r="AB368" s="115">
        <v>2923694823.2639999</v>
      </c>
      <c r="AC368" s="115">
        <v>2899527145.138</v>
      </c>
      <c r="AD368" s="43"/>
      <c r="AE368" s="43"/>
      <c r="AF368" s="43"/>
      <c r="AG368" s="43"/>
      <c r="AH368" s="43"/>
      <c r="AI368" s="43"/>
    </row>
    <row r="369" spans="1:35" x14ac:dyDescent="0.25">
      <c r="A369" s="115" t="s">
        <v>894</v>
      </c>
      <c r="B369" s="115"/>
      <c r="C369" s="115">
        <v>5006152090.9569998</v>
      </c>
      <c r="D369" s="115">
        <v>4952179964.1239996</v>
      </c>
      <c r="E369" s="115">
        <v>4970081366.1070004</v>
      </c>
      <c r="F369" s="115">
        <v>5116516865.0030003</v>
      </c>
      <c r="G369" s="115">
        <v>5101243164.8710003</v>
      </c>
      <c r="H369" s="115">
        <v>5084235734.2220001</v>
      </c>
      <c r="I369" s="115">
        <v>5025584254.059</v>
      </c>
      <c r="J369" s="115">
        <v>4982958885.6820002</v>
      </c>
      <c r="K369" s="115">
        <v>4929425665.29</v>
      </c>
      <c r="L369" s="115">
        <v>4863358611.1630001</v>
      </c>
      <c r="M369" s="115">
        <v>4785666785.4949999</v>
      </c>
      <c r="N369" s="115">
        <v>4699890904.224</v>
      </c>
      <c r="O369" s="115">
        <v>4661311067.1899996</v>
      </c>
      <c r="P369" s="115">
        <v>4626780770.2840004</v>
      </c>
      <c r="Q369" s="115">
        <v>4581034782.177</v>
      </c>
      <c r="R369" s="115">
        <v>4544073386.0369997</v>
      </c>
      <c r="S369" s="115">
        <v>5434041025.967</v>
      </c>
      <c r="T369" s="115">
        <v>4407326760.2939997</v>
      </c>
      <c r="U369" s="115">
        <v>4342187666.8909998</v>
      </c>
      <c r="V369" s="115">
        <v>4287214871.6620002</v>
      </c>
      <c r="W369" s="115">
        <v>4277319669.9260001</v>
      </c>
      <c r="X369" s="115">
        <v>4270174255.9660001</v>
      </c>
      <c r="Y369" s="115">
        <v>4248089326.809</v>
      </c>
      <c r="Z369" s="115">
        <v>4234967928.7649999</v>
      </c>
      <c r="AA369" s="115">
        <v>4221984514.1420002</v>
      </c>
      <c r="AB369" s="115">
        <v>4208222721.8940001</v>
      </c>
      <c r="AC369" s="115">
        <v>4187950094.1459999</v>
      </c>
      <c r="AD369" s="43"/>
      <c r="AE369" s="43"/>
      <c r="AF369" s="43"/>
      <c r="AG369" s="43"/>
      <c r="AH369" s="43"/>
      <c r="AI369" s="43"/>
    </row>
    <row r="370" spans="1:35" x14ac:dyDescent="0.25">
      <c r="A370" s="115" t="s">
        <v>895</v>
      </c>
      <c r="B370" s="115"/>
      <c r="C370" s="115">
        <v>5925564053.1420002</v>
      </c>
      <c r="D370" s="115">
        <v>5833730889.6359997</v>
      </c>
      <c r="E370" s="115">
        <v>5827161822.743</v>
      </c>
      <c r="F370" s="115">
        <v>5973607601.8260002</v>
      </c>
      <c r="G370" s="115">
        <v>5932551880.5690002</v>
      </c>
      <c r="H370" s="115">
        <v>5888951252.1339998</v>
      </c>
      <c r="I370" s="115">
        <v>5803951921.9189997</v>
      </c>
      <c r="J370" s="115">
        <v>5736225892.8789997</v>
      </c>
      <c r="K370" s="115">
        <v>5651884724.2139997</v>
      </c>
      <c r="L370" s="115">
        <v>5554282829.684</v>
      </c>
      <c r="M370" s="115">
        <v>5445023385.0159998</v>
      </c>
      <c r="N370" s="115">
        <v>5328432511.1700001</v>
      </c>
      <c r="O370" s="115">
        <v>5270066292.0930004</v>
      </c>
      <c r="P370" s="115">
        <v>5217746988.0889997</v>
      </c>
      <c r="Q370" s="115">
        <v>5153492842.4309998</v>
      </c>
      <c r="R370" s="115">
        <v>5103325076.276</v>
      </c>
      <c r="S370" s="115">
        <v>5811845783.8859997</v>
      </c>
      <c r="T370" s="115">
        <v>4888623492.3389997</v>
      </c>
      <c r="U370" s="115">
        <v>4827907258.632</v>
      </c>
      <c r="V370" s="115">
        <v>4779934210.8710003</v>
      </c>
      <c r="W370" s="115">
        <v>4783620171.8520002</v>
      </c>
      <c r="X370" s="115">
        <v>4790905121.7089996</v>
      </c>
      <c r="Y370" s="115">
        <v>4783667789.8330002</v>
      </c>
      <c r="Z370" s="115">
        <v>4787131742.7320004</v>
      </c>
      <c r="AA370" s="115">
        <v>4791327274.1450005</v>
      </c>
      <c r="AB370" s="115">
        <v>4795375991.4899998</v>
      </c>
      <c r="AC370" s="115">
        <v>4796585265.2600002</v>
      </c>
      <c r="AD370" s="43"/>
      <c r="AE370" s="43"/>
      <c r="AF370" s="43"/>
      <c r="AG370" s="43"/>
      <c r="AH370" s="43"/>
      <c r="AI370" s="43"/>
    </row>
    <row r="371" spans="1:35" x14ac:dyDescent="0.25">
      <c r="A371" s="115" t="s">
        <v>896</v>
      </c>
      <c r="B371" s="115"/>
      <c r="C371" s="115">
        <v>6601057254.6619997</v>
      </c>
      <c r="D371" s="115">
        <v>6496244912.4130001</v>
      </c>
      <c r="E371" s="115">
        <v>6490875930.1210003</v>
      </c>
      <c r="F371" s="115">
        <v>6660621736.5839996</v>
      </c>
      <c r="G371" s="115">
        <v>6620772764.7559996</v>
      </c>
      <c r="H371" s="115">
        <v>6578907716.8199997</v>
      </c>
      <c r="I371" s="115">
        <v>6491967491.6949997</v>
      </c>
      <c r="J371" s="115">
        <v>6425505837.6040001</v>
      </c>
      <c r="K371" s="115">
        <v>6338798637.5089998</v>
      </c>
      <c r="L371" s="115">
        <v>6238825251.5769997</v>
      </c>
      <c r="M371" s="115">
        <v>6127131420.2670002</v>
      </c>
      <c r="N371" s="115">
        <v>6008371825.3839998</v>
      </c>
      <c r="O371" s="115">
        <v>5944819456.5340004</v>
      </c>
      <c r="P371" s="115">
        <v>5887413209.5190001</v>
      </c>
      <c r="Q371" s="115">
        <v>5816146053.1269999</v>
      </c>
      <c r="R371" s="115">
        <v>5761010853.1269999</v>
      </c>
      <c r="S371" s="115">
        <v>6639688557.9890003</v>
      </c>
      <c r="T371" s="115">
        <v>5524465928.1689997</v>
      </c>
      <c r="U371" s="115">
        <v>5457394222.1669998</v>
      </c>
      <c r="V371" s="115">
        <v>5404721275.1709995</v>
      </c>
      <c r="W371" s="115">
        <v>5409398087.8909998</v>
      </c>
      <c r="X371" s="115">
        <v>5418798854.6599998</v>
      </c>
      <c r="Y371" s="115">
        <v>5409842177.0970001</v>
      </c>
      <c r="Z371" s="115">
        <v>5413545085.342</v>
      </c>
      <c r="AA371" s="115">
        <v>5417540049.2229996</v>
      </c>
      <c r="AB371" s="115">
        <v>5420699098.0830002</v>
      </c>
      <c r="AC371" s="115">
        <v>5420101739.0719995</v>
      </c>
      <c r="AD371" s="43"/>
      <c r="AE371" s="43"/>
      <c r="AF371" s="43"/>
      <c r="AG371" s="43"/>
      <c r="AH371" s="43"/>
      <c r="AI371" s="43"/>
    </row>
    <row r="372" spans="1:35" x14ac:dyDescent="0.25">
      <c r="A372" s="115" t="s">
        <v>897</v>
      </c>
      <c r="B372" s="115"/>
      <c r="C372" s="115">
        <v>6677724440.9069996</v>
      </c>
      <c r="D372" s="115">
        <v>6518618953.0799999</v>
      </c>
      <c r="E372" s="115">
        <v>6489473959.8830004</v>
      </c>
      <c r="F372" s="115">
        <v>6656171642.0480003</v>
      </c>
      <c r="G372" s="115">
        <v>6596819517.1350002</v>
      </c>
      <c r="H372" s="115">
        <v>6538465755.8039999</v>
      </c>
      <c r="I372" s="115">
        <v>6442609941.0719995</v>
      </c>
      <c r="J372" s="115">
        <v>6369652741.6999998</v>
      </c>
      <c r="K372" s="115">
        <v>6262726126.6400003</v>
      </c>
      <c r="L372" s="115">
        <v>6147734998.566</v>
      </c>
      <c r="M372" s="115">
        <v>6025529404.882</v>
      </c>
      <c r="N372" s="115">
        <v>5900443594.6520004</v>
      </c>
      <c r="O372" s="115">
        <v>5830526874.8269997</v>
      </c>
      <c r="P372" s="115">
        <v>5770098616.1850004</v>
      </c>
      <c r="Q372" s="115">
        <v>5700225601.1339998</v>
      </c>
      <c r="R372" s="115">
        <v>5652762584.0059996</v>
      </c>
      <c r="S372" s="115">
        <v>6613021916.4569998</v>
      </c>
      <c r="T372" s="115">
        <v>5474340652.7880001</v>
      </c>
      <c r="U372" s="115">
        <v>5412601756.0299997</v>
      </c>
      <c r="V372" s="115">
        <v>5366834130.1020002</v>
      </c>
      <c r="W372" s="115">
        <v>5373342178.4969997</v>
      </c>
      <c r="X372" s="115">
        <v>5386789896.1940002</v>
      </c>
      <c r="Y372" s="115">
        <v>5379698906.4230003</v>
      </c>
      <c r="Z372" s="115">
        <v>5386728525.0830002</v>
      </c>
      <c r="AA372" s="115">
        <v>5393362763.9639997</v>
      </c>
      <c r="AB372" s="115">
        <v>5398566394.184</v>
      </c>
      <c r="AC372" s="115">
        <v>5400744591.908</v>
      </c>
      <c r="AD372" s="43"/>
      <c r="AE372" s="43"/>
      <c r="AF372" s="43"/>
      <c r="AG372" s="43"/>
      <c r="AH372" s="43"/>
      <c r="AI372" s="43"/>
    </row>
    <row r="373" spans="1:35" x14ac:dyDescent="0.25">
      <c r="A373" s="115" t="s">
        <v>898</v>
      </c>
      <c r="B373" s="115"/>
      <c r="C373" s="115">
        <v>1016079549.544</v>
      </c>
      <c r="D373" s="115">
        <v>981102566.34000003</v>
      </c>
      <c r="E373" s="115">
        <v>933723332.44400001</v>
      </c>
      <c r="F373" s="115">
        <v>919477774.79799998</v>
      </c>
      <c r="G373" s="115">
        <v>889551921.97599995</v>
      </c>
      <c r="H373" s="115">
        <v>866358644.04900002</v>
      </c>
      <c r="I373" s="115">
        <v>847087236.60800004</v>
      </c>
      <c r="J373" s="115">
        <v>825836877.87199998</v>
      </c>
      <c r="K373" s="115">
        <v>808483234.34899998</v>
      </c>
      <c r="L373" s="115">
        <v>794173567.50300002</v>
      </c>
      <c r="M373" s="115">
        <v>781980007.94299996</v>
      </c>
      <c r="N373" s="115">
        <v>771517196.59300005</v>
      </c>
      <c r="O373" s="115">
        <v>765966330.03400004</v>
      </c>
      <c r="P373" s="115">
        <v>753295199.20000005</v>
      </c>
      <c r="Q373" s="115">
        <v>740342318.27600002</v>
      </c>
      <c r="R373" s="115">
        <v>729809958.82700002</v>
      </c>
      <c r="S373" s="115">
        <v>855514976.69099998</v>
      </c>
      <c r="T373" s="115">
        <v>704838486.73500001</v>
      </c>
      <c r="U373" s="115">
        <v>695092387.81299996</v>
      </c>
      <c r="V373" s="115">
        <v>687044623.77600002</v>
      </c>
      <c r="W373" s="115">
        <v>687611458.17299998</v>
      </c>
      <c r="X373" s="115">
        <v>688402039.96099997</v>
      </c>
      <c r="Y373" s="115">
        <v>687722870.21800005</v>
      </c>
      <c r="Z373" s="115">
        <v>688312331.89199996</v>
      </c>
      <c r="AA373" s="115">
        <v>689356256.47800004</v>
      </c>
      <c r="AB373" s="115">
        <v>690760175.69500005</v>
      </c>
      <c r="AC373" s="115">
        <v>692357396.86000001</v>
      </c>
      <c r="AD373" s="43"/>
      <c r="AE373" s="43"/>
      <c r="AF373" s="43"/>
      <c r="AG373" s="43"/>
      <c r="AH373" s="43"/>
      <c r="AI373" s="43"/>
    </row>
    <row r="374" spans="1:35" x14ac:dyDescent="0.25">
      <c r="A374" s="115" t="s">
        <v>899</v>
      </c>
      <c r="B374" s="115"/>
      <c r="C374" s="115">
        <v>1061014841.8890001</v>
      </c>
      <c r="D374" s="115">
        <v>1035900056.994</v>
      </c>
      <c r="E374" s="115">
        <v>994089015.69599998</v>
      </c>
      <c r="F374" s="115">
        <v>985318034.38999999</v>
      </c>
      <c r="G374" s="115">
        <v>958333578.38699996</v>
      </c>
      <c r="H374" s="115">
        <v>937218141.04200006</v>
      </c>
      <c r="I374" s="115">
        <v>919232828.54100001</v>
      </c>
      <c r="J374" s="115">
        <v>898122150.36199999</v>
      </c>
      <c r="K374" s="115">
        <v>880804002.34399998</v>
      </c>
      <c r="L374" s="115">
        <v>866270739.227</v>
      </c>
      <c r="M374" s="115">
        <v>853624499.80499995</v>
      </c>
      <c r="N374" s="115">
        <v>842526510.35899997</v>
      </c>
      <c r="O374" s="115">
        <v>836475019.28299999</v>
      </c>
      <c r="P374" s="115">
        <v>823564166.29700005</v>
      </c>
      <c r="Q374" s="115">
        <v>810061249.35500002</v>
      </c>
      <c r="R374" s="115">
        <v>798993410.96599996</v>
      </c>
      <c r="S374" s="115">
        <v>935122435.98699999</v>
      </c>
      <c r="T374" s="115">
        <v>772134027.16299999</v>
      </c>
      <c r="U374" s="115">
        <v>761498485.88699996</v>
      </c>
      <c r="V374" s="115">
        <v>752625429.32000005</v>
      </c>
      <c r="W374" s="115">
        <v>753765806.53600001</v>
      </c>
      <c r="X374" s="115">
        <v>754984366.17400002</v>
      </c>
      <c r="Y374" s="115">
        <v>754540932.66100001</v>
      </c>
      <c r="Z374" s="115">
        <v>755443589.99300003</v>
      </c>
      <c r="AA374" s="115">
        <v>756816409.96800005</v>
      </c>
      <c r="AB374" s="115">
        <v>758562965.86099994</v>
      </c>
      <c r="AC374" s="115">
        <v>760514663.90400004</v>
      </c>
      <c r="AD374" s="43"/>
      <c r="AE374" s="43"/>
      <c r="AF374" s="43"/>
      <c r="AG374" s="43"/>
      <c r="AH374" s="43"/>
      <c r="AI374" s="43"/>
    </row>
    <row r="375" spans="1:35" x14ac:dyDescent="0.25">
      <c r="A375" s="115" t="s">
        <v>900</v>
      </c>
      <c r="B375" s="115"/>
      <c r="C375" s="115">
        <v>885835093.148</v>
      </c>
      <c r="D375" s="115">
        <v>861722243.528</v>
      </c>
      <c r="E375" s="115">
        <v>828559910.05400002</v>
      </c>
      <c r="F375" s="115">
        <v>822554366.67700005</v>
      </c>
      <c r="G375" s="115">
        <v>801420237.42900002</v>
      </c>
      <c r="H375" s="115">
        <v>785027817.01499999</v>
      </c>
      <c r="I375" s="115">
        <v>771105058.11300004</v>
      </c>
      <c r="J375" s="115">
        <v>755090979.59800005</v>
      </c>
      <c r="K375" s="115">
        <v>741775035.92499995</v>
      </c>
      <c r="L375" s="115">
        <v>730498122.11099994</v>
      </c>
      <c r="M375" s="115">
        <v>720539539.57099998</v>
      </c>
      <c r="N375" s="115">
        <v>711649978.71000004</v>
      </c>
      <c r="O375" s="115">
        <v>706616002.13600004</v>
      </c>
      <c r="P375" s="115">
        <v>695698153.77100003</v>
      </c>
      <c r="Q375" s="115">
        <v>684138598.09500003</v>
      </c>
      <c r="R375" s="115">
        <v>674559873.52600002</v>
      </c>
      <c r="S375" s="115">
        <v>789053972.71899998</v>
      </c>
      <c r="T375" s="115">
        <v>651163314.75800002</v>
      </c>
      <c r="U375" s="115">
        <v>641750935.90799999</v>
      </c>
      <c r="V375" s="115">
        <v>633810002.41600001</v>
      </c>
      <c r="W375" s="115">
        <v>634625362.22899997</v>
      </c>
      <c r="X375" s="115">
        <v>635454188.90900004</v>
      </c>
      <c r="Y375" s="115">
        <v>634852934.33000004</v>
      </c>
      <c r="Z375" s="115">
        <v>635392826.54299998</v>
      </c>
      <c r="AA375" s="115">
        <v>636327057.36000001</v>
      </c>
      <c r="AB375" s="115">
        <v>637576121.08700001</v>
      </c>
      <c r="AC375" s="115">
        <v>639004691.347</v>
      </c>
      <c r="AD375" s="43"/>
      <c r="AE375" s="43"/>
      <c r="AF375" s="43"/>
      <c r="AG375" s="43"/>
      <c r="AH375" s="43"/>
      <c r="AI375" s="43"/>
    </row>
    <row r="376" spans="1:35" x14ac:dyDescent="0.25">
      <c r="A376" s="115" t="s">
        <v>901</v>
      </c>
      <c r="B376" s="115"/>
      <c r="C376" s="115">
        <v>645968080.33299994</v>
      </c>
      <c r="D376" s="115">
        <v>629514135.87399995</v>
      </c>
      <c r="E376" s="115">
        <v>609545566.97800004</v>
      </c>
      <c r="F376" s="115">
        <v>609566354.90900004</v>
      </c>
      <c r="G376" s="115">
        <v>596889296.79100001</v>
      </c>
      <c r="H376" s="115">
        <v>587188560.15900004</v>
      </c>
      <c r="I376" s="115">
        <v>578865393.01800001</v>
      </c>
      <c r="J376" s="115">
        <v>568877788.88800001</v>
      </c>
      <c r="K376" s="115">
        <v>560582936.38300002</v>
      </c>
      <c r="L376" s="115">
        <v>553513591.25100005</v>
      </c>
      <c r="M376" s="115">
        <v>547193960.97000003</v>
      </c>
      <c r="N376" s="115">
        <v>541514654.48399997</v>
      </c>
      <c r="O376" s="115">
        <v>538217285.55299997</v>
      </c>
      <c r="P376" s="115">
        <v>530641732.69700003</v>
      </c>
      <c r="Q376" s="115">
        <v>522425212.02700001</v>
      </c>
      <c r="R376" s="115">
        <v>515623596.17299998</v>
      </c>
      <c r="S376" s="115">
        <v>612286853.66799998</v>
      </c>
      <c r="T376" s="115">
        <v>498353012.338</v>
      </c>
      <c r="U376" s="115">
        <v>491352448.21200001</v>
      </c>
      <c r="V376" s="115">
        <v>485475087.24299997</v>
      </c>
      <c r="W376" s="115">
        <v>486336023.449</v>
      </c>
      <c r="X376" s="115">
        <v>487229579.40700001</v>
      </c>
      <c r="Y376" s="115">
        <v>486846819.96799999</v>
      </c>
      <c r="Z376" s="115">
        <v>487380040.116</v>
      </c>
      <c r="AA376" s="115">
        <v>488175143.30199999</v>
      </c>
      <c r="AB376" s="115">
        <v>489161666.37699997</v>
      </c>
      <c r="AC376" s="115">
        <v>490236547.17299998</v>
      </c>
      <c r="AD376" s="43"/>
      <c r="AE376" s="43"/>
      <c r="AF376" s="43"/>
      <c r="AG376" s="43"/>
      <c r="AH376" s="43"/>
      <c r="AI376" s="43"/>
    </row>
    <row r="377" spans="1:35" x14ac:dyDescent="0.25">
      <c r="A377" s="115" t="s">
        <v>902</v>
      </c>
      <c r="B377" s="115"/>
      <c r="C377" s="115">
        <v>424360823.91000003</v>
      </c>
      <c r="D377" s="115">
        <v>413961825.13999999</v>
      </c>
      <c r="E377" s="115">
        <v>400763531.57800001</v>
      </c>
      <c r="F377" s="115">
        <v>401293892.33999997</v>
      </c>
      <c r="G377" s="115">
        <v>392956661.88</v>
      </c>
      <c r="H377" s="115">
        <v>386640939.33099997</v>
      </c>
      <c r="I377" s="115">
        <v>381266399.80699998</v>
      </c>
      <c r="J377" s="115">
        <v>374885180.42500001</v>
      </c>
      <c r="K377" s="115">
        <v>369621689.35100001</v>
      </c>
      <c r="L377" s="115">
        <v>365193868.65499997</v>
      </c>
      <c r="M377" s="115">
        <v>361277771.079</v>
      </c>
      <c r="N377" s="115">
        <v>357803876.79900002</v>
      </c>
      <c r="O377" s="115">
        <v>355899055.37800002</v>
      </c>
      <c r="P377" s="115">
        <v>351199077.84899998</v>
      </c>
      <c r="Q377" s="115">
        <v>346086700.38499999</v>
      </c>
      <c r="R377" s="115">
        <v>341943094.24699998</v>
      </c>
      <c r="S377" s="115">
        <v>409283097.99800003</v>
      </c>
      <c r="T377" s="115">
        <v>331049998.495</v>
      </c>
      <c r="U377" s="115">
        <v>326755659.30699998</v>
      </c>
      <c r="V377" s="115">
        <v>323217289.44400001</v>
      </c>
      <c r="W377" s="115">
        <v>323892355.18800002</v>
      </c>
      <c r="X377" s="115">
        <v>324658311.77600002</v>
      </c>
      <c r="Y377" s="115">
        <v>324484343.14399999</v>
      </c>
      <c r="Z377" s="115">
        <v>324955357.352</v>
      </c>
      <c r="AA377" s="115">
        <v>325569074.63</v>
      </c>
      <c r="AB377" s="115">
        <v>326272252.22100002</v>
      </c>
      <c r="AC377" s="115">
        <v>326999285.65899998</v>
      </c>
      <c r="AD377" s="43"/>
      <c r="AE377" s="43"/>
      <c r="AF377" s="43"/>
      <c r="AG377" s="43"/>
      <c r="AH377" s="43"/>
      <c r="AI377" s="43"/>
    </row>
    <row r="378" spans="1:35" x14ac:dyDescent="0.25">
      <c r="A378" s="115" t="s">
        <v>903</v>
      </c>
      <c r="B378" s="115"/>
      <c r="C378" s="115">
        <v>342100279.57099998</v>
      </c>
      <c r="D378" s="115">
        <v>333120335.542</v>
      </c>
      <c r="E378" s="115">
        <v>330661330.111</v>
      </c>
      <c r="F378" s="115">
        <v>338002624.56800002</v>
      </c>
      <c r="G378" s="115">
        <v>335303318.00400001</v>
      </c>
      <c r="H378" s="115">
        <v>335364817.14399999</v>
      </c>
      <c r="I378" s="115">
        <v>334375669.63999999</v>
      </c>
      <c r="J378" s="115">
        <v>334097133.07999998</v>
      </c>
      <c r="K378" s="115">
        <v>331737814.99699998</v>
      </c>
      <c r="L378" s="115">
        <v>327258309.33700001</v>
      </c>
      <c r="M378" s="115">
        <v>321774439.26700002</v>
      </c>
      <c r="N378" s="115">
        <v>318330393.60500002</v>
      </c>
      <c r="O378" s="115">
        <v>314092046.85600001</v>
      </c>
      <c r="P378" s="115">
        <v>310306977.87300003</v>
      </c>
      <c r="Q378" s="115">
        <v>305877938.09899998</v>
      </c>
      <c r="R378" s="115">
        <v>302109147.98000002</v>
      </c>
      <c r="S378" s="115">
        <v>390549991.78100002</v>
      </c>
      <c r="T378" s="115">
        <v>290029044.24299997</v>
      </c>
      <c r="U378" s="115">
        <v>285441423.80599999</v>
      </c>
      <c r="V378" s="115">
        <v>283877910.82200003</v>
      </c>
      <c r="W378" s="115">
        <v>285372205.91100001</v>
      </c>
      <c r="X378" s="115">
        <v>287026544.09500003</v>
      </c>
      <c r="Y378" s="115">
        <v>287120713.08899999</v>
      </c>
      <c r="Z378" s="115">
        <v>287856978.07999998</v>
      </c>
      <c r="AA378" s="115">
        <v>288475645.91299999</v>
      </c>
      <c r="AB378" s="115">
        <v>288889833.77399999</v>
      </c>
      <c r="AC378" s="115">
        <v>288967131.06599998</v>
      </c>
      <c r="AD378" s="43"/>
      <c r="AE378" s="43"/>
      <c r="AF378" s="43"/>
      <c r="AG378" s="43"/>
      <c r="AH378" s="43"/>
      <c r="AI378" s="43"/>
    </row>
    <row r="379" spans="1:35" x14ac:dyDescent="0.25">
      <c r="A379" s="115" t="s">
        <v>904</v>
      </c>
      <c r="B379" s="115"/>
      <c r="C379" s="115">
        <v>340305960.199</v>
      </c>
      <c r="D379" s="115">
        <v>332888239.86799997</v>
      </c>
      <c r="E379" s="115">
        <v>331569414.40200001</v>
      </c>
      <c r="F379" s="115">
        <v>340110922.49299997</v>
      </c>
      <c r="G379" s="115">
        <v>338330068.875</v>
      </c>
      <c r="H379" s="115">
        <v>338791196.699</v>
      </c>
      <c r="I379" s="115">
        <v>338230247.24000001</v>
      </c>
      <c r="J379" s="115">
        <v>338431564.46499997</v>
      </c>
      <c r="K379" s="115">
        <v>336746692.46100003</v>
      </c>
      <c r="L379" s="115">
        <v>333114391.59799999</v>
      </c>
      <c r="M379" s="115">
        <v>328278898.19599998</v>
      </c>
      <c r="N379" s="115">
        <v>324763516.52600002</v>
      </c>
      <c r="O379" s="115">
        <v>320458560.54799998</v>
      </c>
      <c r="P379" s="115">
        <v>316598175.63099998</v>
      </c>
      <c r="Q379" s="115">
        <v>312058664.29799998</v>
      </c>
      <c r="R379" s="115">
        <v>308171327.94999999</v>
      </c>
      <c r="S379" s="115">
        <v>396686089.06400001</v>
      </c>
      <c r="T379" s="115">
        <v>295851591.61400002</v>
      </c>
      <c r="U379" s="115">
        <v>291157688.273</v>
      </c>
      <c r="V379" s="115">
        <v>289514458.08999997</v>
      </c>
      <c r="W379" s="115">
        <v>291131351.41299999</v>
      </c>
      <c r="X379" s="115">
        <v>292870304.95700002</v>
      </c>
      <c r="Y379" s="115">
        <v>293061544.83499998</v>
      </c>
      <c r="Z379" s="115">
        <v>293887421.22799999</v>
      </c>
      <c r="AA379" s="115">
        <v>294609422.98400003</v>
      </c>
      <c r="AB379" s="115">
        <v>295144666.36299998</v>
      </c>
      <c r="AC379" s="115">
        <v>295374034.01599997</v>
      </c>
      <c r="AD379" s="43"/>
      <c r="AE379" s="43"/>
      <c r="AF379" s="43"/>
      <c r="AG379" s="43"/>
      <c r="AH379" s="43"/>
      <c r="AI379" s="43"/>
    </row>
    <row r="380" spans="1:35" x14ac:dyDescent="0.25">
      <c r="A380" s="115" t="s">
        <v>905</v>
      </c>
      <c r="B380" s="115"/>
      <c r="C380" s="115">
        <v>191284562.771</v>
      </c>
      <c r="D380" s="115">
        <v>185989556.96900001</v>
      </c>
      <c r="E380" s="115">
        <v>184115130.10100001</v>
      </c>
      <c r="F380" s="115">
        <v>187530918.28799999</v>
      </c>
      <c r="G380" s="115">
        <v>185624003.49599999</v>
      </c>
      <c r="H380" s="115">
        <v>185520282.162</v>
      </c>
      <c r="I380" s="115">
        <v>184824540.359</v>
      </c>
      <c r="J380" s="115">
        <v>184493966.947</v>
      </c>
      <c r="K380" s="115">
        <v>182917836.34299999</v>
      </c>
      <c r="L380" s="115">
        <v>180083347.90900001</v>
      </c>
      <c r="M380" s="115">
        <v>176863962.514</v>
      </c>
      <c r="N380" s="115">
        <v>175216114.10299999</v>
      </c>
      <c r="O380" s="115">
        <v>173162038.09599999</v>
      </c>
      <c r="P380" s="115">
        <v>171327275.90099999</v>
      </c>
      <c r="Q380" s="115">
        <v>169110096.71599999</v>
      </c>
      <c r="R380" s="115">
        <v>167224326.10499999</v>
      </c>
      <c r="S380" s="115">
        <v>217079917.96599999</v>
      </c>
      <c r="T380" s="115">
        <v>160964478.78099999</v>
      </c>
      <c r="U380" s="115">
        <v>158526088.796</v>
      </c>
      <c r="V380" s="115">
        <v>157657078.94499999</v>
      </c>
      <c r="W380" s="115">
        <v>158477861.57699999</v>
      </c>
      <c r="X380" s="115">
        <v>159384718.18099999</v>
      </c>
      <c r="Y380" s="115">
        <v>159416068.49700001</v>
      </c>
      <c r="Z380" s="115">
        <v>159800747.51199999</v>
      </c>
      <c r="AA380" s="115">
        <v>160115793.82499999</v>
      </c>
      <c r="AB380" s="115">
        <v>160311858.60299999</v>
      </c>
      <c r="AC380" s="115">
        <v>160307149.08700001</v>
      </c>
      <c r="AD380" s="43"/>
      <c r="AE380" s="43"/>
      <c r="AF380" s="43"/>
      <c r="AG380" s="43"/>
      <c r="AH380" s="43"/>
      <c r="AI380" s="43"/>
    </row>
    <row r="381" spans="1:35" x14ac:dyDescent="0.25">
      <c r="A381" s="115" t="s">
        <v>906</v>
      </c>
      <c r="B381" s="115"/>
      <c r="C381" s="115">
        <v>73929352.788000003</v>
      </c>
      <c r="D381" s="115">
        <v>71768989.033999994</v>
      </c>
      <c r="E381" s="115">
        <v>71129013.155000001</v>
      </c>
      <c r="F381" s="115">
        <v>72570774.800999999</v>
      </c>
      <c r="G381" s="115">
        <v>71916784.439999998</v>
      </c>
      <c r="H381" s="115">
        <v>72037434.577000007</v>
      </c>
      <c r="I381" s="115">
        <v>71935934.244000003</v>
      </c>
      <c r="J381" s="115">
        <v>72001888.892000005</v>
      </c>
      <c r="K381" s="115">
        <v>71650000.540999994</v>
      </c>
      <c r="L381" s="115">
        <v>70879990.081</v>
      </c>
      <c r="M381" s="115">
        <v>69883671.601999998</v>
      </c>
      <c r="N381" s="115">
        <v>69194010.497999996</v>
      </c>
      <c r="O381" s="115">
        <v>68333783.380999997</v>
      </c>
      <c r="P381" s="115">
        <v>67566911.530000001</v>
      </c>
      <c r="Q381" s="115">
        <v>66658862.903999999</v>
      </c>
      <c r="R381" s="115">
        <v>65892387.704000004</v>
      </c>
      <c r="S381" s="115">
        <v>85482317.75</v>
      </c>
      <c r="T381" s="115">
        <v>63385821.978</v>
      </c>
      <c r="U381" s="115">
        <v>62432816.814999998</v>
      </c>
      <c r="V381" s="115">
        <v>62134841.162</v>
      </c>
      <c r="W381" s="115">
        <v>62494469.479999997</v>
      </c>
      <c r="X381" s="115">
        <v>62891008.478</v>
      </c>
      <c r="Y381" s="115">
        <v>62943928.234999999</v>
      </c>
      <c r="Z381" s="115">
        <v>63137504.375</v>
      </c>
      <c r="AA381" s="115">
        <v>63305070.950999998</v>
      </c>
      <c r="AB381" s="115">
        <v>63427817.854000002</v>
      </c>
      <c r="AC381" s="115">
        <v>63479328.373000003</v>
      </c>
      <c r="AD381" s="43"/>
      <c r="AE381" s="43"/>
      <c r="AF381" s="43"/>
      <c r="AG381" s="43"/>
      <c r="AH381" s="43"/>
      <c r="AI381" s="43"/>
    </row>
    <row r="382" spans="1:35" x14ac:dyDescent="0.25">
      <c r="A382" s="115" t="s">
        <v>907</v>
      </c>
      <c r="B382" s="115"/>
      <c r="C382" s="115">
        <v>17017661.613000002</v>
      </c>
      <c r="D382" s="115">
        <v>16527188.504000001</v>
      </c>
      <c r="E382" s="115">
        <v>16441802.796</v>
      </c>
      <c r="F382" s="115">
        <v>16931369.771000002</v>
      </c>
      <c r="G382" s="115">
        <v>16873893.434</v>
      </c>
      <c r="H382" s="115">
        <v>16854728.783</v>
      </c>
      <c r="I382" s="115">
        <v>16784016.498</v>
      </c>
      <c r="J382" s="115">
        <v>16749229.733999999</v>
      </c>
      <c r="K382" s="115">
        <v>16618788.409</v>
      </c>
      <c r="L382" s="115">
        <v>16397440.937999999</v>
      </c>
      <c r="M382" s="115">
        <v>16139492.603</v>
      </c>
      <c r="N382" s="115">
        <v>15953658.839</v>
      </c>
      <c r="O382" s="115">
        <v>15724533.955</v>
      </c>
      <c r="P382" s="115">
        <v>15518022.655999999</v>
      </c>
      <c r="Q382" s="115">
        <v>15278597.554</v>
      </c>
      <c r="R382" s="115">
        <v>15072129.359999999</v>
      </c>
      <c r="S382" s="115">
        <v>19211075.113000002</v>
      </c>
      <c r="T382" s="115">
        <v>14421847.971000001</v>
      </c>
      <c r="U382" s="115">
        <v>14181698.77</v>
      </c>
      <c r="V382" s="115">
        <v>14097996.231000001</v>
      </c>
      <c r="W382" s="115">
        <v>14174038.713</v>
      </c>
      <c r="X382" s="115">
        <v>14255014.265000001</v>
      </c>
      <c r="Y382" s="115">
        <v>14262784.952</v>
      </c>
      <c r="Z382" s="115">
        <v>14300560.308</v>
      </c>
      <c r="AA382" s="115">
        <v>14333474.698999999</v>
      </c>
      <c r="AB382" s="115">
        <v>14357611.589</v>
      </c>
      <c r="AC382" s="115">
        <v>14366903.282</v>
      </c>
      <c r="AD382" s="43"/>
      <c r="AE382" s="43"/>
      <c r="AF382" s="43"/>
      <c r="AG382" s="43"/>
      <c r="AH382" s="43"/>
      <c r="AI382" s="43"/>
    </row>
    <row r="383" spans="1:35" x14ac:dyDescent="0.25">
      <c r="A383" s="115" t="s">
        <v>628</v>
      </c>
      <c r="B383" s="115">
        <v>25.626999999999999</v>
      </c>
      <c r="C383" s="115">
        <v>24.966000000000001</v>
      </c>
      <c r="D383" s="115">
        <v>25.227</v>
      </c>
      <c r="E383" s="115">
        <v>25.350999999999999</v>
      </c>
      <c r="F383" s="115">
        <v>25.251000000000001</v>
      </c>
      <c r="G383" s="115">
        <v>25.355</v>
      </c>
      <c r="H383" s="115">
        <v>25.475999999999999</v>
      </c>
      <c r="I383" s="115">
        <v>25.529</v>
      </c>
      <c r="J383" s="115">
        <v>25.471</v>
      </c>
      <c r="K383" s="115">
        <v>25.413</v>
      </c>
      <c r="L383" s="115">
        <v>25.361999999999998</v>
      </c>
      <c r="M383" s="115">
        <v>25.312000000000001</v>
      </c>
      <c r="N383" s="115">
        <v>25.26</v>
      </c>
      <c r="O383" s="115">
        <v>25.265000000000001</v>
      </c>
      <c r="P383" s="115">
        <v>25.202000000000002</v>
      </c>
      <c r="Q383" s="115">
        <v>25.154</v>
      </c>
      <c r="R383" s="115">
        <v>25.145</v>
      </c>
      <c r="S383" s="115">
        <v>24.2</v>
      </c>
      <c r="T383" s="115">
        <v>24.838999999999999</v>
      </c>
      <c r="U383" s="115">
        <v>24.779</v>
      </c>
      <c r="V383" s="115">
        <v>24.751999999999999</v>
      </c>
      <c r="W383" s="115">
        <v>24.873000000000001</v>
      </c>
      <c r="X383" s="115">
        <v>24.997</v>
      </c>
      <c r="Y383" s="115">
        <v>25.111000000000001</v>
      </c>
      <c r="Z383" s="115">
        <v>25.248999999999999</v>
      </c>
      <c r="AA383" s="115">
        <v>25.39</v>
      </c>
      <c r="AB383" s="115">
        <v>25.53</v>
      </c>
      <c r="AC383" s="115">
        <v>25.655999999999999</v>
      </c>
      <c r="AD383" s="43"/>
      <c r="AE383" s="43"/>
      <c r="AF383" s="43"/>
      <c r="AG383" s="43"/>
      <c r="AH383" s="43"/>
      <c r="AI383" s="43"/>
    </row>
    <row r="384" spans="1:35" x14ac:dyDescent="0.25">
      <c r="A384" s="115" t="s">
        <v>579</v>
      </c>
      <c r="B384" s="115">
        <v>4.8120000000000003</v>
      </c>
      <c r="C384" s="115">
        <v>4.8259999999999996</v>
      </c>
      <c r="D384" s="115">
        <v>4.8360000000000003</v>
      </c>
      <c r="E384" s="115">
        <v>4.7069999999999999</v>
      </c>
      <c r="F384" s="115">
        <v>4.6929999999999996</v>
      </c>
      <c r="G384" s="115">
        <v>4.5439999999999996</v>
      </c>
      <c r="H384" s="115">
        <v>4.4219999999999997</v>
      </c>
      <c r="I384" s="115">
        <v>4.2549999999999999</v>
      </c>
      <c r="J384" s="115">
        <v>4.101</v>
      </c>
      <c r="K384" s="115">
        <v>3.9790000000000001</v>
      </c>
      <c r="L384" s="115">
        <v>3.8690000000000002</v>
      </c>
      <c r="M384" s="115">
        <v>3.7429999999999999</v>
      </c>
      <c r="N384" s="115">
        <v>3.5779999999999998</v>
      </c>
      <c r="O384" s="115">
        <v>3.44</v>
      </c>
      <c r="P384" s="115">
        <v>3.282</v>
      </c>
      <c r="Q384" s="115">
        <v>3.177</v>
      </c>
      <c r="R384" s="115">
        <v>3.036</v>
      </c>
      <c r="S384" s="115">
        <v>3.6179999999999999</v>
      </c>
      <c r="T384" s="115">
        <v>2.8090000000000002</v>
      </c>
      <c r="U384" s="115">
        <v>2.6749999999999998</v>
      </c>
      <c r="V384" s="115">
        <v>2.5489999999999999</v>
      </c>
      <c r="W384" s="115">
        <v>2.5129999999999999</v>
      </c>
      <c r="X384" s="115">
        <v>2.4449999999999998</v>
      </c>
      <c r="Y384" s="115">
        <v>2.375</v>
      </c>
      <c r="Z384" s="115">
        <v>2.31</v>
      </c>
      <c r="AA384" s="115">
        <v>2.2919999999999998</v>
      </c>
      <c r="AB384" s="115">
        <v>2.2749999999999999</v>
      </c>
      <c r="AC384" s="115">
        <v>2.2050000000000001</v>
      </c>
      <c r="AD384" s="43"/>
      <c r="AE384" s="43"/>
      <c r="AF384" s="43"/>
      <c r="AG384" s="43"/>
      <c r="AH384" s="43"/>
      <c r="AI384" s="43"/>
    </row>
    <row r="385" spans="1:35" x14ac:dyDescent="0.25">
      <c r="A385" s="115" t="s">
        <v>630</v>
      </c>
      <c r="B385" s="115">
        <v>2.59</v>
      </c>
      <c r="C385" s="115">
        <v>3.524</v>
      </c>
      <c r="D385" s="115">
        <v>4.0209999999999999</v>
      </c>
      <c r="E385" s="115">
        <v>3.923</v>
      </c>
      <c r="F385" s="115">
        <v>3.7959999999999998</v>
      </c>
      <c r="G385" s="115">
        <v>3.6930000000000001</v>
      </c>
      <c r="H385" s="115">
        <v>3.5779999999999998</v>
      </c>
      <c r="I385" s="115">
        <v>3.4420000000000002</v>
      </c>
      <c r="J385" s="115">
        <v>3.32</v>
      </c>
      <c r="K385" s="115">
        <v>3.1880000000000002</v>
      </c>
      <c r="L385" s="115">
        <v>3.069</v>
      </c>
      <c r="M385" s="115">
        <v>2.9630000000000001</v>
      </c>
      <c r="N385" s="115">
        <v>2.8690000000000002</v>
      </c>
      <c r="O385" s="115">
        <v>2.78</v>
      </c>
      <c r="P385" s="115">
        <v>2.7450000000000001</v>
      </c>
      <c r="Q385" s="115">
        <v>2.6720000000000002</v>
      </c>
      <c r="R385" s="115">
        <v>2.609</v>
      </c>
      <c r="S385" s="115">
        <v>2.4470000000000001</v>
      </c>
      <c r="T385" s="115">
        <v>2.468</v>
      </c>
      <c r="U385" s="115">
        <v>2.411</v>
      </c>
      <c r="V385" s="115">
        <v>2.359</v>
      </c>
      <c r="W385" s="115">
        <v>2.3279999999999998</v>
      </c>
      <c r="X385" s="115">
        <v>2.2949999999999999</v>
      </c>
      <c r="Y385" s="115">
        <v>2.2650000000000001</v>
      </c>
      <c r="Z385" s="115">
        <v>2.2370000000000001</v>
      </c>
      <c r="AA385" s="115">
        <v>2.2109999999999999</v>
      </c>
      <c r="AB385" s="115">
        <v>2.1859999999999999</v>
      </c>
      <c r="AC385" s="115">
        <v>2.1619999999999999</v>
      </c>
      <c r="AD385" s="43"/>
      <c r="AE385" s="43"/>
      <c r="AF385" s="43"/>
      <c r="AG385" s="43"/>
      <c r="AH385" s="43"/>
      <c r="AI385" s="43"/>
    </row>
    <row r="386" spans="1:35" x14ac:dyDescent="0.25">
      <c r="A386" s="115" t="s">
        <v>631</v>
      </c>
      <c r="B386" s="115">
        <v>3.5870000000000002</v>
      </c>
      <c r="C386" s="115">
        <v>3.468</v>
      </c>
      <c r="D386" s="115">
        <v>3.4969999999999999</v>
      </c>
      <c r="E386" s="115">
        <v>3.4889999999999999</v>
      </c>
      <c r="F386" s="115">
        <v>3.452</v>
      </c>
      <c r="G386" s="115">
        <v>3.4329999999999998</v>
      </c>
      <c r="H386" s="115">
        <v>3.4009999999999998</v>
      </c>
      <c r="I386" s="115">
        <v>3.3450000000000002</v>
      </c>
      <c r="J386" s="115">
        <v>3.2959999999999998</v>
      </c>
      <c r="K386" s="115">
        <v>3.2320000000000002</v>
      </c>
      <c r="L386" s="115">
        <v>3.1739999999999999</v>
      </c>
      <c r="M386" s="115">
        <v>3.1240000000000001</v>
      </c>
      <c r="N386" s="115">
        <v>3.0790000000000002</v>
      </c>
      <c r="O386" s="115">
        <v>3.0590000000000002</v>
      </c>
      <c r="P386" s="115">
        <v>3.0390000000000001</v>
      </c>
      <c r="Q386" s="115">
        <v>3.0249999999999999</v>
      </c>
      <c r="R386" s="115">
        <v>3.02</v>
      </c>
      <c r="S386" s="115">
        <v>2.8879999999999999</v>
      </c>
      <c r="T386" s="115">
        <v>2.9809999999999999</v>
      </c>
      <c r="U386" s="115">
        <v>2.9729999999999999</v>
      </c>
      <c r="V386" s="115">
        <v>2.9689999999999999</v>
      </c>
      <c r="W386" s="115">
        <v>2.9870000000000001</v>
      </c>
      <c r="X386" s="115">
        <v>3.0049999999999999</v>
      </c>
      <c r="Y386" s="115">
        <v>3.0209999999999999</v>
      </c>
      <c r="Z386" s="115">
        <v>3.0409999999999999</v>
      </c>
      <c r="AA386" s="115">
        <v>3.0609999999999999</v>
      </c>
      <c r="AB386" s="115">
        <v>3.081</v>
      </c>
      <c r="AC386" s="115">
        <v>3.1</v>
      </c>
      <c r="AD386" s="43"/>
      <c r="AE386" s="43"/>
      <c r="AF386" s="43"/>
      <c r="AG386" s="43"/>
      <c r="AH386" s="43"/>
      <c r="AI386" s="43"/>
    </row>
    <row r="387" spans="1:35" x14ac:dyDescent="0.25">
      <c r="A387" s="115" t="s">
        <v>697</v>
      </c>
      <c r="B387" s="115"/>
      <c r="C387" s="115">
        <v>658.59900000000005</v>
      </c>
      <c r="D387" s="115">
        <v>425.76499999999999</v>
      </c>
      <c r="E387" s="115">
        <v>661.20899999999995</v>
      </c>
      <c r="F387" s="115">
        <v>694.15099999999995</v>
      </c>
      <c r="G387" s="115">
        <v>617.45899999999995</v>
      </c>
      <c r="H387" s="115">
        <v>534.16200000000003</v>
      </c>
      <c r="I387" s="115">
        <v>626.48199999999997</v>
      </c>
      <c r="J387" s="115">
        <v>869.24099999999999</v>
      </c>
      <c r="K387" s="115">
        <v>805.91700000000003</v>
      </c>
      <c r="L387" s="115">
        <v>714.11400000000003</v>
      </c>
      <c r="M387" s="115">
        <v>635.13</v>
      </c>
      <c r="N387" s="115">
        <v>548.41700000000003</v>
      </c>
      <c r="O387" s="115">
        <v>546.58199999999999</v>
      </c>
      <c r="P387" s="115">
        <v>675.678</v>
      </c>
      <c r="Q387" s="115">
        <v>598.14</v>
      </c>
      <c r="R387" s="115">
        <v>537.76300000000003</v>
      </c>
      <c r="S387" s="115">
        <v>722.06700000000001</v>
      </c>
      <c r="T387" s="115">
        <v>458.49900000000002</v>
      </c>
      <c r="U387" s="115">
        <v>417.39499999999998</v>
      </c>
      <c r="V387" s="115">
        <v>337.59899999999999</v>
      </c>
      <c r="W387" s="115">
        <v>313.81400000000002</v>
      </c>
      <c r="X387" s="115">
        <v>288.92099999999999</v>
      </c>
      <c r="Y387" s="115">
        <v>267.29700000000003</v>
      </c>
      <c r="Z387" s="115">
        <v>246.12</v>
      </c>
      <c r="AA387" s="115">
        <v>228.16399999999999</v>
      </c>
      <c r="AB387" s="115">
        <v>212.02500000000001</v>
      </c>
      <c r="AC387" s="115">
        <v>197.36600000000001</v>
      </c>
      <c r="AD387" s="43"/>
      <c r="AE387" s="43"/>
      <c r="AF387" s="43"/>
      <c r="AG387" s="43"/>
      <c r="AH387" s="43"/>
      <c r="AI387" s="43"/>
    </row>
    <row r="388" spans="1:35" x14ac:dyDescent="0.25">
      <c r="A388" s="115" t="s">
        <v>1004</v>
      </c>
      <c r="B388" s="115"/>
      <c r="C388" s="115">
        <v>4.9489999999999998</v>
      </c>
      <c r="D388" s="115">
        <v>0</v>
      </c>
      <c r="E388" s="115">
        <v>0</v>
      </c>
      <c r="F388" s="115">
        <v>0</v>
      </c>
      <c r="G388" s="115">
        <v>0</v>
      </c>
      <c r="H388" s="115">
        <v>0</v>
      </c>
      <c r="I388" s="115">
        <v>0</v>
      </c>
      <c r="J388" s="115">
        <v>0</v>
      </c>
      <c r="K388" s="115">
        <v>0</v>
      </c>
      <c r="L388" s="115">
        <v>0</v>
      </c>
      <c r="M388" s="115">
        <v>0</v>
      </c>
      <c r="N388" s="115">
        <v>0</v>
      </c>
      <c r="O388" s="115">
        <v>0</v>
      </c>
      <c r="P388" s="115">
        <v>0</v>
      </c>
      <c r="Q388" s="115">
        <v>0</v>
      </c>
      <c r="R388" s="115">
        <v>0</v>
      </c>
      <c r="S388" s="115">
        <v>0</v>
      </c>
      <c r="T388" s="115">
        <v>0</v>
      </c>
      <c r="U388" s="115">
        <v>0</v>
      </c>
      <c r="V388" s="115">
        <v>0</v>
      </c>
      <c r="W388" s="115">
        <v>0</v>
      </c>
      <c r="X388" s="115">
        <v>0</v>
      </c>
      <c r="Y388" s="115">
        <v>0</v>
      </c>
      <c r="Z388" s="115">
        <v>0</v>
      </c>
      <c r="AA388" s="115">
        <v>0</v>
      </c>
      <c r="AB388" s="115">
        <v>0</v>
      </c>
      <c r="AC388" s="115">
        <v>0</v>
      </c>
      <c r="AD388" s="43"/>
      <c r="AE388" s="43"/>
      <c r="AF388" s="43"/>
      <c r="AG388" s="43"/>
      <c r="AH388" s="43"/>
      <c r="AI388" s="43"/>
    </row>
    <row r="389" spans="1:35" x14ac:dyDescent="0.25">
      <c r="A389" s="115" t="s">
        <v>723</v>
      </c>
      <c r="B389" s="115"/>
      <c r="C389" s="115">
        <v>4.758</v>
      </c>
      <c r="D389" s="115">
        <v>5.8029999999999999</v>
      </c>
      <c r="E389" s="115">
        <v>5.3689999999999998</v>
      </c>
      <c r="F389" s="115">
        <v>5.5350000000000001</v>
      </c>
      <c r="G389" s="115">
        <v>5.1920000000000002</v>
      </c>
      <c r="H389" s="115">
        <v>4.8120000000000003</v>
      </c>
      <c r="I389" s="115">
        <v>4.4619999999999997</v>
      </c>
      <c r="J389" s="115">
        <v>4.9649999999999999</v>
      </c>
      <c r="K389" s="115">
        <v>4.5839999999999996</v>
      </c>
      <c r="L389" s="115">
        <v>4.7</v>
      </c>
      <c r="M389" s="115">
        <v>4.8419999999999996</v>
      </c>
      <c r="N389" s="115">
        <v>4.9640000000000004</v>
      </c>
      <c r="O389" s="115">
        <v>4.3079999999999998</v>
      </c>
      <c r="P389" s="115">
        <v>4.5190000000000001</v>
      </c>
      <c r="Q389" s="115">
        <v>4.6210000000000004</v>
      </c>
      <c r="R389" s="115">
        <v>4.2169999999999996</v>
      </c>
      <c r="S389" s="115">
        <v>4.7729999999999997</v>
      </c>
      <c r="T389" s="115">
        <v>4.3120000000000003</v>
      </c>
      <c r="U389" s="115">
        <v>4.2830000000000004</v>
      </c>
      <c r="V389" s="115">
        <v>3.9830000000000001</v>
      </c>
      <c r="W389" s="115">
        <v>5.1589999999999998</v>
      </c>
      <c r="X389" s="115">
        <v>4.4249999999999998</v>
      </c>
      <c r="Y389" s="115">
        <v>4.6760000000000002</v>
      </c>
      <c r="Z389" s="115">
        <v>4.5549999999999997</v>
      </c>
      <c r="AA389" s="115">
        <v>4.5389999999999997</v>
      </c>
      <c r="AB389" s="115">
        <v>4.5289999999999999</v>
      </c>
      <c r="AC389" s="115">
        <v>4.5060000000000002</v>
      </c>
      <c r="AD389" s="43"/>
      <c r="AE389" s="43"/>
      <c r="AF389" s="43"/>
      <c r="AG389" s="43"/>
      <c r="AH389" s="43"/>
      <c r="AI389" s="43"/>
    </row>
    <row r="390" spans="1:35" x14ac:dyDescent="0.25">
      <c r="A390" s="115" t="s">
        <v>724</v>
      </c>
      <c r="B390" s="115"/>
      <c r="C390" s="115">
        <v>0.43</v>
      </c>
      <c r="D390" s="115">
        <v>0.30299999999999999</v>
      </c>
      <c r="E390" s="115">
        <v>0.53900000000000003</v>
      </c>
      <c r="F390" s="115">
        <v>0.67400000000000004</v>
      </c>
      <c r="G390" s="115">
        <v>0.56499999999999995</v>
      </c>
      <c r="H390" s="115">
        <v>0.46899999999999997</v>
      </c>
      <c r="I390" s="115">
        <v>0.84199999999999997</v>
      </c>
      <c r="J390" s="115">
        <v>0.83399999999999996</v>
      </c>
      <c r="K390" s="115">
        <v>0.79700000000000004</v>
      </c>
      <c r="L390" s="115">
        <v>0.69199999999999995</v>
      </c>
      <c r="M390" s="115">
        <v>0.59899999999999998</v>
      </c>
      <c r="N390" s="115">
        <v>0.503</v>
      </c>
      <c r="O390" s="115">
        <v>0.501</v>
      </c>
      <c r="P390" s="115">
        <v>0.50600000000000001</v>
      </c>
      <c r="Q390" s="115">
        <v>0.45300000000000001</v>
      </c>
      <c r="R390" s="115">
        <v>0.40799999999999997</v>
      </c>
      <c r="S390" s="115">
        <v>0.84599999999999997</v>
      </c>
      <c r="T390" s="115">
        <v>0.38900000000000001</v>
      </c>
      <c r="U390" s="115">
        <v>0.35799999999999998</v>
      </c>
      <c r="V390" s="115">
        <v>0.312</v>
      </c>
      <c r="W390" s="115">
        <v>0.3</v>
      </c>
      <c r="X390" s="115">
        <v>0.28499999999999998</v>
      </c>
      <c r="Y390" s="115">
        <v>0.26900000000000002</v>
      </c>
      <c r="Z390" s="115">
        <v>0.255</v>
      </c>
      <c r="AA390" s="115">
        <v>0.24199999999999999</v>
      </c>
      <c r="AB390" s="115">
        <v>0.23</v>
      </c>
      <c r="AC390" s="115">
        <v>0.218</v>
      </c>
      <c r="AD390" s="43"/>
      <c r="AE390" s="43"/>
      <c r="AF390" s="43"/>
      <c r="AG390" s="43"/>
      <c r="AH390" s="43"/>
      <c r="AI390" s="43"/>
    </row>
    <row r="391" spans="1:35" x14ac:dyDescent="0.25">
      <c r="A391" s="115" t="s">
        <v>61</v>
      </c>
      <c r="B391" s="115"/>
      <c r="C391" s="115">
        <v>5.1879999999999997</v>
      </c>
      <c r="D391" s="115">
        <v>6.1059999999999999</v>
      </c>
      <c r="E391" s="115">
        <v>5.907</v>
      </c>
      <c r="F391" s="115">
        <v>6.2080000000000002</v>
      </c>
      <c r="G391" s="115">
        <v>5.7569999999999997</v>
      </c>
      <c r="H391" s="115">
        <v>5.282</v>
      </c>
      <c r="I391" s="115">
        <v>5.3029999999999999</v>
      </c>
      <c r="J391" s="115">
        <v>5.8</v>
      </c>
      <c r="K391" s="115">
        <v>5.3819999999999997</v>
      </c>
      <c r="L391" s="115">
        <v>5.3920000000000003</v>
      </c>
      <c r="M391" s="115">
        <v>5.4409999999999998</v>
      </c>
      <c r="N391" s="115">
        <v>5.4660000000000002</v>
      </c>
      <c r="O391" s="115">
        <v>4.8090000000000002</v>
      </c>
      <c r="P391" s="115">
        <v>5.0250000000000004</v>
      </c>
      <c r="Q391" s="115">
        <v>5.0739999999999998</v>
      </c>
      <c r="R391" s="115">
        <v>4.625</v>
      </c>
      <c r="S391" s="115">
        <v>5.62</v>
      </c>
      <c r="T391" s="115">
        <v>4.7009999999999996</v>
      </c>
      <c r="U391" s="115">
        <v>4.641</v>
      </c>
      <c r="V391" s="115">
        <v>4.2949999999999999</v>
      </c>
      <c r="W391" s="115">
        <v>5.4589999999999996</v>
      </c>
      <c r="X391" s="115">
        <v>4.71</v>
      </c>
      <c r="Y391" s="115">
        <v>4.9450000000000003</v>
      </c>
      <c r="Z391" s="115">
        <v>4.8109999999999999</v>
      </c>
      <c r="AA391" s="115">
        <v>4.7809999999999997</v>
      </c>
      <c r="AB391" s="115">
        <v>4.7590000000000003</v>
      </c>
      <c r="AC391" s="115">
        <v>4.7229999999999999</v>
      </c>
      <c r="AD391" s="43"/>
      <c r="AE391" s="43"/>
      <c r="AF391" s="43"/>
      <c r="AG391" s="43"/>
      <c r="AH391" s="43"/>
      <c r="AI391" s="43"/>
    </row>
    <row r="392" spans="1:35" x14ac:dyDescent="0.25">
      <c r="A392" s="115" t="s">
        <v>634</v>
      </c>
      <c r="B392" s="115">
        <v>4.8310000000000004</v>
      </c>
      <c r="C392" s="115">
        <v>4.3360000000000003</v>
      </c>
      <c r="D392" s="115">
        <v>4.0149999999999997</v>
      </c>
      <c r="E392" s="115">
        <v>3.6139999999999999</v>
      </c>
      <c r="F392" s="115">
        <v>3.2349999999999999</v>
      </c>
      <c r="G392" s="115">
        <v>2.9129999999999998</v>
      </c>
      <c r="H392" s="115">
        <v>2.637</v>
      </c>
      <c r="I392" s="115">
        <v>2.3330000000000002</v>
      </c>
      <c r="J392" s="115">
        <v>2.0649999999999999</v>
      </c>
      <c r="K392" s="115">
        <v>1.821</v>
      </c>
      <c r="L392" s="115">
        <v>1.603</v>
      </c>
      <c r="M392" s="115">
        <v>1.4079999999999999</v>
      </c>
      <c r="N392" s="115">
        <v>1.2310000000000001</v>
      </c>
      <c r="O392" s="115">
        <v>1.0900000000000001</v>
      </c>
      <c r="P392" s="115">
        <v>0.96299999999999997</v>
      </c>
      <c r="Q392" s="115">
        <v>0.84799999999999998</v>
      </c>
      <c r="R392" s="115">
        <v>0.746</v>
      </c>
      <c r="S392" s="115">
        <v>0.64200000000000002</v>
      </c>
      <c r="T392" s="115">
        <v>0.55000000000000004</v>
      </c>
      <c r="U392" s="115">
        <v>0.46700000000000003</v>
      </c>
      <c r="V392" s="115">
        <v>0.39200000000000002</v>
      </c>
      <c r="W392" s="115">
        <v>0.34100000000000003</v>
      </c>
      <c r="X392" s="115">
        <v>0.29099999999999998</v>
      </c>
      <c r="Y392" s="115">
        <v>0.245</v>
      </c>
      <c r="Z392" s="115">
        <v>0.20300000000000001</v>
      </c>
      <c r="AA392" s="115">
        <v>0.16300000000000001</v>
      </c>
      <c r="AB392" s="115">
        <v>0.127</v>
      </c>
      <c r="AC392" s="115">
        <v>0.09</v>
      </c>
      <c r="AD392" s="43"/>
      <c r="AE392" s="43"/>
      <c r="AF392" s="43"/>
      <c r="AG392" s="43"/>
      <c r="AH392" s="43"/>
      <c r="AI392" s="43"/>
    </row>
    <row r="393" spans="1:35" x14ac:dyDescent="0.25">
      <c r="A393" s="115" t="s">
        <v>635</v>
      </c>
      <c r="B393" s="115">
        <v>0</v>
      </c>
      <c r="C393" s="115">
        <v>0</v>
      </c>
      <c r="D393" s="115">
        <v>0</v>
      </c>
      <c r="E393" s="115">
        <v>0</v>
      </c>
      <c r="F393" s="115">
        <v>0</v>
      </c>
      <c r="G393" s="115">
        <v>0</v>
      </c>
      <c r="H393" s="115">
        <v>0</v>
      </c>
      <c r="I393" s="115">
        <v>0</v>
      </c>
      <c r="J393" s="115">
        <v>0</v>
      </c>
      <c r="K393" s="115">
        <v>0</v>
      </c>
      <c r="L393" s="115">
        <v>0</v>
      </c>
      <c r="M393" s="115">
        <v>0</v>
      </c>
      <c r="N393" s="115">
        <v>0</v>
      </c>
      <c r="O393" s="115">
        <v>0</v>
      </c>
      <c r="P393" s="115">
        <v>0</v>
      </c>
      <c r="Q393" s="115">
        <v>0</v>
      </c>
      <c r="R393" s="115">
        <v>0</v>
      </c>
      <c r="S393" s="115">
        <v>0</v>
      </c>
      <c r="T393" s="115">
        <v>0</v>
      </c>
      <c r="U393" s="115">
        <v>0</v>
      </c>
      <c r="V393" s="115">
        <v>0</v>
      </c>
      <c r="W393" s="115">
        <v>0</v>
      </c>
      <c r="X393" s="115">
        <v>0</v>
      </c>
      <c r="Y393" s="115">
        <v>0</v>
      </c>
      <c r="Z393" s="115">
        <v>0</v>
      </c>
      <c r="AA393" s="115">
        <v>0</v>
      </c>
      <c r="AB393" s="115">
        <v>0</v>
      </c>
      <c r="AC393" s="115">
        <v>0</v>
      </c>
      <c r="AD393" s="43"/>
      <c r="AE393" s="43"/>
      <c r="AF393" s="43"/>
      <c r="AG393" s="43"/>
      <c r="AH393" s="43"/>
      <c r="AI393" s="43"/>
    </row>
    <row r="394" spans="1:35" x14ac:dyDescent="0.25">
      <c r="A394" s="115" t="s">
        <v>385</v>
      </c>
      <c r="B394" s="115"/>
      <c r="C394" s="115">
        <v>14.646000000000001</v>
      </c>
      <c r="D394" s="115">
        <v>9.1319999999999997</v>
      </c>
      <c r="E394" s="115">
        <v>8.9049999999999994</v>
      </c>
      <c r="F394" s="115">
        <v>8.6940000000000008</v>
      </c>
      <c r="G394" s="115">
        <v>8.4870000000000001</v>
      </c>
      <c r="H394" s="115">
        <v>8.2970000000000006</v>
      </c>
      <c r="I394" s="115">
        <v>8.1110000000000007</v>
      </c>
      <c r="J394" s="115">
        <v>7.9219999999999997</v>
      </c>
      <c r="K394" s="115">
        <v>7.7770000000000001</v>
      </c>
      <c r="L394" s="115">
        <v>7.6289999999999996</v>
      </c>
      <c r="M394" s="115">
        <v>7.5140000000000002</v>
      </c>
      <c r="N394" s="115">
        <v>7.44</v>
      </c>
      <c r="O394" s="115">
        <v>7.3659999999999997</v>
      </c>
      <c r="P394" s="115">
        <v>7.3639999999999999</v>
      </c>
      <c r="Q394" s="115">
        <v>7.41</v>
      </c>
      <c r="R394" s="115">
        <v>7.5060000000000002</v>
      </c>
      <c r="S394" s="115">
        <v>7.65</v>
      </c>
      <c r="T394" s="115">
        <v>7.8479999999999999</v>
      </c>
      <c r="U394" s="115">
        <v>8.0739999999999998</v>
      </c>
      <c r="V394" s="115">
        <v>8.3260000000000005</v>
      </c>
      <c r="W394" s="115">
        <v>30.864999999999998</v>
      </c>
      <c r="X394" s="115">
        <v>15.555999999999999</v>
      </c>
      <c r="Y394" s="115">
        <v>15.114000000000001</v>
      </c>
      <c r="Z394" s="115">
        <v>16.803999999999998</v>
      </c>
      <c r="AA394" s="115">
        <v>16.516999999999999</v>
      </c>
      <c r="AB394" s="115">
        <v>16.068999999999999</v>
      </c>
      <c r="AC394" s="115">
        <v>15.621</v>
      </c>
      <c r="AD394" s="43"/>
      <c r="AE394" s="43"/>
      <c r="AF394" s="43"/>
      <c r="AG394" s="43"/>
      <c r="AH394" s="43"/>
      <c r="AI394" s="43"/>
    </row>
    <row r="395" spans="1:35" x14ac:dyDescent="0.25">
      <c r="A395" s="115" t="s">
        <v>386</v>
      </c>
      <c r="B395" s="115"/>
      <c r="C395" s="115">
        <v>5.21</v>
      </c>
      <c r="D395" s="115">
        <v>9.032</v>
      </c>
      <c r="E395" s="115">
        <v>8.6989999999999998</v>
      </c>
      <c r="F395" s="115">
        <v>8.3870000000000005</v>
      </c>
      <c r="G395" s="115">
        <v>8.0869999999999997</v>
      </c>
      <c r="H395" s="115">
        <v>7.8090000000000002</v>
      </c>
      <c r="I395" s="115">
        <v>7.5369999999999999</v>
      </c>
      <c r="J395" s="115">
        <v>7.2640000000000002</v>
      </c>
      <c r="K395" s="115">
        <v>7.0439999999999996</v>
      </c>
      <c r="L395" s="115">
        <v>6.8209999999999997</v>
      </c>
      <c r="M395" s="115">
        <v>6.6340000000000003</v>
      </c>
      <c r="N395" s="115">
        <v>6.4880000000000004</v>
      </c>
      <c r="O395" s="115">
        <v>6.4240000000000004</v>
      </c>
      <c r="P395" s="115">
        <v>6.4249999999999998</v>
      </c>
      <c r="Q395" s="115">
        <v>6.47</v>
      </c>
      <c r="R395" s="115">
        <v>6.5590000000000002</v>
      </c>
      <c r="S395" s="115">
        <v>6.6929999999999996</v>
      </c>
      <c r="T395" s="115">
        <v>6.875</v>
      </c>
      <c r="U395" s="115">
        <v>7.08</v>
      </c>
      <c r="V395" s="115">
        <v>7.3090000000000002</v>
      </c>
      <c r="W395" s="115">
        <v>27.117999999999999</v>
      </c>
      <c r="X395" s="115">
        <v>13.67</v>
      </c>
      <c r="Y395" s="115">
        <v>13.285</v>
      </c>
      <c r="Z395" s="115">
        <v>14.775</v>
      </c>
      <c r="AA395" s="115">
        <v>14.525</v>
      </c>
      <c r="AB395" s="115">
        <v>14.132999999999999</v>
      </c>
      <c r="AC395" s="115">
        <v>13.74</v>
      </c>
      <c r="AD395" s="43"/>
      <c r="AE395" s="43"/>
      <c r="AF395" s="43"/>
      <c r="AG395" s="43"/>
      <c r="AH395" s="43"/>
      <c r="AI395" s="43"/>
    </row>
    <row r="396" spans="1:35" x14ac:dyDescent="0.25">
      <c r="A396" s="115" t="s">
        <v>387</v>
      </c>
      <c r="B396" s="115"/>
      <c r="C396" s="115">
        <v>1.57</v>
      </c>
      <c r="D396" s="115">
        <v>0.53</v>
      </c>
      <c r="E396" s="115">
        <v>0.46500000000000002</v>
      </c>
      <c r="F396" s="115">
        <v>0.43</v>
      </c>
      <c r="G396" s="115">
        <v>0.41199999999999998</v>
      </c>
      <c r="H396" s="115">
        <v>0.4</v>
      </c>
      <c r="I396" s="115">
        <v>0.39</v>
      </c>
      <c r="J396" s="115">
        <v>0.376</v>
      </c>
      <c r="K396" s="115">
        <v>0.376</v>
      </c>
      <c r="L396" s="115">
        <v>0.372</v>
      </c>
      <c r="M396" s="115">
        <v>0.372</v>
      </c>
      <c r="N396" s="115">
        <v>0.378</v>
      </c>
      <c r="O396" s="115">
        <v>0.38400000000000001</v>
      </c>
      <c r="P396" s="115">
        <v>0.39400000000000002</v>
      </c>
      <c r="Q396" s="115">
        <v>0.40799999999999997</v>
      </c>
      <c r="R396" s="115">
        <v>0.42699999999999999</v>
      </c>
      <c r="S396" s="115">
        <v>0.44900000000000001</v>
      </c>
      <c r="T396" s="115">
        <v>0.47599999999999998</v>
      </c>
      <c r="U396" s="115">
        <v>0.503</v>
      </c>
      <c r="V396" s="115">
        <v>0.53200000000000003</v>
      </c>
      <c r="W396" s="115">
        <v>6.2030000000000003</v>
      </c>
      <c r="X396" s="115">
        <v>8.8360000000000003</v>
      </c>
      <c r="Y396" s="115">
        <v>8.4280000000000008</v>
      </c>
      <c r="Z396" s="115">
        <v>9.4979999999999993</v>
      </c>
      <c r="AA396" s="115">
        <v>9.1780000000000008</v>
      </c>
      <c r="AB396" s="115">
        <v>8.7279999999999998</v>
      </c>
      <c r="AC396" s="115">
        <v>8.2710000000000008</v>
      </c>
      <c r="AD396" s="43"/>
      <c r="AE396" s="43"/>
      <c r="AF396" s="43"/>
      <c r="AG396" s="43"/>
      <c r="AH396" s="43"/>
      <c r="AI396" s="43"/>
    </row>
    <row r="397" spans="1:35" x14ac:dyDescent="0.25">
      <c r="A397" s="115" t="s">
        <v>388</v>
      </c>
      <c r="B397" s="115"/>
      <c r="C397" s="115">
        <v>97.957999999999998</v>
      </c>
      <c r="D397" s="115">
        <v>86.62</v>
      </c>
      <c r="E397" s="115">
        <v>84.272999999999996</v>
      </c>
      <c r="F397" s="115">
        <v>82.897999999999996</v>
      </c>
      <c r="G397" s="115">
        <v>81.734999999999999</v>
      </c>
      <c r="H397" s="115">
        <v>81.135999999999996</v>
      </c>
      <c r="I397" s="115">
        <v>80.965000000000003</v>
      </c>
      <c r="J397" s="115">
        <v>81.111000000000004</v>
      </c>
      <c r="K397" s="115">
        <v>81.239999999999995</v>
      </c>
      <c r="L397" s="115">
        <v>81.7</v>
      </c>
      <c r="M397" s="115">
        <v>82.245999999999995</v>
      </c>
      <c r="N397" s="115">
        <v>82.915000000000006</v>
      </c>
      <c r="O397" s="115">
        <v>83.578000000000003</v>
      </c>
      <c r="P397" s="115">
        <v>84.495999999999995</v>
      </c>
      <c r="Q397" s="115">
        <v>85.509</v>
      </c>
      <c r="R397" s="115">
        <v>86.620999999999995</v>
      </c>
      <c r="S397" s="115">
        <v>87.905000000000001</v>
      </c>
      <c r="T397" s="115">
        <v>89.153000000000006</v>
      </c>
      <c r="U397" s="115">
        <v>90.578000000000003</v>
      </c>
      <c r="V397" s="115">
        <v>92.033000000000001</v>
      </c>
      <c r="W397" s="115">
        <v>395.041</v>
      </c>
      <c r="X397" s="115">
        <v>324.09199999999998</v>
      </c>
      <c r="Y397" s="115">
        <v>364.11200000000002</v>
      </c>
      <c r="Z397" s="115">
        <v>376.73899999999998</v>
      </c>
      <c r="AA397" s="115">
        <v>411.899</v>
      </c>
      <c r="AB397" s="115">
        <v>453.30200000000002</v>
      </c>
      <c r="AC397" s="115">
        <v>494.10599999999999</v>
      </c>
      <c r="AD397" s="43"/>
      <c r="AE397" s="43"/>
      <c r="AF397" s="43"/>
      <c r="AG397" s="43"/>
      <c r="AH397" s="43"/>
      <c r="AI397" s="43"/>
    </row>
    <row r="398" spans="1:35" x14ac:dyDescent="0.25">
      <c r="A398" s="115" t="s">
        <v>389</v>
      </c>
      <c r="B398" s="115"/>
      <c r="C398" s="115">
        <v>8.2539999999999996</v>
      </c>
      <c r="D398" s="115">
        <v>14.475</v>
      </c>
      <c r="E398" s="115">
        <v>14.333</v>
      </c>
      <c r="F398" s="115">
        <v>14.134</v>
      </c>
      <c r="G398" s="115">
        <v>13.95</v>
      </c>
      <c r="H398" s="115">
        <v>13.728999999999999</v>
      </c>
      <c r="I398" s="115">
        <v>13.465999999999999</v>
      </c>
      <c r="J398" s="115">
        <v>13.164999999999999</v>
      </c>
      <c r="K398" s="115">
        <v>12.962</v>
      </c>
      <c r="L398" s="115">
        <v>12.714</v>
      </c>
      <c r="M398" s="115">
        <v>12.497</v>
      </c>
      <c r="N398" s="115">
        <v>12.315</v>
      </c>
      <c r="O398" s="115">
        <v>12.239000000000001</v>
      </c>
      <c r="P398" s="115">
        <v>12.247999999999999</v>
      </c>
      <c r="Q398" s="115">
        <v>12.28</v>
      </c>
      <c r="R398" s="115">
        <v>12.305999999999999</v>
      </c>
      <c r="S398" s="115">
        <v>12.331</v>
      </c>
      <c r="T398" s="115">
        <v>12.340999999999999</v>
      </c>
      <c r="U398" s="115">
        <v>12.343</v>
      </c>
      <c r="V398" s="115">
        <v>12.335000000000001</v>
      </c>
      <c r="W398" s="115">
        <v>44.253999999999998</v>
      </c>
      <c r="X398" s="115">
        <v>22.114000000000001</v>
      </c>
      <c r="Y398" s="115">
        <v>21.198</v>
      </c>
      <c r="Z398" s="115">
        <v>23.242000000000001</v>
      </c>
      <c r="AA398" s="115">
        <v>22.515999999999998</v>
      </c>
      <c r="AB398" s="115">
        <v>21.6</v>
      </c>
      <c r="AC398" s="115">
        <v>20.722999999999999</v>
      </c>
      <c r="AD398" s="43"/>
      <c r="AE398" s="43"/>
      <c r="AF398" s="43"/>
      <c r="AG398" s="43"/>
      <c r="AH398" s="43"/>
      <c r="AI398" s="43"/>
    </row>
    <row r="399" spans="1:35" x14ac:dyDescent="0.25">
      <c r="A399" s="115" t="s">
        <v>390</v>
      </c>
      <c r="B399" s="115"/>
      <c r="C399" s="115">
        <v>6.96</v>
      </c>
      <c r="D399" s="115">
        <v>3.9119999999999999</v>
      </c>
      <c r="E399" s="115">
        <v>3.3820000000000001</v>
      </c>
      <c r="F399" s="115">
        <v>4.5270000000000001</v>
      </c>
      <c r="G399" s="115">
        <v>4.1470000000000002</v>
      </c>
      <c r="H399" s="115">
        <v>3.2989999999999999</v>
      </c>
      <c r="I399" s="115">
        <v>2.1779999999999999</v>
      </c>
      <c r="J399" s="115">
        <v>5.0119999999999996</v>
      </c>
      <c r="K399" s="115">
        <v>3.6160000000000001</v>
      </c>
      <c r="L399" s="115">
        <v>4.9290000000000003</v>
      </c>
      <c r="M399" s="115">
        <v>6.7320000000000002</v>
      </c>
      <c r="N399" s="115">
        <v>8.782</v>
      </c>
      <c r="O399" s="115">
        <v>10.042999999999999</v>
      </c>
      <c r="P399" s="115">
        <v>13.109</v>
      </c>
      <c r="Q399" s="115">
        <v>16.294</v>
      </c>
      <c r="R399" s="115">
        <v>17.379000000000001</v>
      </c>
      <c r="S399" s="115">
        <v>23.279</v>
      </c>
      <c r="T399" s="115">
        <v>23.219000000000001</v>
      </c>
      <c r="U399" s="115">
        <v>25.286999999999999</v>
      </c>
      <c r="V399" s="115">
        <v>25.481000000000002</v>
      </c>
      <c r="W399" s="115">
        <v>11.807</v>
      </c>
      <c r="X399" s="115">
        <v>12.7</v>
      </c>
      <c r="Y399" s="115">
        <v>15.161</v>
      </c>
      <c r="Z399" s="115">
        <v>13.78</v>
      </c>
      <c r="AA399" s="115">
        <v>14.161</v>
      </c>
      <c r="AB399" s="115">
        <v>14.628</v>
      </c>
      <c r="AC399" s="115">
        <v>15.079000000000001</v>
      </c>
      <c r="AD399" s="43"/>
      <c r="AE399" s="43"/>
      <c r="AF399" s="43"/>
      <c r="AG399" s="43"/>
      <c r="AH399" s="43"/>
      <c r="AI399" s="43"/>
    </row>
    <row r="400" spans="1:35" x14ac:dyDescent="0.25">
      <c r="A400" s="115" t="s">
        <v>391</v>
      </c>
      <c r="B400" s="115"/>
      <c r="C400" s="115">
        <v>26.375</v>
      </c>
      <c r="D400" s="115">
        <v>17.658000000000001</v>
      </c>
      <c r="E400" s="115">
        <v>31.696999999999999</v>
      </c>
      <c r="F400" s="115">
        <v>31.620999999999999</v>
      </c>
      <c r="G400" s="115">
        <v>46.584000000000003</v>
      </c>
      <c r="H400" s="115">
        <v>65.537999999999997</v>
      </c>
      <c r="I400" s="115">
        <v>85.771000000000001</v>
      </c>
      <c r="J400" s="115">
        <v>69.384</v>
      </c>
      <c r="K400" s="115">
        <v>97.141999999999996</v>
      </c>
      <c r="L400" s="115">
        <v>100.018</v>
      </c>
      <c r="M400" s="115">
        <v>99.817999999999998</v>
      </c>
      <c r="N400" s="115">
        <v>100.367</v>
      </c>
      <c r="O400" s="115">
        <v>99.150999999999996</v>
      </c>
      <c r="P400" s="115">
        <v>91.22</v>
      </c>
      <c r="Q400" s="115">
        <v>93.701999999999998</v>
      </c>
      <c r="R400" s="115">
        <v>80.977000000000004</v>
      </c>
      <c r="S400" s="115">
        <v>88.885999999999996</v>
      </c>
      <c r="T400" s="115">
        <v>96.453999999999994</v>
      </c>
      <c r="U400" s="115">
        <v>103.527</v>
      </c>
      <c r="V400" s="115">
        <v>101.255</v>
      </c>
      <c r="W400" s="115">
        <v>72.25</v>
      </c>
      <c r="X400" s="115">
        <v>74.611999999999995</v>
      </c>
      <c r="Y400" s="115">
        <v>87.724000000000004</v>
      </c>
      <c r="Z400" s="115">
        <v>80.888999999999996</v>
      </c>
      <c r="AA400" s="115">
        <v>83.620999999999995</v>
      </c>
      <c r="AB400" s="115">
        <v>86.968000000000004</v>
      </c>
      <c r="AC400" s="115">
        <v>89.165000000000006</v>
      </c>
      <c r="AD400" s="43"/>
      <c r="AE400" s="43"/>
      <c r="AF400" s="43"/>
      <c r="AG400" s="43"/>
      <c r="AH400" s="43"/>
      <c r="AI400" s="43"/>
    </row>
    <row r="401" spans="1:35" x14ac:dyDescent="0.25">
      <c r="A401" s="115" t="s">
        <v>392</v>
      </c>
      <c r="B401" s="115"/>
      <c r="C401" s="115">
        <v>281.05399999999997</v>
      </c>
      <c r="D401" s="115">
        <v>302.68200000000002</v>
      </c>
      <c r="E401" s="115">
        <v>295.858</v>
      </c>
      <c r="F401" s="115">
        <v>304.83600000000001</v>
      </c>
      <c r="G401" s="115">
        <v>302.435</v>
      </c>
      <c r="H401" s="115">
        <v>296.69</v>
      </c>
      <c r="I401" s="115">
        <v>289.17500000000001</v>
      </c>
      <c r="J401" s="115">
        <v>312.39800000000002</v>
      </c>
      <c r="K401" s="115">
        <v>305.334</v>
      </c>
      <c r="L401" s="115">
        <v>317.017</v>
      </c>
      <c r="M401" s="115">
        <v>330.959</v>
      </c>
      <c r="N401" s="115">
        <v>346.19099999999997</v>
      </c>
      <c r="O401" s="115">
        <v>355.988</v>
      </c>
      <c r="P401" s="115">
        <v>378.65499999999997</v>
      </c>
      <c r="Q401" s="115">
        <v>403.33100000000002</v>
      </c>
      <c r="R401" s="115">
        <v>369.005</v>
      </c>
      <c r="S401" s="115">
        <v>445.70100000000002</v>
      </c>
      <c r="T401" s="115">
        <v>417.923</v>
      </c>
      <c r="U401" s="115">
        <v>428.84500000000003</v>
      </c>
      <c r="V401" s="115">
        <v>399.779</v>
      </c>
      <c r="W401" s="115">
        <v>587.07899999999995</v>
      </c>
      <c r="X401" s="115">
        <v>490.90199999999999</v>
      </c>
      <c r="Y401" s="115">
        <v>627.19399999999996</v>
      </c>
      <c r="Z401" s="115">
        <v>568.553</v>
      </c>
      <c r="AA401" s="115">
        <v>640.12699999999995</v>
      </c>
      <c r="AB401" s="115">
        <v>722.024</v>
      </c>
      <c r="AC401" s="115">
        <v>794.91099999999994</v>
      </c>
      <c r="AD401" s="43"/>
      <c r="AE401" s="43"/>
      <c r="AF401" s="43"/>
      <c r="AG401" s="43"/>
      <c r="AH401" s="43"/>
      <c r="AI401" s="43"/>
    </row>
    <row r="402" spans="1:35" x14ac:dyDescent="0.25">
      <c r="A402" s="115" t="s">
        <v>393</v>
      </c>
      <c r="B402" s="115"/>
      <c r="C402" s="115">
        <v>3.1960000000000002</v>
      </c>
      <c r="D402" s="115">
        <v>4.2210000000000001</v>
      </c>
      <c r="E402" s="115">
        <v>3.6760000000000002</v>
      </c>
      <c r="F402" s="115">
        <v>4.3029999999999999</v>
      </c>
      <c r="G402" s="115">
        <v>3.9409999999999998</v>
      </c>
      <c r="H402" s="115">
        <v>3.4660000000000002</v>
      </c>
      <c r="I402" s="115">
        <v>2.9769999999999999</v>
      </c>
      <c r="J402" s="115">
        <v>4.1230000000000002</v>
      </c>
      <c r="K402" s="115">
        <v>3.645</v>
      </c>
      <c r="L402" s="115">
        <v>4.1500000000000004</v>
      </c>
      <c r="M402" s="115">
        <v>4.7619999999999996</v>
      </c>
      <c r="N402" s="115">
        <v>5.4050000000000002</v>
      </c>
      <c r="O402" s="115">
        <v>5.9649999999999999</v>
      </c>
      <c r="P402" s="115">
        <v>6.8890000000000002</v>
      </c>
      <c r="Q402" s="115">
        <v>7.7140000000000004</v>
      </c>
      <c r="R402" s="115">
        <v>6.665</v>
      </c>
      <c r="S402" s="115">
        <v>9.1039999999999992</v>
      </c>
      <c r="T402" s="115">
        <v>7.931</v>
      </c>
      <c r="U402" s="115">
        <v>8.125</v>
      </c>
      <c r="V402" s="115">
        <v>7.1020000000000003</v>
      </c>
      <c r="W402" s="115">
        <v>7.46</v>
      </c>
      <c r="X402" s="115">
        <v>5.0979999999999999</v>
      </c>
      <c r="Y402" s="115">
        <v>6.774</v>
      </c>
      <c r="Z402" s="115">
        <v>5.5220000000000002</v>
      </c>
      <c r="AA402" s="115">
        <v>5.8760000000000003</v>
      </c>
      <c r="AB402" s="115">
        <v>6.3369999999999997</v>
      </c>
      <c r="AC402" s="115">
        <v>6.734</v>
      </c>
      <c r="AD402" s="43"/>
      <c r="AE402" s="43"/>
      <c r="AF402" s="43"/>
      <c r="AG402" s="43"/>
      <c r="AH402" s="43"/>
      <c r="AI402" s="43"/>
    </row>
    <row r="403" spans="1:35" x14ac:dyDescent="0.25">
      <c r="A403" s="115" t="s">
        <v>394</v>
      </c>
      <c r="B403" s="115"/>
      <c r="C403" s="115">
        <v>9.093</v>
      </c>
      <c r="D403" s="115">
        <v>5.5309999999999997</v>
      </c>
      <c r="E403" s="115">
        <v>4.3739999999999997</v>
      </c>
      <c r="F403" s="115">
        <v>5.1879999999999997</v>
      </c>
      <c r="G403" s="115">
        <v>4.407</v>
      </c>
      <c r="H403" s="115">
        <v>3.403</v>
      </c>
      <c r="I403" s="115">
        <v>2.4180000000000001</v>
      </c>
      <c r="J403" s="115">
        <v>4.6779999999999999</v>
      </c>
      <c r="K403" s="115">
        <v>3.8530000000000002</v>
      </c>
      <c r="L403" s="115">
        <v>4.9589999999999996</v>
      </c>
      <c r="M403" s="115">
        <v>6.1909999999999998</v>
      </c>
      <c r="N403" s="115">
        <v>7.383</v>
      </c>
      <c r="O403" s="115">
        <v>5.69</v>
      </c>
      <c r="P403" s="115">
        <v>6.8070000000000004</v>
      </c>
      <c r="Q403" s="115">
        <v>7.4880000000000004</v>
      </c>
      <c r="R403" s="115">
        <v>8.1010000000000009</v>
      </c>
      <c r="S403" s="115">
        <v>8.8770000000000007</v>
      </c>
      <c r="T403" s="115">
        <v>8.9969999999999999</v>
      </c>
      <c r="U403" s="115">
        <v>9.3569999999999993</v>
      </c>
      <c r="V403" s="115">
        <v>10.041</v>
      </c>
      <c r="W403" s="115">
        <v>2.5750000000000002</v>
      </c>
      <c r="X403" s="115">
        <v>3.976</v>
      </c>
      <c r="Y403" s="115">
        <v>3.4359999999999999</v>
      </c>
      <c r="Z403" s="115">
        <v>3.738</v>
      </c>
      <c r="AA403" s="115">
        <v>3.2850000000000001</v>
      </c>
      <c r="AB403" s="115">
        <v>2.7309999999999999</v>
      </c>
      <c r="AC403" s="115">
        <v>2.1930000000000001</v>
      </c>
      <c r="AD403" s="43"/>
      <c r="AE403" s="43"/>
      <c r="AF403" s="43"/>
      <c r="AG403" s="43"/>
      <c r="AH403" s="43"/>
      <c r="AI403" s="43"/>
    </row>
    <row r="404" spans="1:35" x14ac:dyDescent="0.25">
      <c r="A404" s="115" t="s">
        <v>395</v>
      </c>
      <c r="B404" s="115"/>
      <c r="C404" s="115">
        <v>151.12299999999999</v>
      </c>
      <c r="D404" s="115">
        <v>122.477</v>
      </c>
      <c r="E404" s="115">
        <v>117.504</v>
      </c>
      <c r="F404" s="115">
        <v>129.49600000000001</v>
      </c>
      <c r="G404" s="115">
        <v>128.261</v>
      </c>
      <c r="H404" s="115">
        <v>125.753</v>
      </c>
      <c r="I404" s="115">
        <v>123.41</v>
      </c>
      <c r="J404" s="115">
        <v>145.24</v>
      </c>
      <c r="K404" s="115">
        <v>145.49600000000001</v>
      </c>
      <c r="L404" s="115">
        <v>159.678</v>
      </c>
      <c r="M404" s="115">
        <v>174.017</v>
      </c>
      <c r="N404" s="115">
        <v>188.15299999999999</v>
      </c>
      <c r="O404" s="115">
        <v>156.70099999999999</v>
      </c>
      <c r="P404" s="115">
        <v>169.94399999999999</v>
      </c>
      <c r="Q404" s="115">
        <v>177.989</v>
      </c>
      <c r="R404" s="115">
        <v>172.34200000000001</v>
      </c>
      <c r="S404" s="115">
        <v>190.10300000000001</v>
      </c>
      <c r="T404" s="115">
        <v>178</v>
      </c>
      <c r="U404" s="115">
        <v>176.74100000000001</v>
      </c>
      <c r="V404" s="115">
        <v>171.036</v>
      </c>
      <c r="W404" s="115">
        <v>62.764000000000003</v>
      </c>
      <c r="X404" s="115">
        <v>71.856999999999999</v>
      </c>
      <c r="Y404" s="115">
        <v>72.983000000000004</v>
      </c>
      <c r="Z404" s="115">
        <v>67.111999999999995</v>
      </c>
      <c r="AA404" s="115">
        <v>62.466000000000001</v>
      </c>
      <c r="AB404" s="115">
        <v>57.613999999999997</v>
      </c>
      <c r="AC404" s="115">
        <v>52.738</v>
      </c>
      <c r="AD404" s="43"/>
      <c r="AE404" s="43"/>
      <c r="AF404" s="43"/>
      <c r="AG404" s="43"/>
      <c r="AH404" s="43"/>
      <c r="AI404" s="43"/>
    </row>
    <row r="405" spans="1:35" x14ac:dyDescent="0.25">
      <c r="A405" s="115" t="s">
        <v>396</v>
      </c>
      <c r="B405" s="115"/>
      <c r="C405" s="115">
        <v>159.768</v>
      </c>
      <c r="D405" s="115">
        <v>107.857</v>
      </c>
      <c r="E405" s="115">
        <v>178.48599999999999</v>
      </c>
      <c r="F405" s="115">
        <v>166.49600000000001</v>
      </c>
      <c r="G405" s="115">
        <v>219.86799999999999</v>
      </c>
      <c r="H405" s="115">
        <v>277.52499999999998</v>
      </c>
      <c r="I405" s="115">
        <v>328.084</v>
      </c>
      <c r="J405" s="115">
        <v>255.05500000000001</v>
      </c>
      <c r="K405" s="115">
        <v>314.47000000000003</v>
      </c>
      <c r="L405" s="115">
        <v>301.01499999999999</v>
      </c>
      <c r="M405" s="115">
        <v>280.54899999999998</v>
      </c>
      <c r="N405" s="115">
        <v>263.745</v>
      </c>
      <c r="O405" s="115">
        <v>222.52699999999999</v>
      </c>
      <c r="P405" s="115">
        <v>198.05600000000001</v>
      </c>
      <c r="Q405" s="115">
        <v>179.459</v>
      </c>
      <c r="R405" s="115">
        <v>136.78700000000001</v>
      </c>
      <c r="S405" s="115">
        <v>144.792</v>
      </c>
      <c r="T405" s="115">
        <v>123.279</v>
      </c>
      <c r="U405" s="115">
        <v>116.867</v>
      </c>
      <c r="V405" s="115">
        <v>99.498999999999995</v>
      </c>
      <c r="W405" s="115">
        <v>63.860999999999997</v>
      </c>
      <c r="X405" s="115">
        <v>52.965000000000003</v>
      </c>
      <c r="Y405" s="115">
        <v>64.881</v>
      </c>
      <c r="Z405" s="115">
        <v>50.405999999999999</v>
      </c>
      <c r="AA405" s="115">
        <v>50.506999999999998</v>
      </c>
      <c r="AB405" s="115">
        <v>51.271000000000001</v>
      </c>
      <c r="AC405" s="115">
        <v>51.093000000000004</v>
      </c>
      <c r="AD405" s="43"/>
      <c r="AE405" s="43"/>
      <c r="AF405" s="43"/>
      <c r="AG405" s="43"/>
      <c r="AH405" s="43"/>
      <c r="AI405" s="43"/>
    </row>
    <row r="406" spans="1:35" x14ac:dyDescent="0.25">
      <c r="A406" s="115" t="s">
        <v>397</v>
      </c>
      <c r="B406" s="115"/>
      <c r="C406" s="115">
        <v>427.90100000000001</v>
      </c>
      <c r="D406" s="115">
        <v>523.471</v>
      </c>
      <c r="E406" s="115">
        <v>459.23099999999999</v>
      </c>
      <c r="F406" s="115">
        <v>460.74099999999999</v>
      </c>
      <c r="G406" s="115">
        <v>413.39600000000002</v>
      </c>
      <c r="H406" s="115">
        <v>362.959</v>
      </c>
      <c r="I406" s="115">
        <v>318.74</v>
      </c>
      <c r="J406" s="115">
        <v>372.84100000000001</v>
      </c>
      <c r="K406" s="115">
        <v>330.46600000000001</v>
      </c>
      <c r="L406" s="115">
        <v>341.726</v>
      </c>
      <c r="M406" s="115">
        <v>350.85500000000002</v>
      </c>
      <c r="N406" s="115">
        <v>354.34500000000003</v>
      </c>
      <c r="O406" s="115">
        <v>329.92500000000001</v>
      </c>
      <c r="P406" s="115">
        <v>340.50299999999999</v>
      </c>
      <c r="Q406" s="115">
        <v>332.87</v>
      </c>
      <c r="R406" s="115">
        <v>282.96199999999999</v>
      </c>
      <c r="S406" s="115">
        <v>311.447</v>
      </c>
      <c r="T406" s="115">
        <v>265.40300000000002</v>
      </c>
      <c r="U406" s="115">
        <v>252.54</v>
      </c>
      <c r="V406" s="115">
        <v>226.756</v>
      </c>
      <c r="W406" s="115">
        <v>207.15100000000001</v>
      </c>
      <c r="X406" s="115">
        <v>174.40299999999999</v>
      </c>
      <c r="Y406" s="115">
        <v>200.251</v>
      </c>
      <c r="Z406" s="115">
        <v>176.785</v>
      </c>
      <c r="AA406" s="115">
        <v>184.255</v>
      </c>
      <c r="AB406" s="115">
        <v>193.37</v>
      </c>
      <c r="AC406" s="115">
        <v>200.05799999999999</v>
      </c>
      <c r="AD406" s="43"/>
      <c r="AE406" s="43"/>
      <c r="AF406" s="43"/>
      <c r="AG406" s="43"/>
      <c r="AH406" s="43"/>
      <c r="AI406" s="43"/>
    </row>
    <row r="407" spans="1:35" x14ac:dyDescent="0.25">
      <c r="A407" s="115" t="s">
        <v>398</v>
      </c>
      <c r="B407" s="115"/>
      <c r="C407" s="115">
        <v>1.8140000000000001</v>
      </c>
      <c r="D407" s="115">
        <v>2.274</v>
      </c>
      <c r="E407" s="115">
        <v>2.0329999999999999</v>
      </c>
      <c r="F407" s="115">
        <v>2.419</v>
      </c>
      <c r="G407" s="115">
        <v>2.2679999999999998</v>
      </c>
      <c r="H407" s="115">
        <v>2.093</v>
      </c>
      <c r="I407" s="115">
        <v>1.9319999999999999</v>
      </c>
      <c r="J407" s="115">
        <v>2.4159999999999999</v>
      </c>
      <c r="K407" s="115">
        <v>2.2789999999999999</v>
      </c>
      <c r="L407" s="115">
        <v>2.4990000000000001</v>
      </c>
      <c r="M407" s="115">
        <v>2.7160000000000002</v>
      </c>
      <c r="N407" s="115">
        <v>2.907</v>
      </c>
      <c r="O407" s="115">
        <v>2.4390000000000001</v>
      </c>
      <c r="P407" s="115">
        <v>2.6779999999999999</v>
      </c>
      <c r="Q407" s="115">
        <v>2.7850000000000001</v>
      </c>
      <c r="R407" s="115">
        <v>2.2200000000000002</v>
      </c>
      <c r="S407" s="115">
        <v>2.8730000000000002</v>
      </c>
      <c r="T407" s="115">
        <v>2.2930000000000001</v>
      </c>
      <c r="U407" s="115">
        <v>2.2480000000000002</v>
      </c>
      <c r="V407" s="115">
        <v>1.899</v>
      </c>
      <c r="W407" s="115">
        <v>1.585</v>
      </c>
      <c r="X407" s="115">
        <v>1.139</v>
      </c>
      <c r="Y407" s="115">
        <v>1.554</v>
      </c>
      <c r="Z407" s="115">
        <v>1.1599999999999999</v>
      </c>
      <c r="AA407" s="115">
        <v>1.2210000000000001</v>
      </c>
      <c r="AB407" s="115">
        <v>1.3029999999999999</v>
      </c>
      <c r="AC407" s="115">
        <v>1.3149999999999999</v>
      </c>
      <c r="AD407" s="43"/>
      <c r="AE407" s="43"/>
      <c r="AF407" s="43"/>
      <c r="AG407" s="43"/>
      <c r="AH407" s="43"/>
      <c r="AI407" s="43"/>
    </row>
    <row r="408" spans="1:35" x14ac:dyDescent="0.25">
      <c r="A408" s="115" t="s">
        <v>399</v>
      </c>
      <c r="B408" s="115"/>
      <c r="C408" s="115">
        <v>1.331</v>
      </c>
      <c r="D408" s="115">
        <v>1.752</v>
      </c>
      <c r="E408" s="115">
        <v>1.726</v>
      </c>
      <c r="F408" s="115">
        <v>2.2480000000000002</v>
      </c>
      <c r="G408" s="115">
        <v>2.2090000000000001</v>
      </c>
      <c r="H408" s="115">
        <v>2.181</v>
      </c>
      <c r="I408" s="115">
        <v>2.1619999999999999</v>
      </c>
      <c r="J408" s="115">
        <v>2.4049999999999998</v>
      </c>
      <c r="K408" s="115">
        <v>2.4239999999999999</v>
      </c>
      <c r="L408" s="115">
        <v>2.5819999999999999</v>
      </c>
      <c r="M408" s="115">
        <v>2.7330000000000001</v>
      </c>
      <c r="N408" s="115">
        <v>2.87</v>
      </c>
      <c r="O408" s="115">
        <v>2.9710000000000001</v>
      </c>
      <c r="P408" s="115">
        <v>3.09</v>
      </c>
      <c r="Q408" s="115">
        <v>3.0960000000000001</v>
      </c>
      <c r="R408" s="115">
        <v>2.3839999999999999</v>
      </c>
      <c r="S408" s="115">
        <v>2.9510000000000001</v>
      </c>
      <c r="T408" s="115">
        <v>2.2559999999999998</v>
      </c>
      <c r="U408" s="115">
        <v>2.0430000000000001</v>
      </c>
      <c r="V408" s="115">
        <v>1.6359999999999999</v>
      </c>
      <c r="W408" s="115">
        <v>1.222</v>
      </c>
      <c r="X408" s="115">
        <v>0.86799999999999999</v>
      </c>
      <c r="Y408" s="115">
        <v>1.1659999999999999</v>
      </c>
      <c r="Z408" s="115">
        <v>0.80700000000000005</v>
      </c>
      <c r="AA408" s="115">
        <v>0.83199999999999996</v>
      </c>
      <c r="AB408" s="115">
        <v>0.872</v>
      </c>
      <c r="AC408" s="115">
        <v>0.89200000000000002</v>
      </c>
      <c r="AD408" s="43"/>
      <c r="AE408" s="43"/>
      <c r="AF408" s="43"/>
      <c r="AG408" s="43"/>
      <c r="AH408" s="43"/>
      <c r="AI408" s="43"/>
    </row>
    <row r="409" spans="1:35" x14ac:dyDescent="0.25">
      <c r="A409" s="115" t="s">
        <v>400</v>
      </c>
      <c r="B409" s="115"/>
      <c r="C409" s="115">
        <v>31.809000000000001</v>
      </c>
      <c r="D409" s="115">
        <v>21.23</v>
      </c>
      <c r="E409" s="115">
        <v>20.216999999999999</v>
      </c>
      <c r="F409" s="115">
        <v>21.295999999999999</v>
      </c>
      <c r="G409" s="115">
        <v>20.553999999999998</v>
      </c>
      <c r="H409" s="115">
        <v>19.655999999999999</v>
      </c>
      <c r="I409" s="115">
        <v>18.815999999999999</v>
      </c>
      <c r="J409" s="115">
        <v>20.911999999999999</v>
      </c>
      <c r="K409" s="115">
        <v>19.183</v>
      </c>
      <c r="L409" s="115">
        <v>19.09</v>
      </c>
      <c r="M409" s="115">
        <v>19.225999999999999</v>
      </c>
      <c r="N409" s="115">
        <v>19.8</v>
      </c>
      <c r="O409" s="115">
        <v>14.714</v>
      </c>
      <c r="P409" s="115">
        <v>14.023999999999999</v>
      </c>
      <c r="Q409" s="115">
        <v>13.116</v>
      </c>
      <c r="R409" s="115">
        <v>12.183</v>
      </c>
      <c r="S409" s="115">
        <v>11.173</v>
      </c>
      <c r="T409" s="115">
        <v>9.94</v>
      </c>
      <c r="U409" s="115">
        <v>8.83</v>
      </c>
      <c r="V409" s="115">
        <v>7.75</v>
      </c>
      <c r="W409" s="115">
        <v>1.6950000000000001</v>
      </c>
      <c r="X409" s="115">
        <v>2.2360000000000002</v>
      </c>
      <c r="Y409" s="115">
        <v>1.6040000000000001</v>
      </c>
      <c r="Z409" s="115">
        <v>1.454</v>
      </c>
      <c r="AA409" s="115">
        <v>1.028</v>
      </c>
      <c r="AB409" s="115">
        <v>0.66500000000000004</v>
      </c>
      <c r="AC409" s="115">
        <v>0.379</v>
      </c>
      <c r="AD409" s="43"/>
      <c r="AE409" s="43"/>
      <c r="AF409" s="43"/>
      <c r="AG409" s="43"/>
      <c r="AH409" s="43"/>
      <c r="AI409" s="43"/>
    </row>
    <row r="410" spans="1:35" x14ac:dyDescent="0.25">
      <c r="A410" s="115" t="s">
        <v>401</v>
      </c>
      <c r="B410" s="115"/>
      <c r="C410" s="115">
        <v>98.590999999999994</v>
      </c>
      <c r="D410" s="115">
        <v>82.784999999999997</v>
      </c>
      <c r="E410" s="115">
        <v>84.09</v>
      </c>
      <c r="F410" s="115">
        <v>95.563999999999993</v>
      </c>
      <c r="G410" s="115">
        <v>95.753</v>
      </c>
      <c r="H410" s="115">
        <v>94.894000000000005</v>
      </c>
      <c r="I410" s="115">
        <v>93.116</v>
      </c>
      <c r="J410" s="115">
        <v>101.017</v>
      </c>
      <c r="K410" s="115">
        <v>93.927999999999997</v>
      </c>
      <c r="L410" s="115">
        <v>92.661000000000001</v>
      </c>
      <c r="M410" s="115">
        <v>92.915999999999997</v>
      </c>
      <c r="N410" s="115">
        <v>94.587000000000003</v>
      </c>
      <c r="O410" s="115">
        <v>31.599</v>
      </c>
      <c r="P410" s="115">
        <v>32.374000000000002</v>
      </c>
      <c r="Q410" s="115">
        <v>31.423999999999999</v>
      </c>
      <c r="R410" s="115">
        <v>25.876999999999999</v>
      </c>
      <c r="S410" s="115">
        <v>28.411000000000001</v>
      </c>
      <c r="T410" s="115">
        <v>20.071000000000002</v>
      </c>
      <c r="U410" s="115">
        <v>17.7</v>
      </c>
      <c r="V410" s="115">
        <v>14.204000000000001</v>
      </c>
      <c r="W410" s="115">
        <v>5.9660000000000002</v>
      </c>
      <c r="X410" s="115">
        <v>4.9809999999999999</v>
      </c>
      <c r="Y410" s="115">
        <v>4.8879999999999999</v>
      </c>
      <c r="Z410" s="115">
        <v>3.448</v>
      </c>
      <c r="AA410" s="115">
        <v>2.734</v>
      </c>
      <c r="AB410" s="115">
        <v>2.0830000000000002</v>
      </c>
      <c r="AC410" s="115">
        <v>1.417</v>
      </c>
      <c r="AD410" s="43"/>
      <c r="AE410" s="43"/>
      <c r="AF410" s="43"/>
      <c r="AG410" s="43"/>
      <c r="AH410" s="43"/>
      <c r="AI410" s="43"/>
    </row>
    <row r="411" spans="1:35" x14ac:dyDescent="0.25">
      <c r="A411" s="115" t="s">
        <v>402</v>
      </c>
      <c r="B411" s="115"/>
      <c r="C411" s="115">
        <v>55.283000000000001</v>
      </c>
      <c r="D411" s="115">
        <v>67.358999999999995</v>
      </c>
      <c r="E411" s="115">
        <v>69.367000000000004</v>
      </c>
      <c r="F411" s="115">
        <v>60.515000000000001</v>
      </c>
      <c r="G411" s="115">
        <v>60.936</v>
      </c>
      <c r="H411" s="115">
        <v>61.384</v>
      </c>
      <c r="I411" s="115">
        <v>61.304000000000002</v>
      </c>
      <c r="J411" s="115">
        <v>53.185000000000002</v>
      </c>
      <c r="K411" s="115">
        <v>49.540999999999997</v>
      </c>
      <c r="L411" s="115">
        <v>42.877000000000002</v>
      </c>
      <c r="M411" s="115">
        <v>37.752000000000002</v>
      </c>
      <c r="N411" s="115">
        <v>33.853000000000002</v>
      </c>
      <c r="O411" s="115">
        <v>7.7430000000000003</v>
      </c>
      <c r="P411" s="115">
        <v>6.1959999999999997</v>
      </c>
      <c r="Q411" s="115">
        <v>5.25</v>
      </c>
      <c r="R411" s="115">
        <v>3.528</v>
      </c>
      <c r="S411" s="115">
        <v>3.5030000000000001</v>
      </c>
      <c r="T411" s="115">
        <v>2.2530000000000001</v>
      </c>
      <c r="U411" s="115">
        <v>1.94</v>
      </c>
      <c r="V411" s="115">
        <v>1.448</v>
      </c>
      <c r="W411" s="115">
        <v>0.95199999999999996</v>
      </c>
      <c r="X411" s="115">
        <v>0.67100000000000004</v>
      </c>
      <c r="Y411" s="115">
        <v>0.70799999999999996</v>
      </c>
      <c r="Z411" s="115">
        <v>0.46600000000000003</v>
      </c>
      <c r="AA411" s="115">
        <v>0.38300000000000001</v>
      </c>
      <c r="AB411" s="115">
        <v>0.30399999999999999</v>
      </c>
      <c r="AC411" s="115">
        <v>0.21199999999999999</v>
      </c>
      <c r="AD411" s="43"/>
      <c r="AE411" s="43"/>
      <c r="AF411" s="43"/>
      <c r="AG411" s="43"/>
      <c r="AH411" s="43"/>
      <c r="AI411" s="43"/>
    </row>
    <row r="412" spans="1:35" x14ac:dyDescent="0.25">
      <c r="A412" s="115" t="s">
        <v>403</v>
      </c>
      <c r="B412" s="115"/>
      <c r="C412" s="115">
        <v>139.458</v>
      </c>
      <c r="D412" s="115">
        <v>150.68700000000001</v>
      </c>
      <c r="E412" s="115">
        <v>144.22</v>
      </c>
      <c r="F412" s="115">
        <v>134.81299999999999</v>
      </c>
      <c r="G412" s="115">
        <v>129.52099999999999</v>
      </c>
      <c r="H412" s="115">
        <v>124.866</v>
      </c>
      <c r="I412" s="115">
        <v>120.70399999999999</v>
      </c>
      <c r="J412" s="115">
        <v>110.733</v>
      </c>
      <c r="K412" s="115">
        <v>98.992000000000004</v>
      </c>
      <c r="L412" s="115">
        <v>85.02</v>
      </c>
      <c r="M412" s="115">
        <v>73.201999999999998</v>
      </c>
      <c r="N412" s="115">
        <v>63.344000000000001</v>
      </c>
      <c r="O412" s="115">
        <v>54.686999999999998</v>
      </c>
      <c r="P412" s="115">
        <v>44.597999999999999</v>
      </c>
      <c r="Q412" s="115">
        <v>37.152999999999999</v>
      </c>
      <c r="R412" s="115">
        <v>26.503</v>
      </c>
      <c r="S412" s="115">
        <v>23.643000000000001</v>
      </c>
      <c r="T412" s="115">
        <v>18.675000000000001</v>
      </c>
      <c r="U412" s="115">
        <v>15.891999999999999</v>
      </c>
      <c r="V412" s="115">
        <v>12.430999999999999</v>
      </c>
      <c r="W412" s="115">
        <v>13.318</v>
      </c>
      <c r="X412" s="115">
        <v>7.0010000000000003</v>
      </c>
      <c r="Y412" s="115">
        <v>11.475</v>
      </c>
      <c r="Z412" s="115">
        <v>7.5259999999999998</v>
      </c>
      <c r="AA412" s="115">
        <v>8.68</v>
      </c>
      <c r="AB412" s="115">
        <v>9.0540000000000003</v>
      </c>
      <c r="AC412" s="115">
        <v>7.84</v>
      </c>
      <c r="AD412" s="43"/>
      <c r="AE412" s="43"/>
      <c r="AF412" s="43"/>
      <c r="AG412" s="43"/>
      <c r="AH412" s="43"/>
      <c r="AI412" s="43"/>
    </row>
    <row r="413" spans="1:35" x14ac:dyDescent="0.25">
      <c r="A413" s="115" t="s">
        <v>404</v>
      </c>
      <c r="B413" s="115"/>
      <c r="C413" s="115">
        <v>1.97</v>
      </c>
      <c r="D413" s="115">
        <v>2.823</v>
      </c>
      <c r="E413" s="115">
        <v>2.6619999999999999</v>
      </c>
      <c r="F413" s="115">
        <v>2.9609999999999999</v>
      </c>
      <c r="G413" s="115">
        <v>2.867</v>
      </c>
      <c r="H413" s="115">
        <v>2.7160000000000002</v>
      </c>
      <c r="I413" s="115">
        <v>2.6139999999999999</v>
      </c>
      <c r="J413" s="115">
        <v>2.649</v>
      </c>
      <c r="K413" s="115">
        <v>2.504</v>
      </c>
      <c r="L413" s="115">
        <v>2.4169999999999998</v>
      </c>
      <c r="M413" s="115">
        <v>2.3050000000000002</v>
      </c>
      <c r="N413" s="115">
        <v>2.2290000000000001</v>
      </c>
      <c r="O413" s="115">
        <v>6.0999999999999999E-2</v>
      </c>
      <c r="P413" s="115">
        <v>6.6000000000000003E-2</v>
      </c>
      <c r="Q413" s="115">
        <v>6.7000000000000004E-2</v>
      </c>
      <c r="R413" s="115">
        <v>5.0999999999999997E-2</v>
      </c>
      <c r="S413" s="115">
        <v>6.5000000000000002E-2</v>
      </c>
      <c r="T413" s="115">
        <v>4.7E-2</v>
      </c>
      <c r="U413" s="115">
        <v>4.2999999999999997E-2</v>
      </c>
      <c r="V413" s="115">
        <v>3.2000000000000001E-2</v>
      </c>
      <c r="W413" s="115">
        <v>2.1999999999999999E-2</v>
      </c>
      <c r="X413" s="115">
        <v>1.4E-2</v>
      </c>
      <c r="Y413" s="115">
        <v>1.7999999999999999E-2</v>
      </c>
      <c r="Z413" s="115">
        <v>1.0999999999999999E-2</v>
      </c>
      <c r="AA413" s="115">
        <v>0.01</v>
      </c>
      <c r="AB413" s="115">
        <v>8.9999999999999993E-3</v>
      </c>
      <c r="AC413" s="115">
        <v>7.0000000000000001E-3</v>
      </c>
      <c r="AD413" s="43"/>
      <c r="AE413" s="43"/>
      <c r="AF413" s="43"/>
      <c r="AG413" s="43"/>
      <c r="AH413" s="43"/>
      <c r="AI413" s="43"/>
    </row>
    <row r="414" spans="1:35" x14ac:dyDescent="0.25">
      <c r="A414" s="115" t="s">
        <v>405</v>
      </c>
      <c r="B414" s="115"/>
      <c r="C414" s="115">
        <v>0.437</v>
      </c>
      <c r="D414" s="115">
        <v>0.57299999999999995</v>
      </c>
      <c r="E414" s="115">
        <v>0.41399999999999998</v>
      </c>
      <c r="F414" s="115">
        <v>0.73299999999999998</v>
      </c>
      <c r="G414" s="115">
        <v>0.54200000000000004</v>
      </c>
      <c r="H414" s="115">
        <v>0.32600000000000001</v>
      </c>
      <c r="I414" s="115">
        <v>0.11600000000000001</v>
      </c>
      <c r="J414" s="115">
        <v>0.45300000000000001</v>
      </c>
      <c r="K414" s="115">
        <v>0.183</v>
      </c>
      <c r="L414" s="115">
        <v>0.23400000000000001</v>
      </c>
      <c r="M414" s="115">
        <v>0.28599999999999998</v>
      </c>
      <c r="N414" s="115">
        <v>0.34899999999999998</v>
      </c>
      <c r="O414" s="115">
        <v>0.37</v>
      </c>
      <c r="P414" s="115">
        <v>0.42499999999999999</v>
      </c>
      <c r="Q414" s="115">
        <v>0.42799999999999999</v>
      </c>
      <c r="R414" s="115">
        <v>0.32300000000000001</v>
      </c>
      <c r="S414" s="115">
        <v>0.40799999999999997</v>
      </c>
      <c r="T414" s="115">
        <v>0.26100000000000001</v>
      </c>
      <c r="U414" s="115">
        <v>0.21099999999999999</v>
      </c>
      <c r="V414" s="115">
        <v>0.155</v>
      </c>
      <c r="W414" s="115">
        <v>0.1</v>
      </c>
      <c r="X414" s="115">
        <v>6.2E-2</v>
      </c>
      <c r="Y414" s="115">
        <v>7.5999999999999998E-2</v>
      </c>
      <c r="Z414" s="115">
        <v>4.5999999999999999E-2</v>
      </c>
      <c r="AA414" s="115">
        <v>0.04</v>
      </c>
      <c r="AB414" s="115">
        <v>3.5000000000000003E-2</v>
      </c>
      <c r="AC414" s="115">
        <v>2.5999999999999999E-2</v>
      </c>
      <c r="AD414" s="43"/>
      <c r="AE414" s="43"/>
      <c r="AF414" s="43"/>
      <c r="AG414" s="43"/>
      <c r="AH414" s="43"/>
      <c r="AI414" s="43"/>
    </row>
    <row r="415" spans="1:35" x14ac:dyDescent="0.25">
      <c r="A415" s="115" t="s">
        <v>406</v>
      </c>
      <c r="B415" s="115"/>
      <c r="C415" s="115"/>
      <c r="D415" s="115">
        <v>0</v>
      </c>
      <c r="E415" s="115">
        <v>0</v>
      </c>
      <c r="F415" s="115">
        <v>0</v>
      </c>
      <c r="G415" s="115">
        <v>0</v>
      </c>
      <c r="H415" s="115">
        <v>0</v>
      </c>
      <c r="I415" s="115">
        <v>0</v>
      </c>
      <c r="J415" s="115">
        <v>0</v>
      </c>
      <c r="K415" s="115">
        <v>0</v>
      </c>
      <c r="L415" s="115">
        <v>0</v>
      </c>
      <c r="M415" s="115">
        <v>0</v>
      </c>
      <c r="N415" s="115">
        <v>0</v>
      </c>
      <c r="O415" s="115">
        <v>0</v>
      </c>
      <c r="P415" s="115">
        <v>0</v>
      </c>
      <c r="Q415" s="115">
        <v>0</v>
      </c>
      <c r="R415" s="115">
        <v>0</v>
      </c>
      <c r="S415" s="115">
        <v>0</v>
      </c>
      <c r="T415" s="115">
        <v>0</v>
      </c>
      <c r="U415" s="115">
        <v>0</v>
      </c>
      <c r="V415" s="115">
        <v>0</v>
      </c>
      <c r="W415" s="115">
        <v>0</v>
      </c>
      <c r="X415" s="115">
        <v>0</v>
      </c>
      <c r="Y415" s="115">
        <v>0</v>
      </c>
      <c r="Z415" s="115">
        <v>0</v>
      </c>
      <c r="AA415" s="115">
        <v>0</v>
      </c>
      <c r="AB415" s="115">
        <v>0</v>
      </c>
      <c r="AC415" s="115">
        <v>0</v>
      </c>
      <c r="AD415" s="43"/>
      <c r="AE415" s="43"/>
      <c r="AF415" s="43"/>
      <c r="AG415" s="43"/>
      <c r="AH415" s="43"/>
      <c r="AI415" s="43"/>
    </row>
    <row r="416" spans="1:35" x14ac:dyDescent="0.25">
      <c r="A416" s="115" t="s">
        <v>407</v>
      </c>
      <c r="B416" s="115"/>
      <c r="C416" s="115">
        <v>76.981999999999999</v>
      </c>
      <c r="D416" s="115">
        <v>69.676000000000002</v>
      </c>
      <c r="E416" s="115">
        <v>65.052000000000007</v>
      </c>
      <c r="F416" s="115">
        <v>63.951999999999998</v>
      </c>
      <c r="G416" s="115">
        <v>58.610999999999997</v>
      </c>
      <c r="H416" s="115">
        <v>53.890999999999998</v>
      </c>
      <c r="I416" s="115">
        <v>49.813000000000002</v>
      </c>
      <c r="J416" s="115">
        <v>50.610999999999997</v>
      </c>
      <c r="K416" s="115">
        <v>44.999000000000002</v>
      </c>
      <c r="L416" s="115">
        <v>43.128999999999998</v>
      </c>
      <c r="M416" s="115">
        <v>41.456000000000003</v>
      </c>
      <c r="N416" s="115">
        <v>39.710999999999999</v>
      </c>
      <c r="O416" s="115">
        <v>31.016999999999999</v>
      </c>
      <c r="P416" s="115">
        <v>29.158000000000001</v>
      </c>
      <c r="Q416" s="115">
        <v>27.035</v>
      </c>
      <c r="R416" s="115">
        <v>24.887</v>
      </c>
      <c r="S416" s="115">
        <v>22.611999999999998</v>
      </c>
      <c r="T416" s="115">
        <v>19.972000000000001</v>
      </c>
      <c r="U416" s="115">
        <v>17.600999999999999</v>
      </c>
      <c r="V416" s="115">
        <v>15.307</v>
      </c>
      <c r="W416" s="115">
        <v>3.323</v>
      </c>
      <c r="X416" s="115">
        <v>4.3499999999999996</v>
      </c>
      <c r="Y416" s="115">
        <v>3.1</v>
      </c>
      <c r="Z416" s="115">
        <v>2.786</v>
      </c>
      <c r="AA416" s="115">
        <v>1.9550000000000001</v>
      </c>
      <c r="AB416" s="115">
        <v>1.2549999999999999</v>
      </c>
      <c r="AC416" s="115">
        <v>0.70799999999999996</v>
      </c>
      <c r="AD416" s="43"/>
      <c r="AE416" s="43"/>
      <c r="AF416" s="43"/>
      <c r="AG416" s="43"/>
      <c r="AH416" s="43"/>
      <c r="AI416" s="43"/>
    </row>
    <row r="417" spans="1:35" x14ac:dyDescent="0.25">
      <c r="A417" s="115" t="s">
        <v>408</v>
      </c>
      <c r="B417" s="115"/>
      <c r="C417" s="115">
        <v>43.173000000000002</v>
      </c>
      <c r="D417" s="115">
        <v>31.93</v>
      </c>
      <c r="E417" s="115">
        <v>35.764000000000003</v>
      </c>
      <c r="F417" s="115">
        <v>37.317</v>
      </c>
      <c r="G417" s="115">
        <v>38.173000000000002</v>
      </c>
      <c r="H417" s="115">
        <v>39.365000000000002</v>
      </c>
      <c r="I417" s="115">
        <v>40.051000000000002</v>
      </c>
      <c r="J417" s="115">
        <v>35.670999999999999</v>
      </c>
      <c r="K417" s="115">
        <v>35.006</v>
      </c>
      <c r="L417" s="115">
        <v>32.042999999999999</v>
      </c>
      <c r="M417" s="115">
        <v>28.914999999999999</v>
      </c>
      <c r="N417" s="115">
        <v>25.914000000000001</v>
      </c>
      <c r="O417" s="115">
        <v>20.818999999999999</v>
      </c>
      <c r="P417" s="115">
        <v>18.074999999999999</v>
      </c>
      <c r="Q417" s="115">
        <v>15.705</v>
      </c>
      <c r="R417" s="115">
        <v>10.737</v>
      </c>
      <c r="S417" s="115">
        <v>11.276</v>
      </c>
      <c r="T417" s="115">
        <v>5.633</v>
      </c>
      <c r="U417" s="115">
        <v>4.9290000000000003</v>
      </c>
      <c r="V417" s="115">
        <v>3.7120000000000002</v>
      </c>
      <c r="W417" s="115">
        <v>2.2610000000000001</v>
      </c>
      <c r="X417" s="115">
        <v>1.58</v>
      </c>
      <c r="Y417" s="115">
        <v>1.7749999999999999</v>
      </c>
      <c r="Z417" s="115">
        <v>1.1419999999999999</v>
      </c>
      <c r="AA417" s="115">
        <v>0.96799999999999997</v>
      </c>
      <c r="AB417" s="115">
        <v>0.79700000000000004</v>
      </c>
      <c r="AC417" s="115">
        <v>0.58099999999999996</v>
      </c>
      <c r="AD417" s="43"/>
      <c r="AE417" s="43"/>
      <c r="AF417" s="43"/>
      <c r="AG417" s="43"/>
      <c r="AH417" s="43"/>
      <c r="AI417" s="43"/>
    </row>
    <row r="418" spans="1:35" x14ac:dyDescent="0.25">
      <c r="A418" s="115" t="s">
        <v>409</v>
      </c>
      <c r="B418" s="115"/>
      <c r="C418" s="115">
        <v>13.519</v>
      </c>
      <c r="D418" s="115">
        <v>14.832000000000001</v>
      </c>
      <c r="E418" s="115">
        <v>15.215</v>
      </c>
      <c r="F418" s="115">
        <v>12.101000000000001</v>
      </c>
      <c r="G418" s="115">
        <v>11.775</v>
      </c>
      <c r="H418" s="115">
        <v>11.856</v>
      </c>
      <c r="I418" s="115">
        <v>12.068</v>
      </c>
      <c r="J418" s="115">
        <v>9.0739999999999998</v>
      </c>
      <c r="K418" s="115">
        <v>9.3330000000000002</v>
      </c>
      <c r="L418" s="115">
        <v>7.9320000000000004</v>
      </c>
      <c r="M418" s="115">
        <v>6.5380000000000003</v>
      </c>
      <c r="N418" s="115">
        <v>5.3209999999999997</v>
      </c>
      <c r="O418" s="115">
        <v>8.6999999999999994E-2</v>
      </c>
      <c r="P418" s="115">
        <v>8.4000000000000005E-2</v>
      </c>
      <c r="Q418" s="115">
        <v>7.9000000000000001E-2</v>
      </c>
      <c r="R418" s="115">
        <v>5.6000000000000001E-2</v>
      </c>
      <c r="S418" s="115">
        <v>6.5000000000000002E-2</v>
      </c>
      <c r="T418" s="115">
        <v>3.4000000000000002E-2</v>
      </c>
      <c r="U418" s="115">
        <v>3.1E-2</v>
      </c>
      <c r="V418" s="115">
        <v>2.3E-2</v>
      </c>
      <c r="W418" s="115">
        <v>1.7000000000000001E-2</v>
      </c>
      <c r="X418" s="115">
        <v>1.0999999999999999E-2</v>
      </c>
      <c r="Y418" s="115">
        <v>1.4E-2</v>
      </c>
      <c r="Z418" s="115">
        <v>8.9999999999999993E-3</v>
      </c>
      <c r="AA418" s="115">
        <v>8.0000000000000002E-3</v>
      </c>
      <c r="AB418" s="115">
        <v>7.0000000000000001E-3</v>
      </c>
      <c r="AC418" s="115">
        <v>5.0000000000000001E-3</v>
      </c>
      <c r="AD418" s="43"/>
      <c r="AE418" s="43"/>
      <c r="AF418" s="43"/>
      <c r="AG418" s="43"/>
      <c r="AH418" s="43"/>
      <c r="AI418" s="43"/>
    </row>
    <row r="419" spans="1:35" x14ac:dyDescent="0.25">
      <c r="A419" s="115" t="s">
        <v>410</v>
      </c>
      <c r="B419" s="115"/>
      <c r="C419" s="115">
        <v>32.359000000000002</v>
      </c>
      <c r="D419" s="115">
        <v>45.906999999999996</v>
      </c>
      <c r="E419" s="115">
        <v>42.408999999999999</v>
      </c>
      <c r="F419" s="115">
        <v>35.186</v>
      </c>
      <c r="G419" s="115">
        <v>31.728000000000002</v>
      </c>
      <c r="H419" s="115">
        <v>28.925000000000001</v>
      </c>
      <c r="I419" s="115">
        <v>26.652000000000001</v>
      </c>
      <c r="J419" s="115">
        <v>24.248000000000001</v>
      </c>
      <c r="K419" s="115">
        <v>21.309000000000001</v>
      </c>
      <c r="L419" s="115">
        <v>19.260999999999999</v>
      </c>
      <c r="M419" s="115">
        <v>17.475999999999999</v>
      </c>
      <c r="N419" s="115">
        <v>15.827999999999999</v>
      </c>
      <c r="O419" s="115">
        <v>14.351000000000001</v>
      </c>
      <c r="P419" s="115">
        <v>13.082000000000001</v>
      </c>
      <c r="Q419" s="115">
        <v>11.878</v>
      </c>
      <c r="R419" s="115">
        <v>10.25</v>
      </c>
      <c r="S419" s="115">
        <v>9.5739999999999998</v>
      </c>
      <c r="T419" s="115">
        <v>8.2110000000000003</v>
      </c>
      <c r="U419" s="115">
        <v>7.2709999999999999</v>
      </c>
      <c r="V419" s="115">
        <v>6.2649999999999997</v>
      </c>
      <c r="W419" s="115">
        <v>4.2450000000000001</v>
      </c>
      <c r="X419" s="115">
        <v>3.6190000000000002</v>
      </c>
      <c r="Y419" s="115">
        <v>3.085</v>
      </c>
      <c r="Z419" s="115">
        <v>2.5819999999999999</v>
      </c>
      <c r="AA419" s="115">
        <v>2.0739999999999998</v>
      </c>
      <c r="AB419" s="115">
        <v>1.599</v>
      </c>
      <c r="AC419" s="115">
        <v>1.113</v>
      </c>
      <c r="AD419" s="43"/>
      <c r="AE419" s="43"/>
      <c r="AF419" s="43"/>
      <c r="AG419" s="43"/>
      <c r="AH419" s="43"/>
      <c r="AI419" s="43"/>
    </row>
    <row r="420" spans="1:35" x14ac:dyDescent="0.25">
      <c r="A420" s="115" t="s">
        <v>411</v>
      </c>
      <c r="B420" s="115"/>
      <c r="C420" s="115">
        <v>0.314</v>
      </c>
      <c r="D420" s="115">
        <v>0.441</v>
      </c>
      <c r="E420" s="115">
        <v>0.35699999999999998</v>
      </c>
      <c r="F420" s="115">
        <v>0.40400000000000003</v>
      </c>
      <c r="G420" s="115">
        <v>0.32500000000000001</v>
      </c>
      <c r="H420" s="115">
        <v>0.25600000000000001</v>
      </c>
      <c r="I420" s="115">
        <v>0.20200000000000001</v>
      </c>
      <c r="J420" s="115">
        <v>0.26200000000000001</v>
      </c>
      <c r="K420" s="115">
        <v>0.20899999999999999</v>
      </c>
      <c r="L420" s="115">
        <v>0.216</v>
      </c>
      <c r="M420" s="115">
        <v>0.222</v>
      </c>
      <c r="N420" s="115">
        <v>0.224</v>
      </c>
      <c r="O420" s="115">
        <v>0.13200000000000001</v>
      </c>
      <c r="P420" s="115">
        <v>0.125</v>
      </c>
      <c r="Q420" s="115">
        <v>0.11799999999999999</v>
      </c>
      <c r="R420" s="115">
        <v>8.5000000000000006E-2</v>
      </c>
      <c r="S420" s="115">
        <v>9.8000000000000004E-2</v>
      </c>
      <c r="T420" s="115">
        <v>7.0999999999999994E-2</v>
      </c>
      <c r="U420" s="115">
        <v>6.2E-2</v>
      </c>
      <c r="V420" s="115">
        <v>4.4999999999999998E-2</v>
      </c>
      <c r="W420" s="115">
        <v>0.03</v>
      </c>
      <c r="X420" s="115">
        <v>1.9E-2</v>
      </c>
      <c r="Y420" s="115">
        <v>2.3E-2</v>
      </c>
      <c r="Z420" s="115">
        <v>1.4E-2</v>
      </c>
      <c r="AA420" s="115">
        <v>1.2E-2</v>
      </c>
      <c r="AB420" s="115">
        <v>8.9999999999999993E-3</v>
      </c>
      <c r="AC420" s="115">
        <v>7.0000000000000001E-3</v>
      </c>
      <c r="AD420" s="43"/>
      <c r="AE420" s="43"/>
      <c r="AF420" s="43"/>
      <c r="AG420" s="43"/>
      <c r="AH420" s="43"/>
      <c r="AI420" s="43"/>
    </row>
    <row r="421" spans="1:35" x14ac:dyDescent="0.25">
      <c r="A421" s="115" t="s">
        <v>412</v>
      </c>
      <c r="B421" s="115"/>
      <c r="C421" s="115">
        <v>12.967000000000001</v>
      </c>
      <c r="D421" s="115">
        <v>11.289</v>
      </c>
      <c r="E421" s="115">
        <v>7.5730000000000004</v>
      </c>
      <c r="F421" s="115">
        <v>7.4450000000000003</v>
      </c>
      <c r="G421" s="115">
        <v>5.1479999999999997</v>
      </c>
      <c r="H421" s="115">
        <v>3.1840000000000002</v>
      </c>
      <c r="I421" s="115">
        <v>1.7190000000000001</v>
      </c>
      <c r="J421" s="115">
        <v>3.016</v>
      </c>
      <c r="K421" s="115">
        <v>1.7390000000000001</v>
      </c>
      <c r="L421" s="115">
        <v>1.8320000000000001</v>
      </c>
      <c r="M421" s="115">
        <v>1.9450000000000001</v>
      </c>
      <c r="N421" s="115">
        <v>1.9770000000000001</v>
      </c>
      <c r="O421" s="115">
        <v>1.7649999999999999</v>
      </c>
      <c r="P421" s="115">
        <v>1.86</v>
      </c>
      <c r="Q421" s="115">
        <v>1.7709999999999999</v>
      </c>
      <c r="R421" s="115">
        <v>1.651</v>
      </c>
      <c r="S421" s="115">
        <v>1.5509999999999999</v>
      </c>
      <c r="T421" s="115">
        <v>1.2769999999999999</v>
      </c>
      <c r="U421" s="115">
        <v>1.0880000000000001</v>
      </c>
      <c r="V421" s="115">
        <v>0.91100000000000003</v>
      </c>
      <c r="W421" s="115">
        <v>0.185</v>
      </c>
      <c r="X421" s="115">
        <v>0.23200000000000001</v>
      </c>
      <c r="Y421" s="115">
        <v>0.16300000000000001</v>
      </c>
      <c r="Z421" s="115">
        <v>0.14000000000000001</v>
      </c>
      <c r="AA421" s="115">
        <v>9.5000000000000001E-2</v>
      </c>
      <c r="AB421" s="115">
        <v>5.8999999999999997E-2</v>
      </c>
      <c r="AC421" s="115">
        <v>3.3000000000000002E-2</v>
      </c>
      <c r="AD421" s="43"/>
      <c r="AE421" s="43"/>
      <c r="AF421" s="43"/>
      <c r="AG421" s="43"/>
      <c r="AH421" s="43"/>
      <c r="AI421" s="43"/>
    </row>
    <row r="422" spans="1:35" x14ac:dyDescent="0.25">
      <c r="A422" s="115" t="s">
        <v>413</v>
      </c>
      <c r="B422" s="115"/>
      <c r="C422" s="115">
        <v>44.783000000000001</v>
      </c>
      <c r="D422" s="115">
        <v>37.072000000000003</v>
      </c>
      <c r="E422" s="115">
        <v>35.924999999999997</v>
      </c>
      <c r="F422" s="115">
        <v>37.976999999999997</v>
      </c>
      <c r="G422" s="115">
        <v>35.883000000000003</v>
      </c>
      <c r="H422" s="115">
        <v>33.938000000000002</v>
      </c>
      <c r="I422" s="115">
        <v>32.085999999999999</v>
      </c>
      <c r="J422" s="115">
        <v>31.106999999999999</v>
      </c>
      <c r="K422" s="115">
        <v>29.474</v>
      </c>
      <c r="L422" s="115">
        <v>27.46</v>
      </c>
      <c r="M422" s="115">
        <v>25.378</v>
      </c>
      <c r="N422" s="115">
        <v>23.306999999999999</v>
      </c>
      <c r="O422" s="115">
        <v>2.0880000000000001</v>
      </c>
      <c r="P422" s="115">
        <v>1.92</v>
      </c>
      <c r="Q422" s="115">
        <v>1.7310000000000001</v>
      </c>
      <c r="R422" s="115">
        <v>1.53</v>
      </c>
      <c r="S422" s="115">
        <v>1.3779999999999999</v>
      </c>
      <c r="T422" s="115">
        <v>1.163</v>
      </c>
      <c r="U422" s="115">
        <v>1.004</v>
      </c>
      <c r="V422" s="115">
        <v>0.85099999999999998</v>
      </c>
      <c r="W422" s="115">
        <v>0.191</v>
      </c>
      <c r="X422" s="115">
        <v>0.23799999999999999</v>
      </c>
      <c r="Y422" s="115">
        <v>0.17199999999999999</v>
      </c>
      <c r="Z422" s="115">
        <v>0.15</v>
      </c>
      <c r="AA422" s="115">
        <v>0.105</v>
      </c>
      <c r="AB422" s="115">
        <v>6.8000000000000005E-2</v>
      </c>
      <c r="AC422" s="115">
        <v>3.7999999999999999E-2</v>
      </c>
      <c r="AD422" s="43"/>
      <c r="AE422" s="43"/>
      <c r="AF422" s="43"/>
      <c r="AG422" s="43"/>
      <c r="AH422" s="43"/>
      <c r="AI422" s="43"/>
    </row>
    <row r="423" spans="1:35" x14ac:dyDescent="0.25">
      <c r="A423" s="115" t="s">
        <v>414</v>
      </c>
      <c r="B423" s="115"/>
      <c r="C423" s="115">
        <v>17.585000000000001</v>
      </c>
      <c r="D423" s="115">
        <v>11.581</v>
      </c>
      <c r="E423" s="115">
        <v>13.96</v>
      </c>
      <c r="F423" s="115">
        <v>12.321</v>
      </c>
      <c r="G423" s="115">
        <v>12.614000000000001</v>
      </c>
      <c r="H423" s="115">
        <v>12.852</v>
      </c>
      <c r="I423" s="115">
        <v>12.73</v>
      </c>
      <c r="J423" s="115">
        <v>9.1219999999999999</v>
      </c>
      <c r="K423" s="115">
        <v>9.2639999999999993</v>
      </c>
      <c r="L423" s="115">
        <v>7.5039999999999996</v>
      </c>
      <c r="M423" s="115">
        <v>5.9749999999999996</v>
      </c>
      <c r="N423" s="115">
        <v>4.7759999999999998</v>
      </c>
      <c r="O423" s="115">
        <v>2.1779999999999999</v>
      </c>
      <c r="P423" s="115">
        <v>1.484</v>
      </c>
      <c r="Q423" s="115">
        <v>1.1040000000000001</v>
      </c>
      <c r="R423" s="115">
        <v>0.68899999999999995</v>
      </c>
      <c r="S423" s="115">
        <v>0.52200000000000002</v>
      </c>
      <c r="T423" s="115">
        <v>0.40400000000000003</v>
      </c>
      <c r="U423" s="115">
        <v>0.33500000000000002</v>
      </c>
      <c r="V423" s="115">
        <v>0.251</v>
      </c>
      <c r="W423" s="115">
        <v>0.13300000000000001</v>
      </c>
      <c r="X423" s="115">
        <v>0.10299999999999999</v>
      </c>
      <c r="Y423" s="115">
        <v>9.5000000000000001E-2</v>
      </c>
      <c r="Z423" s="115">
        <v>6.5000000000000002E-2</v>
      </c>
      <c r="AA423" s="115">
        <v>4.9000000000000002E-2</v>
      </c>
      <c r="AB423" s="115">
        <v>3.5999999999999997E-2</v>
      </c>
      <c r="AC423" s="115">
        <v>2.3E-2</v>
      </c>
      <c r="AD423" s="43"/>
      <c r="AE423" s="43"/>
      <c r="AF423" s="43"/>
      <c r="AG423" s="43"/>
      <c r="AH423" s="43"/>
      <c r="AI423" s="43"/>
    </row>
    <row r="424" spans="1:35" x14ac:dyDescent="0.25">
      <c r="A424" s="115" t="s">
        <v>415</v>
      </c>
      <c r="B424" s="115"/>
      <c r="C424" s="115">
        <v>8.3759999999999994</v>
      </c>
      <c r="D424" s="115">
        <v>13.169</v>
      </c>
      <c r="E424" s="115">
        <v>11.92</v>
      </c>
      <c r="F424" s="115">
        <v>8.58</v>
      </c>
      <c r="G424" s="115">
        <v>7.4059999999999997</v>
      </c>
      <c r="H424" s="115">
        <v>6.3529999999999998</v>
      </c>
      <c r="I424" s="115">
        <v>5.4779999999999998</v>
      </c>
      <c r="J424" s="115">
        <v>4.5519999999999996</v>
      </c>
      <c r="K424" s="115">
        <v>3.7669999999999999</v>
      </c>
      <c r="L424" s="115">
        <v>3.1309999999999998</v>
      </c>
      <c r="M424" s="115">
        <v>2.6179999999999999</v>
      </c>
      <c r="N424" s="115">
        <v>2.173</v>
      </c>
      <c r="O424" s="115">
        <v>0.04</v>
      </c>
      <c r="P424" s="115">
        <v>3.5999999999999997E-2</v>
      </c>
      <c r="Q424" s="115">
        <v>3.2000000000000001E-2</v>
      </c>
      <c r="R424" s="115">
        <v>2.9000000000000001E-2</v>
      </c>
      <c r="S424" s="115">
        <v>2.5999999999999999E-2</v>
      </c>
      <c r="T424" s="115">
        <v>2.1999999999999999E-2</v>
      </c>
      <c r="U424" s="115">
        <v>0.02</v>
      </c>
      <c r="V424" s="115">
        <v>1.7000000000000001E-2</v>
      </c>
      <c r="W424" s="115">
        <v>4.0000000000000001E-3</v>
      </c>
      <c r="X424" s="115">
        <v>5.0000000000000001E-3</v>
      </c>
      <c r="Y424" s="115">
        <v>3.0000000000000001E-3</v>
      </c>
      <c r="Z424" s="115">
        <v>3.0000000000000001E-3</v>
      </c>
      <c r="AA424" s="115">
        <v>2E-3</v>
      </c>
      <c r="AB424" s="115">
        <v>1E-3</v>
      </c>
      <c r="AC424" s="115">
        <v>1E-3</v>
      </c>
      <c r="AD424" s="43"/>
      <c r="AE424" s="43"/>
      <c r="AF424" s="43"/>
      <c r="AG424" s="43"/>
      <c r="AH424" s="43"/>
      <c r="AI424" s="43"/>
    </row>
    <row r="425" spans="1:35" x14ac:dyDescent="0.25">
      <c r="A425" s="115" t="s">
        <v>416</v>
      </c>
      <c r="B425" s="115"/>
      <c r="C425" s="115">
        <v>6.6440000000000001</v>
      </c>
      <c r="D425" s="115">
        <v>9.1660000000000004</v>
      </c>
      <c r="E425" s="115">
        <v>7.3440000000000003</v>
      </c>
      <c r="F425" s="115">
        <v>5.9409999999999998</v>
      </c>
      <c r="G425" s="115">
        <v>4.734</v>
      </c>
      <c r="H425" s="115">
        <v>3.754</v>
      </c>
      <c r="I425" s="115">
        <v>3.0059999999999998</v>
      </c>
      <c r="J425" s="115">
        <v>2.843</v>
      </c>
      <c r="K425" s="115">
        <v>2.246</v>
      </c>
      <c r="L425" s="115">
        <v>1.976</v>
      </c>
      <c r="M425" s="115">
        <v>1.754</v>
      </c>
      <c r="N425" s="115">
        <v>1.55</v>
      </c>
      <c r="O425" s="115">
        <v>1.095</v>
      </c>
      <c r="P425" s="115">
        <v>1.002</v>
      </c>
      <c r="Q425" s="115">
        <v>0.89500000000000002</v>
      </c>
      <c r="R425" s="115">
        <v>0.77200000000000002</v>
      </c>
      <c r="S425" s="115">
        <v>0.70099999999999996</v>
      </c>
      <c r="T425" s="115">
        <v>0.58099999999999996</v>
      </c>
      <c r="U425" s="115">
        <v>0.49399999999999999</v>
      </c>
      <c r="V425" s="115">
        <v>0.41299999999999998</v>
      </c>
      <c r="W425" s="115">
        <v>0.255</v>
      </c>
      <c r="X425" s="115">
        <v>0.21299999999999999</v>
      </c>
      <c r="Y425" s="115">
        <v>0.17100000000000001</v>
      </c>
      <c r="Z425" s="115">
        <v>0.13900000000000001</v>
      </c>
      <c r="AA425" s="115">
        <v>0.106</v>
      </c>
      <c r="AB425" s="115">
        <v>7.6999999999999999E-2</v>
      </c>
      <c r="AC425" s="115">
        <v>5.0999999999999997E-2</v>
      </c>
      <c r="AD425" s="43"/>
      <c r="AE425" s="43"/>
      <c r="AF425" s="43"/>
      <c r="AG425" s="43"/>
      <c r="AH425" s="43"/>
      <c r="AI425" s="43"/>
    </row>
    <row r="426" spans="1:35" x14ac:dyDescent="0.25">
      <c r="A426" s="115" t="s">
        <v>578</v>
      </c>
      <c r="B426" s="115">
        <v>0.80600000000000005</v>
      </c>
      <c r="C426" s="115">
        <v>0.81100000000000005</v>
      </c>
      <c r="D426" s="115">
        <v>0.82</v>
      </c>
      <c r="E426" s="115">
        <v>0.82599999999999996</v>
      </c>
      <c r="F426" s="115">
        <v>0.82699999999999996</v>
      </c>
      <c r="G426" s="115">
        <v>0.83399999999999996</v>
      </c>
      <c r="H426" s="115">
        <v>0.84099999999999997</v>
      </c>
      <c r="I426" s="115">
        <v>0.84799999999999998</v>
      </c>
      <c r="J426" s="115">
        <v>0.85499999999999998</v>
      </c>
      <c r="K426" s="115">
        <v>0.86199999999999999</v>
      </c>
      <c r="L426" s="115">
        <v>0.86899999999999999</v>
      </c>
      <c r="M426" s="115">
        <v>0.876</v>
      </c>
      <c r="N426" s="115">
        <v>0.88300000000000001</v>
      </c>
      <c r="O426" s="115">
        <v>0.88900000000000001</v>
      </c>
      <c r="P426" s="115">
        <v>0.89500000000000002</v>
      </c>
      <c r="Q426" s="115">
        <v>0.90100000000000002</v>
      </c>
      <c r="R426" s="115">
        <v>0.90700000000000003</v>
      </c>
      <c r="S426" s="115">
        <v>0.89600000000000002</v>
      </c>
      <c r="T426" s="115">
        <v>0.91800000000000004</v>
      </c>
      <c r="U426" s="115">
        <v>0.92200000000000004</v>
      </c>
      <c r="V426" s="115">
        <v>0.92600000000000005</v>
      </c>
      <c r="W426" s="115">
        <v>0.92900000000000005</v>
      </c>
      <c r="X426" s="115">
        <v>0.93100000000000005</v>
      </c>
      <c r="Y426" s="115">
        <v>0.93400000000000005</v>
      </c>
      <c r="Z426" s="115">
        <v>0.93600000000000005</v>
      </c>
      <c r="AA426" s="115">
        <v>0.93799999999999994</v>
      </c>
      <c r="AB426" s="115">
        <v>0.94</v>
      </c>
      <c r="AC426" s="115">
        <v>0.94199999999999995</v>
      </c>
      <c r="AD426" s="43"/>
      <c r="AE426" s="43"/>
      <c r="AF426" s="43"/>
      <c r="AG426" s="43"/>
      <c r="AH426" s="43"/>
      <c r="AI426" s="43"/>
    </row>
    <row r="427" spans="1:35" x14ac:dyDescent="0.25">
      <c r="A427" s="115" t="s">
        <v>722</v>
      </c>
      <c r="B427" s="115"/>
      <c r="C427" s="115">
        <v>31.391999999999999</v>
      </c>
      <c r="D427" s="115">
        <v>37.86</v>
      </c>
      <c r="E427" s="115">
        <v>30.457000000000001</v>
      </c>
      <c r="F427" s="115">
        <v>31.725999999999999</v>
      </c>
      <c r="G427" s="115">
        <v>26.023</v>
      </c>
      <c r="H427" s="115">
        <v>19.576000000000001</v>
      </c>
      <c r="I427" s="115">
        <v>13.598000000000001</v>
      </c>
      <c r="J427" s="115">
        <v>21.77</v>
      </c>
      <c r="K427" s="115">
        <v>15.218999999999999</v>
      </c>
      <c r="L427" s="115">
        <v>16.991</v>
      </c>
      <c r="M427" s="115">
        <v>19.285</v>
      </c>
      <c r="N427" s="115">
        <v>21.225000000000001</v>
      </c>
      <c r="O427" s="115">
        <v>17.896000000000001</v>
      </c>
      <c r="P427" s="115">
        <v>21.027999999999999</v>
      </c>
      <c r="Q427" s="115">
        <v>22.559000000000001</v>
      </c>
      <c r="R427" s="115">
        <v>18.521000000000001</v>
      </c>
      <c r="S427" s="115">
        <v>25.234000000000002</v>
      </c>
      <c r="T427" s="115">
        <v>20.224</v>
      </c>
      <c r="U427" s="115">
        <v>20.071999999999999</v>
      </c>
      <c r="V427" s="115">
        <v>16.850000000000001</v>
      </c>
      <c r="W427" s="115">
        <v>12.33</v>
      </c>
      <c r="X427" s="115">
        <v>9.26</v>
      </c>
      <c r="Y427" s="115">
        <v>12.736000000000001</v>
      </c>
      <c r="Z427" s="115">
        <v>9.5489999999999995</v>
      </c>
      <c r="AA427" s="115">
        <v>9.8949999999999996</v>
      </c>
      <c r="AB427" s="115">
        <v>10.436999999999999</v>
      </c>
      <c r="AC427" s="115">
        <v>10.866</v>
      </c>
      <c r="AD427" s="43"/>
      <c r="AE427" s="43"/>
      <c r="AF427" s="43"/>
      <c r="AG427" s="43"/>
      <c r="AH427" s="43"/>
      <c r="AI427" s="43"/>
    </row>
    <row r="428" spans="1:35" x14ac:dyDescent="0.25">
      <c r="A428" s="115" t="s">
        <v>732</v>
      </c>
      <c r="B428" s="115"/>
      <c r="C428" s="115">
        <v>2.6749999999999998</v>
      </c>
      <c r="D428" s="115">
        <v>-0.40899999999999997</v>
      </c>
      <c r="E428" s="115">
        <v>-0.97299999999999998</v>
      </c>
      <c r="F428" s="115">
        <v>-0.872</v>
      </c>
      <c r="G428" s="115">
        <v>-1.1439999999999999</v>
      </c>
      <c r="H428" s="115">
        <v>-1.3240000000000001</v>
      </c>
      <c r="I428" s="115">
        <v>-1.4570000000000001</v>
      </c>
      <c r="J428" s="115">
        <v>-1.198</v>
      </c>
      <c r="K428" s="115">
        <v>-0.28100000000000003</v>
      </c>
      <c r="L428" s="115">
        <v>-0.61099999999999999</v>
      </c>
      <c r="M428" s="115">
        <v>-1.161</v>
      </c>
      <c r="N428" s="115">
        <v>-1.4239999999999999</v>
      </c>
      <c r="O428" s="115">
        <v>-1.3620000000000001</v>
      </c>
      <c r="P428" s="115">
        <v>-2.42</v>
      </c>
      <c r="Q428" s="115">
        <v>-2.5539999999999998</v>
      </c>
      <c r="R428" s="115">
        <v>-2.7389999999999999</v>
      </c>
      <c r="S428" s="115">
        <v>1.728</v>
      </c>
      <c r="T428" s="115">
        <v>-4.1429999999999998</v>
      </c>
      <c r="U428" s="115">
        <v>-4.0869999999999997</v>
      </c>
      <c r="V428" s="115">
        <v>-3.7679999999999998</v>
      </c>
      <c r="W428" s="115">
        <v>-3.8450000000000002</v>
      </c>
      <c r="X428" s="115">
        <v>-3.74</v>
      </c>
      <c r="Y428" s="115">
        <v>-3.649</v>
      </c>
      <c r="Z428" s="115">
        <v>-3.5539999999999998</v>
      </c>
      <c r="AA428" s="115">
        <v>-3.4609999999999999</v>
      </c>
      <c r="AB428" s="115">
        <v>-3.3690000000000002</v>
      </c>
      <c r="AC428" s="115">
        <v>-3.34</v>
      </c>
      <c r="AD428" s="43"/>
      <c r="AE428" s="43"/>
      <c r="AF428" s="43"/>
      <c r="AG428" s="43"/>
      <c r="AH428" s="43"/>
      <c r="AI428" s="43"/>
    </row>
    <row r="429" spans="1:35" x14ac:dyDescent="0.25">
      <c r="A429" s="115" t="s">
        <v>384</v>
      </c>
      <c r="B429" s="115"/>
      <c r="C429" s="115">
        <v>315.31</v>
      </c>
      <c r="D429" s="115">
        <v>251.77199999999999</v>
      </c>
      <c r="E429" s="115">
        <v>249.79900000000001</v>
      </c>
      <c r="F429" s="115">
        <v>263.52600000000001</v>
      </c>
      <c r="G429" s="115">
        <v>267.71100000000001</v>
      </c>
      <c r="H429" s="115">
        <v>274.72300000000001</v>
      </c>
      <c r="I429" s="115">
        <v>284.12599999999998</v>
      </c>
      <c r="J429" s="115">
        <v>298.85399999999998</v>
      </c>
      <c r="K429" s="115">
        <v>316.02699999999999</v>
      </c>
      <c r="L429" s="115">
        <v>333.63499999999999</v>
      </c>
      <c r="M429" s="115">
        <v>349.38600000000002</v>
      </c>
      <c r="N429" s="115">
        <v>366.173</v>
      </c>
      <c r="O429" s="115">
        <v>319.08</v>
      </c>
      <c r="P429" s="115">
        <v>326.12200000000001</v>
      </c>
      <c r="Q429" s="115">
        <v>337.39400000000001</v>
      </c>
      <c r="R429" s="115">
        <v>317.52</v>
      </c>
      <c r="S429" s="115">
        <v>346.48</v>
      </c>
      <c r="T429" s="115">
        <v>337.85899999999998</v>
      </c>
      <c r="U429" s="115">
        <v>342.43200000000002</v>
      </c>
      <c r="V429" s="115">
        <v>331.78100000000001</v>
      </c>
      <c r="W429" s="115">
        <v>154.6</v>
      </c>
      <c r="X429" s="115">
        <v>169.964</v>
      </c>
      <c r="Y429" s="115">
        <v>184.172</v>
      </c>
      <c r="Z429" s="115">
        <v>169.898</v>
      </c>
      <c r="AA429" s="115">
        <v>166.61199999999999</v>
      </c>
      <c r="AB429" s="115">
        <v>163.92</v>
      </c>
      <c r="AC429" s="115">
        <v>160.29499999999999</v>
      </c>
      <c r="AD429" s="43"/>
      <c r="AE429" s="43"/>
      <c r="AF429" s="43"/>
      <c r="AG429" s="43"/>
      <c r="AH429" s="43"/>
      <c r="AI429" s="43"/>
    </row>
    <row r="430" spans="1:35" x14ac:dyDescent="0.25">
      <c r="A430" s="115" t="s">
        <v>383</v>
      </c>
      <c r="B430" s="115"/>
      <c r="C430" s="115">
        <v>40.546999999999997</v>
      </c>
      <c r="D430" s="115">
        <v>23.280999999999999</v>
      </c>
      <c r="E430" s="115">
        <v>25.942</v>
      </c>
      <c r="F430" s="115">
        <v>30.550999999999998</v>
      </c>
      <c r="G430" s="115">
        <v>31.3</v>
      </c>
      <c r="H430" s="115">
        <v>29.733000000000001</v>
      </c>
      <c r="I430" s="115">
        <v>32.933</v>
      </c>
      <c r="J430" s="115">
        <v>37.720999999999997</v>
      </c>
      <c r="K430" s="115">
        <v>43.142000000000003</v>
      </c>
      <c r="L430" s="115">
        <v>50.116999999999997</v>
      </c>
      <c r="M430" s="115">
        <v>60.655000000000001</v>
      </c>
      <c r="N430" s="115">
        <v>68.206000000000003</v>
      </c>
      <c r="O430" s="115">
        <v>65.927999999999997</v>
      </c>
      <c r="P430" s="115">
        <v>65.171999999999997</v>
      </c>
      <c r="Q430" s="115">
        <v>74.281999999999996</v>
      </c>
      <c r="R430" s="115">
        <v>85.570999999999998</v>
      </c>
      <c r="S430" s="115">
        <v>105.63</v>
      </c>
      <c r="T430" s="115">
        <v>89.564999999999998</v>
      </c>
      <c r="U430" s="115">
        <v>91.852000000000004</v>
      </c>
      <c r="V430" s="115">
        <v>82.316999999999993</v>
      </c>
      <c r="W430" s="115">
        <v>83.744</v>
      </c>
      <c r="X430" s="115">
        <v>79.248000000000005</v>
      </c>
      <c r="Y430" s="115">
        <v>76.384</v>
      </c>
      <c r="Z430" s="115">
        <v>72.364000000000004</v>
      </c>
      <c r="AA430" s="115">
        <v>69.602000000000004</v>
      </c>
      <c r="AB430" s="115">
        <v>67.247</v>
      </c>
      <c r="AC430" s="115">
        <v>65.352999999999994</v>
      </c>
      <c r="AD430" s="43"/>
      <c r="AE430" s="43"/>
      <c r="AF430" s="43"/>
      <c r="AG430" s="43"/>
      <c r="AH430" s="43"/>
      <c r="AI430" s="43"/>
    </row>
    <row r="431" spans="1:35" x14ac:dyDescent="0.25">
      <c r="A431" s="115" t="s">
        <v>1003</v>
      </c>
      <c r="B431" s="115"/>
      <c r="C431" s="115">
        <v>9.1389999999999993</v>
      </c>
      <c r="D431" s="115">
        <v>8.4640000000000004</v>
      </c>
      <c r="E431" s="115">
        <v>8.4130000000000003</v>
      </c>
      <c r="F431" s="115">
        <v>9.1630000000000003</v>
      </c>
      <c r="G431" s="115">
        <v>8.9600000000000009</v>
      </c>
      <c r="H431" s="115">
        <v>8.7240000000000002</v>
      </c>
      <c r="I431" s="115">
        <v>8.5239999999999991</v>
      </c>
      <c r="J431" s="115">
        <v>8.5540000000000003</v>
      </c>
      <c r="K431" s="115">
        <v>8.3160000000000007</v>
      </c>
      <c r="L431" s="115">
        <v>8.1140000000000008</v>
      </c>
      <c r="M431" s="115">
        <v>7.9210000000000003</v>
      </c>
      <c r="N431" s="115">
        <v>7.718</v>
      </c>
      <c r="O431" s="115">
        <v>7.492</v>
      </c>
      <c r="P431" s="115">
        <v>7.5350000000000001</v>
      </c>
      <c r="Q431" s="115">
        <v>7.3810000000000002</v>
      </c>
      <c r="R431" s="115">
        <v>7.1959999999999997</v>
      </c>
      <c r="S431" s="115">
        <v>11.384</v>
      </c>
      <c r="T431" s="115">
        <v>6.9349999999999996</v>
      </c>
      <c r="U431" s="115">
        <v>6.7779999999999996</v>
      </c>
      <c r="V431" s="115">
        <v>6.5830000000000002</v>
      </c>
      <c r="W431" s="115">
        <v>6.6660000000000004</v>
      </c>
      <c r="X431" s="115">
        <v>6.5090000000000003</v>
      </c>
      <c r="Y431" s="115">
        <v>6.4409999999999998</v>
      </c>
      <c r="Z431" s="115">
        <v>6.3390000000000004</v>
      </c>
      <c r="AA431" s="115">
        <v>6.26</v>
      </c>
      <c r="AB431" s="115">
        <v>6.1890000000000001</v>
      </c>
      <c r="AC431" s="115">
        <v>6.1230000000000002</v>
      </c>
      <c r="AD431" s="43"/>
      <c r="AE431" s="43"/>
      <c r="AF431" s="43"/>
      <c r="AG431" s="43"/>
      <c r="AH431" s="43"/>
      <c r="AI431" s="43"/>
    </row>
    <row r="432" spans="1:35" x14ac:dyDescent="0.25">
      <c r="A432" s="115" t="s">
        <v>678</v>
      </c>
      <c r="B432" s="115"/>
      <c r="C432" s="115">
        <v>588.63099999999997</v>
      </c>
      <c r="D432" s="115">
        <v>427.41199999999998</v>
      </c>
      <c r="E432" s="115">
        <v>615.62800000000004</v>
      </c>
      <c r="F432" s="115">
        <v>662.49599999999998</v>
      </c>
      <c r="G432" s="115">
        <v>675.34799999999996</v>
      </c>
      <c r="H432" s="115">
        <v>655.12</v>
      </c>
      <c r="I432" s="115">
        <v>702.19600000000003</v>
      </c>
      <c r="J432" s="115">
        <v>923.53399999999999</v>
      </c>
      <c r="K432" s="115">
        <v>870.20100000000002</v>
      </c>
      <c r="L432" s="115">
        <v>840.29700000000003</v>
      </c>
      <c r="M432" s="115">
        <v>852.13800000000003</v>
      </c>
      <c r="N432" s="115">
        <v>816.11900000000003</v>
      </c>
      <c r="O432" s="115">
        <v>814.47699999999998</v>
      </c>
      <c r="P432" s="115">
        <v>1235.6980000000001</v>
      </c>
      <c r="Q432" s="115">
        <v>1172.4179999999999</v>
      </c>
      <c r="R432" s="115">
        <v>1150.6279999999999</v>
      </c>
      <c r="S432" s="115">
        <v>1395.2049999999999</v>
      </c>
      <c r="T432" s="115">
        <v>1226.604</v>
      </c>
      <c r="U432" s="115">
        <v>1173.9549999999999</v>
      </c>
      <c r="V432" s="115">
        <v>1049.1400000000001</v>
      </c>
      <c r="W432" s="115">
        <v>1055.087</v>
      </c>
      <c r="X432" s="115">
        <v>1004.8819999999999</v>
      </c>
      <c r="Y432" s="115">
        <v>956.68299999999999</v>
      </c>
      <c r="Z432" s="115">
        <v>913.32600000000002</v>
      </c>
      <c r="AA432" s="115">
        <v>872.49</v>
      </c>
      <c r="AB432" s="115">
        <v>834.03200000000004</v>
      </c>
      <c r="AC432" s="115">
        <v>799.28800000000001</v>
      </c>
      <c r="AD432" s="43"/>
      <c r="AE432" s="43"/>
      <c r="AF432" s="43"/>
      <c r="AG432" s="43"/>
      <c r="AH432" s="43"/>
      <c r="AI432" s="43"/>
    </row>
    <row r="433" spans="1:35" x14ac:dyDescent="0.25">
      <c r="A433" s="115" t="s">
        <v>679</v>
      </c>
      <c r="B433" s="115"/>
      <c r="C433" s="115">
        <v>12.353</v>
      </c>
      <c r="D433" s="115">
        <v>7.8029999999999999</v>
      </c>
      <c r="E433" s="115">
        <v>8.5939999999999994</v>
      </c>
      <c r="F433" s="115">
        <v>10.654999999999999</v>
      </c>
      <c r="G433" s="115">
        <v>10.143000000000001</v>
      </c>
      <c r="H433" s="115">
        <v>8.9320000000000004</v>
      </c>
      <c r="I433" s="115">
        <v>8.2409999999999997</v>
      </c>
      <c r="J433" s="115">
        <v>10.996</v>
      </c>
      <c r="K433" s="115">
        <v>10.499000000000001</v>
      </c>
      <c r="L433" s="115">
        <v>12.414</v>
      </c>
      <c r="M433" s="115">
        <v>14.749000000000001</v>
      </c>
      <c r="N433" s="115">
        <v>15.157</v>
      </c>
      <c r="O433" s="115">
        <v>13.585000000000001</v>
      </c>
      <c r="P433" s="115">
        <v>14.242000000000001</v>
      </c>
      <c r="Q433" s="115">
        <v>14.766999999999999</v>
      </c>
      <c r="R433" s="115">
        <v>13.661</v>
      </c>
      <c r="S433" s="115">
        <v>16.204000000000001</v>
      </c>
      <c r="T433" s="115">
        <v>13.879</v>
      </c>
      <c r="U433" s="115">
        <v>13.845000000000001</v>
      </c>
      <c r="V433" s="115">
        <v>8.3580000000000005</v>
      </c>
      <c r="W433" s="115">
        <v>4.8410000000000002</v>
      </c>
      <c r="X433" s="115">
        <v>4.3330000000000002</v>
      </c>
      <c r="Y433" s="115">
        <v>5.33</v>
      </c>
      <c r="Z433" s="115">
        <v>4.3</v>
      </c>
      <c r="AA433" s="115">
        <v>4.351</v>
      </c>
      <c r="AB433" s="115">
        <v>4.4690000000000003</v>
      </c>
      <c r="AC433" s="115">
        <v>4.5750000000000002</v>
      </c>
      <c r="AD433" s="43"/>
      <c r="AE433" s="43"/>
      <c r="AF433" s="43"/>
      <c r="AG433" s="43"/>
      <c r="AH433" s="43"/>
      <c r="AI433" s="43"/>
    </row>
    <row r="434" spans="1:35" x14ac:dyDescent="0.25">
      <c r="A434" s="115" t="s">
        <v>715</v>
      </c>
      <c r="B434" s="115"/>
      <c r="C434" s="115">
        <v>2.677</v>
      </c>
      <c r="D434" s="115">
        <v>3.6739999999999999</v>
      </c>
      <c r="E434" s="115">
        <v>3.3690000000000002</v>
      </c>
      <c r="F434" s="115">
        <v>3.6509999999999998</v>
      </c>
      <c r="G434" s="115">
        <v>3.3969999999999998</v>
      </c>
      <c r="H434" s="115">
        <v>3.1150000000000002</v>
      </c>
      <c r="I434" s="115">
        <v>2.85</v>
      </c>
      <c r="J434" s="115">
        <v>3.2890000000000001</v>
      </c>
      <c r="K434" s="115">
        <v>3.0019999999999998</v>
      </c>
      <c r="L434" s="115">
        <v>3.1179999999999999</v>
      </c>
      <c r="M434" s="115">
        <v>3.2559999999999998</v>
      </c>
      <c r="N434" s="115">
        <v>3.38</v>
      </c>
      <c r="O434" s="115">
        <v>2.7930000000000001</v>
      </c>
      <c r="P434" s="115">
        <v>2.9980000000000002</v>
      </c>
      <c r="Q434" s="115">
        <v>3.0979999999999999</v>
      </c>
      <c r="R434" s="115">
        <v>2.8730000000000002</v>
      </c>
      <c r="S434" s="115">
        <v>3.258</v>
      </c>
      <c r="T434" s="115">
        <v>2.9140000000000001</v>
      </c>
      <c r="U434" s="115">
        <v>2.887</v>
      </c>
      <c r="V434" s="115">
        <v>2.6920000000000002</v>
      </c>
      <c r="W434" s="115">
        <v>4.3289999999999997</v>
      </c>
      <c r="X434" s="115">
        <v>4.3840000000000003</v>
      </c>
      <c r="Y434" s="115">
        <v>4.3070000000000004</v>
      </c>
      <c r="Z434" s="115">
        <v>4.4480000000000004</v>
      </c>
      <c r="AA434" s="115">
        <v>4.2510000000000003</v>
      </c>
      <c r="AB434" s="115">
        <v>4.0289999999999999</v>
      </c>
      <c r="AC434" s="115">
        <v>3.8109999999999999</v>
      </c>
      <c r="AD434" s="43"/>
      <c r="AE434" s="43"/>
      <c r="AF434" s="43"/>
      <c r="AG434" s="43"/>
      <c r="AH434" s="43"/>
      <c r="AI434" s="43"/>
    </row>
    <row r="435" spans="1:35" x14ac:dyDescent="0.25">
      <c r="A435" s="115" t="s">
        <v>716</v>
      </c>
      <c r="B435" s="115"/>
      <c r="C435" s="115">
        <v>5.6319999999999997</v>
      </c>
      <c r="D435" s="115">
        <v>2.7719999999999998</v>
      </c>
      <c r="E435" s="115">
        <v>2.62</v>
      </c>
      <c r="F435" s="115">
        <v>2.831</v>
      </c>
      <c r="G435" s="115">
        <v>2.7050000000000001</v>
      </c>
      <c r="H435" s="115">
        <v>2.5579999999999998</v>
      </c>
      <c r="I435" s="115">
        <v>2.419</v>
      </c>
      <c r="J435" s="115">
        <v>2.7269999999999999</v>
      </c>
      <c r="K435" s="115">
        <v>2.57</v>
      </c>
      <c r="L435" s="115">
        <v>2.6739999999999999</v>
      </c>
      <c r="M435" s="115">
        <v>2.7930000000000001</v>
      </c>
      <c r="N435" s="115">
        <v>2.9049999999999998</v>
      </c>
      <c r="O435" s="115">
        <v>2.4510000000000001</v>
      </c>
      <c r="P435" s="115">
        <v>2.5910000000000002</v>
      </c>
      <c r="Q435" s="115">
        <v>2.6589999999999998</v>
      </c>
      <c r="R435" s="115">
        <v>2.4870000000000001</v>
      </c>
      <c r="S435" s="115">
        <v>2.7639999999999998</v>
      </c>
      <c r="T435" s="115">
        <v>2.512</v>
      </c>
      <c r="U435" s="115">
        <v>2.4910000000000001</v>
      </c>
      <c r="V435" s="115">
        <v>2.3450000000000002</v>
      </c>
      <c r="W435" s="115">
        <v>3.9279999999999999</v>
      </c>
      <c r="X435" s="115">
        <v>2.8130000000000002</v>
      </c>
      <c r="Y435" s="115">
        <v>2.8090000000000002</v>
      </c>
      <c r="Z435" s="115">
        <v>2.8730000000000002</v>
      </c>
      <c r="AA435" s="115">
        <v>2.7730000000000001</v>
      </c>
      <c r="AB435" s="115">
        <v>2.6589999999999998</v>
      </c>
      <c r="AC435" s="115">
        <v>2.5449999999999999</v>
      </c>
      <c r="AD435" s="43"/>
      <c r="AE435" s="43"/>
      <c r="AF435" s="43"/>
      <c r="AG435" s="43"/>
      <c r="AH435" s="43"/>
      <c r="AI435" s="43"/>
    </row>
    <row r="436" spans="1:35" x14ac:dyDescent="0.25">
      <c r="A436" s="115" t="s">
        <v>717</v>
      </c>
      <c r="B436" s="115"/>
      <c r="C436" s="115">
        <v>0.40100000000000002</v>
      </c>
      <c r="D436" s="115">
        <v>0.60699999999999998</v>
      </c>
      <c r="E436" s="115">
        <v>0.50700000000000001</v>
      </c>
      <c r="F436" s="115">
        <v>0.54600000000000004</v>
      </c>
      <c r="G436" s="115">
        <v>0.47099999999999997</v>
      </c>
      <c r="H436" s="115">
        <v>0.38500000000000001</v>
      </c>
      <c r="I436" s="115">
        <v>0.30399999999999999</v>
      </c>
      <c r="J436" s="115">
        <v>0.42199999999999999</v>
      </c>
      <c r="K436" s="115">
        <v>0.33700000000000002</v>
      </c>
      <c r="L436" s="115">
        <v>0.36699999999999999</v>
      </c>
      <c r="M436" s="115">
        <v>0.40500000000000003</v>
      </c>
      <c r="N436" s="115">
        <v>0.44</v>
      </c>
      <c r="O436" s="115">
        <v>0.42299999999999999</v>
      </c>
      <c r="P436" s="115">
        <v>0.47699999999999998</v>
      </c>
      <c r="Q436" s="115">
        <v>0.51</v>
      </c>
      <c r="R436" s="115">
        <v>0.51900000000000002</v>
      </c>
      <c r="S436" s="115">
        <v>0.57799999999999996</v>
      </c>
      <c r="T436" s="115">
        <v>0.55000000000000004</v>
      </c>
      <c r="U436" s="115">
        <v>0.55400000000000005</v>
      </c>
      <c r="V436" s="115">
        <v>0.54300000000000004</v>
      </c>
      <c r="W436" s="115">
        <v>0.17100000000000001</v>
      </c>
      <c r="X436" s="115">
        <v>0.215</v>
      </c>
      <c r="Y436" s="115">
        <v>0.20699999999999999</v>
      </c>
      <c r="Z436" s="115">
        <v>0.19900000000000001</v>
      </c>
      <c r="AA436" s="115">
        <v>0.18099999999999999</v>
      </c>
      <c r="AB436" s="115">
        <v>0.16200000000000001</v>
      </c>
      <c r="AC436" s="115">
        <v>0.14399999999999999</v>
      </c>
      <c r="AD436" s="43"/>
      <c r="AE436" s="43"/>
      <c r="AF436" s="43"/>
      <c r="AG436" s="43"/>
      <c r="AH436" s="43"/>
      <c r="AI436" s="43"/>
    </row>
    <row r="437" spans="1:35" x14ac:dyDescent="0.25">
      <c r="A437" s="115" t="s">
        <v>706</v>
      </c>
      <c r="B437" s="115"/>
      <c r="C437" s="115">
        <v>0.32300000000000001</v>
      </c>
      <c r="D437" s="115">
        <v>0.16700000000000001</v>
      </c>
      <c r="E437" s="115">
        <v>0.23599999999999999</v>
      </c>
      <c r="F437" s="115">
        <v>0.25900000000000001</v>
      </c>
      <c r="G437" s="115">
        <v>0.24399999999999999</v>
      </c>
      <c r="H437" s="115">
        <v>0.22500000000000001</v>
      </c>
      <c r="I437" s="115">
        <v>0.25600000000000001</v>
      </c>
      <c r="J437" s="115">
        <v>0.316</v>
      </c>
      <c r="K437" s="115">
        <v>0.30599999999999999</v>
      </c>
      <c r="L437" s="115">
        <v>0.28999999999999998</v>
      </c>
      <c r="M437" s="115">
        <v>0.28399999999999997</v>
      </c>
      <c r="N437" s="115">
        <v>0.26200000000000001</v>
      </c>
      <c r="O437" s="115">
        <v>0.27100000000000002</v>
      </c>
      <c r="P437" s="115">
        <v>0.38800000000000001</v>
      </c>
      <c r="Q437" s="115">
        <v>0.36299999999999999</v>
      </c>
      <c r="R437" s="115">
        <v>0.34799999999999998</v>
      </c>
      <c r="S437" s="115">
        <v>0.501</v>
      </c>
      <c r="T437" s="115">
        <v>0.39300000000000002</v>
      </c>
      <c r="U437" s="115">
        <v>0.372</v>
      </c>
      <c r="V437" s="115">
        <v>0.32600000000000001</v>
      </c>
      <c r="W437" s="115">
        <v>0.32300000000000001</v>
      </c>
      <c r="X437" s="115">
        <v>0.309</v>
      </c>
      <c r="Y437" s="115">
        <v>0.29599999999999999</v>
      </c>
      <c r="Z437" s="115">
        <v>0.28299999999999997</v>
      </c>
      <c r="AA437" s="115">
        <v>0.27100000000000002</v>
      </c>
      <c r="AB437" s="115">
        <v>0.26</v>
      </c>
      <c r="AC437" s="115">
        <v>0.25700000000000001</v>
      </c>
      <c r="AD437" s="43"/>
      <c r="AE437" s="43"/>
      <c r="AF437" s="43"/>
      <c r="AG437" s="43"/>
      <c r="AH437" s="43"/>
      <c r="AI437" s="43"/>
    </row>
    <row r="438" spans="1:35" x14ac:dyDescent="0.25">
      <c r="A438" s="115" t="s">
        <v>58</v>
      </c>
      <c r="B438" s="115"/>
      <c r="C438" s="115">
        <v>15.007</v>
      </c>
      <c r="D438" s="115">
        <v>14.005000000000001</v>
      </c>
      <c r="E438" s="115">
        <v>12.917999999999999</v>
      </c>
      <c r="F438" s="115">
        <v>13.324999999999999</v>
      </c>
      <c r="G438" s="115">
        <v>12.468999999999999</v>
      </c>
      <c r="H438" s="115">
        <v>11.518000000000001</v>
      </c>
      <c r="I438" s="115">
        <v>10.638</v>
      </c>
      <c r="J438" s="115">
        <v>11.907999999999999</v>
      </c>
      <c r="K438" s="115">
        <v>10.952</v>
      </c>
      <c r="L438" s="115">
        <v>11.246</v>
      </c>
      <c r="M438" s="115">
        <v>11.61</v>
      </c>
      <c r="N438" s="115">
        <v>11.923</v>
      </c>
      <c r="O438" s="115">
        <v>10.346</v>
      </c>
      <c r="P438" s="115">
        <v>10.871</v>
      </c>
      <c r="Q438" s="115">
        <v>11.125</v>
      </c>
      <c r="R438" s="115">
        <v>10.119999999999999</v>
      </c>
      <c r="S438" s="115">
        <v>11.5</v>
      </c>
      <c r="T438" s="115">
        <v>10.351000000000001</v>
      </c>
      <c r="U438" s="115">
        <v>10.276999999999999</v>
      </c>
      <c r="V438" s="115">
        <v>9.5310000000000006</v>
      </c>
      <c r="W438" s="115">
        <v>12.353999999999999</v>
      </c>
      <c r="X438" s="115">
        <v>10.615</v>
      </c>
      <c r="Y438" s="115">
        <v>11.259</v>
      </c>
      <c r="Z438" s="115">
        <v>10.948</v>
      </c>
      <c r="AA438" s="115">
        <v>10.923</v>
      </c>
      <c r="AB438" s="115">
        <v>10.917999999999999</v>
      </c>
      <c r="AC438" s="115">
        <v>10.879</v>
      </c>
      <c r="AD438" s="43"/>
      <c r="AE438" s="43"/>
      <c r="AF438" s="43"/>
      <c r="AG438" s="43"/>
      <c r="AH438" s="43"/>
      <c r="AI438" s="43"/>
    </row>
    <row r="439" spans="1:35" x14ac:dyDescent="0.25">
      <c r="A439" s="115" t="s">
        <v>993</v>
      </c>
      <c r="B439" s="115"/>
      <c r="C439" s="115">
        <v>14.225</v>
      </c>
      <c r="D439" s="115">
        <v>13.275</v>
      </c>
      <c r="E439" s="115">
        <v>12.244</v>
      </c>
      <c r="F439" s="115">
        <v>12.63</v>
      </c>
      <c r="G439" s="115">
        <v>11.819000000000001</v>
      </c>
      <c r="H439" s="115">
        <v>10.917</v>
      </c>
      <c r="I439" s="115">
        <v>10.084</v>
      </c>
      <c r="J439" s="115">
        <v>11.288</v>
      </c>
      <c r="K439" s="115">
        <v>10.381</v>
      </c>
      <c r="L439" s="115">
        <v>10.66</v>
      </c>
      <c r="M439" s="115">
        <v>11.004</v>
      </c>
      <c r="N439" s="115">
        <v>11.301</v>
      </c>
      <c r="O439" s="115">
        <v>9.8070000000000004</v>
      </c>
      <c r="P439" s="115">
        <v>10.304</v>
      </c>
      <c r="Q439" s="115">
        <v>10.545</v>
      </c>
      <c r="R439" s="115">
        <v>9.593</v>
      </c>
      <c r="S439" s="115">
        <v>10.9</v>
      </c>
      <c r="T439" s="115">
        <v>9.8109999999999999</v>
      </c>
      <c r="U439" s="115">
        <v>9.7409999999999997</v>
      </c>
      <c r="V439" s="115">
        <v>9.0340000000000007</v>
      </c>
      <c r="W439" s="115">
        <v>11.71</v>
      </c>
      <c r="X439" s="115">
        <v>10.061999999999999</v>
      </c>
      <c r="Y439" s="115">
        <v>10.672000000000001</v>
      </c>
      <c r="Z439" s="115">
        <v>10.377000000000001</v>
      </c>
      <c r="AA439" s="115">
        <v>10.353</v>
      </c>
      <c r="AB439" s="115">
        <v>10.349</v>
      </c>
      <c r="AC439" s="115">
        <v>10.311</v>
      </c>
      <c r="AD439" s="43"/>
      <c r="AE439" s="43"/>
      <c r="AF439" s="43"/>
      <c r="AG439" s="43"/>
      <c r="AH439" s="43"/>
      <c r="AI439" s="43"/>
    </row>
    <row r="440" spans="1:35" x14ac:dyDescent="0.25">
      <c r="A440" s="115" t="s">
        <v>718</v>
      </c>
      <c r="B440" s="115"/>
      <c r="C440" s="115">
        <v>0.308</v>
      </c>
      <c r="D440" s="115">
        <v>0.113</v>
      </c>
      <c r="E440" s="115">
        <v>0.42299999999999999</v>
      </c>
      <c r="F440" s="115">
        <v>0.312</v>
      </c>
      <c r="G440" s="115">
        <v>0.55000000000000004</v>
      </c>
      <c r="H440" s="115">
        <v>0.81899999999999995</v>
      </c>
      <c r="I440" s="115">
        <v>1.0680000000000001</v>
      </c>
      <c r="J440" s="115">
        <v>0.67100000000000004</v>
      </c>
      <c r="K440" s="115">
        <v>0.94899999999999995</v>
      </c>
      <c r="L440" s="115">
        <v>0.84499999999999997</v>
      </c>
      <c r="M440" s="115">
        <v>0.71699999999999997</v>
      </c>
      <c r="N440" s="115">
        <v>0.60599999999999998</v>
      </c>
      <c r="O440" s="115">
        <v>0.51</v>
      </c>
      <c r="P440" s="115">
        <v>0.35099999999999998</v>
      </c>
      <c r="Q440" s="115">
        <v>0.27100000000000002</v>
      </c>
      <c r="R440" s="115">
        <v>0.191</v>
      </c>
      <c r="S440" s="115">
        <v>0.107</v>
      </c>
      <c r="T440" s="115">
        <v>0.157</v>
      </c>
      <c r="U440" s="115">
        <v>0.157</v>
      </c>
      <c r="V440" s="115">
        <v>0.157</v>
      </c>
      <c r="W440" s="115">
        <v>0.34100000000000003</v>
      </c>
      <c r="X440" s="115">
        <v>0.157</v>
      </c>
      <c r="Y440" s="115">
        <v>0.45200000000000001</v>
      </c>
      <c r="Z440" s="115">
        <v>0.34699999999999998</v>
      </c>
      <c r="AA440" s="115">
        <v>0.57499999999999996</v>
      </c>
      <c r="AB440" s="115">
        <v>0.83399999999999996</v>
      </c>
      <c r="AC440" s="115">
        <v>1.069</v>
      </c>
      <c r="AD440" s="43"/>
      <c r="AE440" s="43"/>
      <c r="AF440" s="43"/>
      <c r="AG440" s="43"/>
      <c r="AH440" s="43"/>
      <c r="AI440" s="43"/>
    </row>
    <row r="441" spans="1:35" x14ac:dyDescent="0.25">
      <c r="A441" s="115" t="s">
        <v>59</v>
      </c>
      <c r="B441" s="115"/>
      <c r="C441" s="115">
        <v>7.3760000000000003</v>
      </c>
      <c r="D441" s="115">
        <v>4.1319999999999997</v>
      </c>
      <c r="E441" s="115">
        <v>6.282</v>
      </c>
      <c r="F441" s="115">
        <v>6.8289999999999997</v>
      </c>
      <c r="G441" s="115">
        <v>6.3689999999999998</v>
      </c>
      <c r="H441" s="115">
        <v>5.806</v>
      </c>
      <c r="I441" s="115">
        <v>7.2480000000000002</v>
      </c>
      <c r="J441" s="115">
        <v>8.5500000000000007</v>
      </c>
      <c r="K441" s="115">
        <v>8.2110000000000003</v>
      </c>
      <c r="L441" s="115">
        <v>7.6509999999999998</v>
      </c>
      <c r="M441" s="115">
        <v>7.3339999999999996</v>
      </c>
      <c r="N441" s="115">
        <v>6.7160000000000002</v>
      </c>
      <c r="O441" s="115">
        <v>6.79</v>
      </c>
      <c r="P441" s="115">
        <v>9.032</v>
      </c>
      <c r="Q441" s="115">
        <v>8.4559999999999995</v>
      </c>
      <c r="R441" s="115">
        <v>8.0990000000000002</v>
      </c>
      <c r="S441" s="115">
        <v>12.066000000000001</v>
      </c>
      <c r="T441" s="115">
        <v>8.8079999999999998</v>
      </c>
      <c r="U441" s="115">
        <v>8.36</v>
      </c>
      <c r="V441" s="115">
        <v>7.3739999999999997</v>
      </c>
      <c r="W441" s="115">
        <v>7.3040000000000003</v>
      </c>
      <c r="X441" s="115">
        <v>6.9850000000000003</v>
      </c>
      <c r="Y441" s="115">
        <v>6.6719999999999997</v>
      </c>
      <c r="Z441" s="115">
        <v>6.3840000000000003</v>
      </c>
      <c r="AA441" s="115">
        <v>6.1159999999999997</v>
      </c>
      <c r="AB441" s="115">
        <v>5.8620000000000001</v>
      </c>
      <c r="AC441" s="115">
        <v>5.6459999999999999</v>
      </c>
      <c r="AD441" s="43"/>
      <c r="AE441" s="43"/>
      <c r="AF441" s="43"/>
      <c r="AG441" s="43"/>
      <c r="AH441" s="43"/>
      <c r="AI441" s="43"/>
    </row>
    <row r="442" spans="1:35" x14ac:dyDescent="0.25">
      <c r="A442" s="115" t="s">
        <v>769</v>
      </c>
      <c r="B442" s="115"/>
      <c r="C442" s="115">
        <v>12.272</v>
      </c>
      <c r="D442" s="115">
        <v>9.4939999999999998</v>
      </c>
      <c r="E442" s="115">
        <v>10.063000000000001</v>
      </c>
      <c r="F442" s="115">
        <v>10.144</v>
      </c>
      <c r="G442" s="115">
        <v>9.2910000000000004</v>
      </c>
      <c r="H442" s="115">
        <v>8.7439999999999998</v>
      </c>
      <c r="I442" s="115">
        <v>10.202</v>
      </c>
      <c r="J442" s="115">
        <v>9.1489999999999991</v>
      </c>
      <c r="K442" s="115">
        <v>9.3230000000000004</v>
      </c>
      <c r="L442" s="115">
        <v>8.9730000000000008</v>
      </c>
      <c r="M442" s="115">
        <v>8.4600000000000009</v>
      </c>
      <c r="N442" s="115">
        <v>8.0790000000000006</v>
      </c>
      <c r="O442" s="115">
        <v>8.1999999999999993</v>
      </c>
      <c r="P442" s="115">
        <v>7.226</v>
      </c>
      <c r="Q442" s="115">
        <v>7.1219999999999999</v>
      </c>
      <c r="R442" s="115">
        <v>6.9560000000000004</v>
      </c>
      <c r="S442" s="115">
        <v>8.5489999999999995</v>
      </c>
      <c r="T442" s="115">
        <v>7.101</v>
      </c>
      <c r="U442" s="115">
        <v>7.0380000000000003</v>
      </c>
      <c r="V442" s="115">
        <v>6.9729999999999999</v>
      </c>
      <c r="W442" s="115">
        <v>6.891</v>
      </c>
      <c r="X442" s="115">
        <v>6.9210000000000003</v>
      </c>
      <c r="Y442" s="115">
        <v>6.9359999999999999</v>
      </c>
      <c r="Z442" s="115">
        <v>6.9569999999999999</v>
      </c>
      <c r="AA442" s="115">
        <v>6.9749999999999996</v>
      </c>
      <c r="AB442" s="115">
        <v>6.992</v>
      </c>
      <c r="AC442" s="115">
        <v>7.024</v>
      </c>
      <c r="AD442" s="43"/>
      <c r="AE442" s="43"/>
      <c r="AF442" s="43"/>
      <c r="AG442" s="43"/>
      <c r="AH442" s="43"/>
      <c r="AI442" s="43"/>
    </row>
    <row r="443" spans="1:35" x14ac:dyDescent="0.25">
      <c r="A443" s="115" t="s">
        <v>994</v>
      </c>
      <c r="B443" s="115"/>
      <c r="C443" s="115">
        <v>6.9909999999999997</v>
      </c>
      <c r="D443" s="115">
        <v>3.9169999999999998</v>
      </c>
      <c r="E443" s="115">
        <v>5.9539999999999997</v>
      </c>
      <c r="F443" s="115">
        <v>6.4729999999999999</v>
      </c>
      <c r="G443" s="115">
        <v>6.0369999999999999</v>
      </c>
      <c r="H443" s="115">
        <v>5.5039999999999996</v>
      </c>
      <c r="I443" s="115">
        <v>6.87</v>
      </c>
      <c r="J443" s="115">
        <v>8.1050000000000004</v>
      </c>
      <c r="K443" s="115">
        <v>7.7830000000000004</v>
      </c>
      <c r="L443" s="115">
        <v>7.2519999999999998</v>
      </c>
      <c r="M443" s="115">
        <v>6.952</v>
      </c>
      <c r="N443" s="115">
        <v>6.3659999999999997</v>
      </c>
      <c r="O443" s="115">
        <v>6.4359999999999999</v>
      </c>
      <c r="P443" s="115">
        <v>8.5609999999999999</v>
      </c>
      <c r="Q443" s="115">
        <v>8.0150000000000006</v>
      </c>
      <c r="R443" s="115">
        <v>7.6769999999999996</v>
      </c>
      <c r="S443" s="115">
        <v>11.436999999999999</v>
      </c>
      <c r="T443" s="115">
        <v>8.3490000000000002</v>
      </c>
      <c r="U443" s="115">
        <v>7.9240000000000004</v>
      </c>
      <c r="V443" s="115">
        <v>6.9889999999999999</v>
      </c>
      <c r="W443" s="115">
        <v>6.923</v>
      </c>
      <c r="X443" s="115">
        <v>6.6210000000000004</v>
      </c>
      <c r="Y443" s="115">
        <v>6.3250000000000002</v>
      </c>
      <c r="Z443" s="115">
        <v>6.0510000000000002</v>
      </c>
      <c r="AA443" s="115">
        <v>5.7969999999999997</v>
      </c>
      <c r="AB443" s="115">
        <v>5.5570000000000004</v>
      </c>
      <c r="AC443" s="115">
        <v>5.3520000000000003</v>
      </c>
      <c r="AD443" s="43"/>
      <c r="AE443" s="43"/>
      <c r="AF443" s="43"/>
      <c r="AG443" s="43"/>
      <c r="AH443" s="43"/>
      <c r="AI443" s="43"/>
    </row>
    <row r="444" spans="1:35" x14ac:dyDescent="0.25">
      <c r="A444" s="115" t="s">
        <v>719</v>
      </c>
      <c r="B444" s="115"/>
      <c r="C444" s="115">
        <v>3.8540000000000001</v>
      </c>
      <c r="D444" s="115">
        <v>4.8730000000000002</v>
      </c>
      <c r="E444" s="115">
        <v>4.032</v>
      </c>
      <c r="F444" s="115">
        <v>4.0010000000000003</v>
      </c>
      <c r="G444" s="115">
        <v>3.3620000000000001</v>
      </c>
      <c r="H444" s="115">
        <v>2.6539999999999999</v>
      </c>
      <c r="I444" s="115">
        <v>2.0089999999999999</v>
      </c>
      <c r="J444" s="115">
        <v>2.8039999999999998</v>
      </c>
      <c r="K444" s="115">
        <v>2.097</v>
      </c>
      <c r="L444" s="115">
        <v>2.2410000000000001</v>
      </c>
      <c r="M444" s="115">
        <v>2.4340000000000002</v>
      </c>
      <c r="N444" s="115">
        <v>2.585</v>
      </c>
      <c r="O444" s="115">
        <v>2.218</v>
      </c>
      <c r="P444" s="115">
        <v>2.5</v>
      </c>
      <c r="Q444" s="115">
        <v>2.6269999999999998</v>
      </c>
      <c r="R444" s="115">
        <v>2.1120000000000001</v>
      </c>
      <c r="S444" s="115">
        <v>2.8370000000000002</v>
      </c>
      <c r="T444" s="115">
        <v>2.2839999999999998</v>
      </c>
      <c r="U444" s="115">
        <v>2.2599999999999998</v>
      </c>
      <c r="V444" s="115">
        <v>1.883</v>
      </c>
      <c r="W444" s="115">
        <v>1.425</v>
      </c>
      <c r="X444" s="115">
        <v>1.0580000000000001</v>
      </c>
      <c r="Y444" s="115">
        <v>1.4910000000000001</v>
      </c>
      <c r="Z444" s="115">
        <v>1.087</v>
      </c>
      <c r="AA444" s="115">
        <v>1.155</v>
      </c>
      <c r="AB444" s="115">
        <v>1.25</v>
      </c>
      <c r="AC444" s="115">
        <v>1.329</v>
      </c>
      <c r="AD444" s="43"/>
      <c r="AE444" s="43"/>
      <c r="AF444" s="43"/>
      <c r="AG444" s="43"/>
      <c r="AH444" s="43"/>
      <c r="AI444" s="43"/>
    </row>
    <row r="445" spans="1:35" x14ac:dyDescent="0.25">
      <c r="A445" s="115" t="s">
        <v>720</v>
      </c>
      <c r="B445" s="115"/>
      <c r="C445" s="115">
        <v>0</v>
      </c>
      <c r="D445" s="115">
        <v>0</v>
      </c>
      <c r="E445" s="115">
        <v>0</v>
      </c>
      <c r="F445" s="115">
        <v>0</v>
      </c>
      <c r="G445" s="115">
        <v>0</v>
      </c>
      <c r="H445" s="115">
        <v>0</v>
      </c>
      <c r="I445" s="115">
        <v>0</v>
      </c>
      <c r="J445" s="115">
        <v>0</v>
      </c>
      <c r="K445" s="115">
        <v>0</v>
      </c>
      <c r="L445" s="115">
        <v>0</v>
      </c>
      <c r="M445" s="115">
        <v>0</v>
      </c>
      <c r="N445" s="115">
        <v>0</v>
      </c>
      <c r="O445" s="115">
        <v>0</v>
      </c>
      <c r="P445" s="115">
        <v>0</v>
      </c>
      <c r="Q445" s="115">
        <v>0</v>
      </c>
      <c r="R445" s="115">
        <v>0</v>
      </c>
      <c r="S445" s="115">
        <v>0</v>
      </c>
      <c r="T445" s="115">
        <v>0</v>
      </c>
      <c r="U445" s="115">
        <v>0</v>
      </c>
      <c r="V445" s="115">
        <v>0</v>
      </c>
      <c r="W445" s="115">
        <v>0</v>
      </c>
      <c r="X445" s="115">
        <v>0</v>
      </c>
      <c r="Y445" s="115">
        <v>0</v>
      </c>
      <c r="Z445" s="115">
        <v>0</v>
      </c>
      <c r="AA445" s="115">
        <v>0</v>
      </c>
      <c r="AB445" s="115">
        <v>0</v>
      </c>
      <c r="AC445" s="115">
        <v>0</v>
      </c>
      <c r="AD445" s="43"/>
      <c r="AE445" s="43"/>
      <c r="AF445" s="43"/>
      <c r="AG445" s="43"/>
      <c r="AH445" s="43"/>
      <c r="AI445" s="43"/>
    </row>
    <row r="446" spans="1:35" x14ac:dyDescent="0.25">
      <c r="A446" s="115" t="s">
        <v>705</v>
      </c>
      <c r="B446" s="115"/>
      <c r="C446" s="115">
        <v>2.8220000000000001</v>
      </c>
      <c r="D446" s="115">
        <v>1.6970000000000001</v>
      </c>
      <c r="E446" s="115">
        <v>2.1269999999999998</v>
      </c>
      <c r="F446" s="115">
        <v>2.2549999999999999</v>
      </c>
      <c r="G446" s="115">
        <v>2.2330000000000001</v>
      </c>
      <c r="H446" s="115">
        <v>2.1549999999999998</v>
      </c>
      <c r="I446" s="115">
        <v>2.2679999999999998</v>
      </c>
      <c r="J446" s="115">
        <v>2.5649999999999999</v>
      </c>
      <c r="K446" s="115">
        <v>2.496</v>
      </c>
      <c r="L446" s="115">
        <v>2.4449999999999998</v>
      </c>
      <c r="M446" s="115">
        <v>2.4710000000000001</v>
      </c>
      <c r="N446" s="115">
        <v>2.3690000000000002</v>
      </c>
      <c r="O446" s="115">
        <v>2.4009999999999998</v>
      </c>
      <c r="P446" s="115">
        <v>3.379</v>
      </c>
      <c r="Q446" s="115">
        <v>3.2189999999999999</v>
      </c>
      <c r="R446" s="115">
        <v>3.1240000000000001</v>
      </c>
      <c r="S446" s="115">
        <v>4.1959999999999997</v>
      </c>
      <c r="T446" s="115">
        <v>3.863</v>
      </c>
      <c r="U446" s="115">
        <v>3.6909999999999998</v>
      </c>
      <c r="V446" s="115">
        <v>3.3250000000000002</v>
      </c>
      <c r="W446" s="115">
        <v>3.282</v>
      </c>
      <c r="X446" s="115">
        <v>3.1589999999999998</v>
      </c>
      <c r="Y446" s="115">
        <v>3.0390000000000001</v>
      </c>
      <c r="Z446" s="115">
        <v>2.9260000000000002</v>
      </c>
      <c r="AA446" s="115">
        <v>2.82</v>
      </c>
      <c r="AB446" s="115">
        <v>2.72</v>
      </c>
      <c r="AC446" s="115">
        <v>2.6240000000000001</v>
      </c>
      <c r="AD446" s="43"/>
      <c r="AE446" s="43"/>
      <c r="AF446" s="43"/>
      <c r="AG446" s="43"/>
      <c r="AH446" s="43"/>
      <c r="AI446" s="43"/>
    </row>
    <row r="447" spans="1:35" x14ac:dyDescent="0.25">
      <c r="A447" s="115" t="s">
        <v>60</v>
      </c>
      <c r="B447" s="115"/>
      <c r="C447" s="115">
        <v>22.382999999999999</v>
      </c>
      <c r="D447" s="115">
        <v>18.137</v>
      </c>
      <c r="E447" s="115">
        <v>19.199000000000002</v>
      </c>
      <c r="F447" s="115">
        <v>20.154</v>
      </c>
      <c r="G447" s="115">
        <v>18.838000000000001</v>
      </c>
      <c r="H447" s="115">
        <v>17.324000000000002</v>
      </c>
      <c r="I447" s="115">
        <v>17.885999999999999</v>
      </c>
      <c r="J447" s="115">
        <v>20.459</v>
      </c>
      <c r="K447" s="115">
        <v>19.163</v>
      </c>
      <c r="L447" s="115">
        <v>18.896999999999998</v>
      </c>
      <c r="M447" s="115">
        <v>18.943999999999999</v>
      </c>
      <c r="N447" s="115">
        <v>18.638999999999999</v>
      </c>
      <c r="O447" s="115">
        <v>17.137</v>
      </c>
      <c r="P447" s="115">
        <v>19.902999999999999</v>
      </c>
      <c r="Q447" s="115">
        <v>19.579999999999998</v>
      </c>
      <c r="R447" s="115">
        <v>18.219000000000001</v>
      </c>
      <c r="S447" s="115">
        <v>23.565999999999999</v>
      </c>
      <c r="T447" s="115">
        <v>19.158999999999999</v>
      </c>
      <c r="U447" s="115">
        <v>18.637</v>
      </c>
      <c r="V447" s="115">
        <v>16.905000000000001</v>
      </c>
      <c r="W447" s="115">
        <v>19.658000000000001</v>
      </c>
      <c r="X447" s="115">
        <v>17.600000000000001</v>
      </c>
      <c r="Y447" s="115">
        <v>17.931000000000001</v>
      </c>
      <c r="Z447" s="115">
        <v>17.331</v>
      </c>
      <c r="AA447" s="115">
        <v>17.039000000000001</v>
      </c>
      <c r="AB447" s="115">
        <v>16.78</v>
      </c>
      <c r="AC447" s="115">
        <v>16.524999999999999</v>
      </c>
      <c r="AD447" s="43"/>
      <c r="AE447" s="43"/>
      <c r="AF447" s="43"/>
      <c r="AG447" s="43"/>
      <c r="AH447" s="43"/>
      <c r="AI447" s="43"/>
    </row>
    <row r="448" spans="1:35" x14ac:dyDescent="0.25">
      <c r="A448" s="115" t="s">
        <v>768</v>
      </c>
      <c r="B448" s="115"/>
      <c r="C448" s="115">
        <v>9.3989999999999991</v>
      </c>
      <c r="D448" s="115">
        <v>8.1790000000000003</v>
      </c>
      <c r="E448" s="115">
        <v>8.0150000000000006</v>
      </c>
      <c r="F448" s="115">
        <v>8.2710000000000008</v>
      </c>
      <c r="G448" s="115">
        <v>7.7130000000000001</v>
      </c>
      <c r="H448" s="115">
        <v>7.1689999999999996</v>
      </c>
      <c r="I448" s="115">
        <v>7.2759999999999998</v>
      </c>
      <c r="J448" s="115">
        <v>7.641</v>
      </c>
      <c r="K448" s="115">
        <v>7.3129999999999997</v>
      </c>
      <c r="L448" s="115">
        <v>7.3040000000000003</v>
      </c>
      <c r="M448" s="115">
        <v>7.3040000000000003</v>
      </c>
      <c r="N448" s="115">
        <v>7.2919999999999998</v>
      </c>
      <c r="O448" s="115">
        <v>7.4109999999999996</v>
      </c>
      <c r="P448" s="115">
        <v>7.274</v>
      </c>
      <c r="Q448" s="115">
        <v>7.3289999999999997</v>
      </c>
      <c r="R448" s="115">
        <v>7.359</v>
      </c>
      <c r="S448" s="115">
        <v>8.2129999999999992</v>
      </c>
      <c r="T448" s="115">
        <v>7.4509999999999996</v>
      </c>
      <c r="U448" s="115">
        <v>7.4269999999999996</v>
      </c>
      <c r="V448" s="115">
        <v>7.3940000000000001</v>
      </c>
      <c r="W448" s="115">
        <v>7.5209999999999999</v>
      </c>
      <c r="X448" s="115">
        <v>7.6280000000000001</v>
      </c>
      <c r="Y448" s="115">
        <v>7.194</v>
      </c>
      <c r="Z448" s="115">
        <v>7.383</v>
      </c>
      <c r="AA448" s="115">
        <v>7.0519999999999996</v>
      </c>
      <c r="AB448" s="115">
        <v>6.6970000000000001</v>
      </c>
      <c r="AC448" s="115">
        <v>6.3979999999999997</v>
      </c>
      <c r="AD448" s="43"/>
      <c r="AE448" s="43"/>
      <c r="AF448" s="43"/>
      <c r="AG448" s="43"/>
      <c r="AH448" s="43"/>
      <c r="AI448" s="43"/>
    </row>
    <row r="449" spans="1:35" x14ac:dyDescent="0.25">
      <c r="A449" s="115" t="s">
        <v>1149</v>
      </c>
      <c r="B449" s="115"/>
      <c r="C449" s="115">
        <v>2.0870000000000002</v>
      </c>
      <c r="D449" s="115">
        <v>1.9059999999999999</v>
      </c>
      <c r="E449" s="115">
        <v>1.5860000000000001</v>
      </c>
      <c r="F449" s="115">
        <v>1.7490000000000001</v>
      </c>
      <c r="G449" s="115">
        <v>1.49</v>
      </c>
      <c r="H449" s="115">
        <v>1.1930000000000001</v>
      </c>
      <c r="I449" s="115">
        <v>0.96899999999999997</v>
      </c>
      <c r="J449" s="115">
        <v>1.3169999999999999</v>
      </c>
      <c r="K449" s="115">
        <v>1.048</v>
      </c>
      <c r="L449" s="115">
        <v>1.1060000000000001</v>
      </c>
      <c r="M449" s="115">
        <v>1.19</v>
      </c>
      <c r="N449" s="115">
        <v>1.2629999999999999</v>
      </c>
      <c r="O449" s="115">
        <v>1.4730000000000001</v>
      </c>
      <c r="P449" s="115">
        <v>1.581</v>
      </c>
      <c r="Q449" s="115">
        <v>1.617</v>
      </c>
      <c r="R449" s="115">
        <v>1.482</v>
      </c>
      <c r="S449" s="115">
        <v>2.4700000000000002</v>
      </c>
      <c r="T449" s="115">
        <v>1.6319999999999999</v>
      </c>
      <c r="U449" s="115">
        <v>1.5880000000000001</v>
      </c>
      <c r="V449" s="115">
        <v>1.4530000000000001</v>
      </c>
      <c r="W449" s="115">
        <v>1.593</v>
      </c>
      <c r="X449" s="115">
        <v>1.3740000000000001</v>
      </c>
      <c r="Y449" s="115">
        <v>1.492</v>
      </c>
      <c r="Z449" s="115">
        <v>1.3879999999999999</v>
      </c>
      <c r="AA449" s="115">
        <v>1.403</v>
      </c>
      <c r="AB449" s="115">
        <v>1.4259999999999999</v>
      </c>
      <c r="AC449" s="115">
        <v>1.4419999999999999</v>
      </c>
      <c r="AD449" s="43"/>
      <c r="AE449" s="43"/>
      <c r="AF449" s="43"/>
      <c r="AG449" s="43"/>
      <c r="AH449" s="43"/>
      <c r="AI449" s="43"/>
    </row>
    <row r="450" spans="1:35" x14ac:dyDescent="0.25">
      <c r="A450" s="115" t="s">
        <v>1150</v>
      </c>
      <c r="B450" s="115"/>
      <c r="C450" s="115">
        <v>2.8650000000000002</v>
      </c>
      <c r="D450" s="115">
        <v>2.754</v>
      </c>
      <c r="E450" s="115">
        <v>2.605</v>
      </c>
      <c r="F450" s="115">
        <v>2.5950000000000002</v>
      </c>
      <c r="G450" s="115">
        <v>2.1349999999999998</v>
      </c>
      <c r="H450" s="115">
        <v>1.649</v>
      </c>
      <c r="I450" s="115">
        <v>1.2010000000000001</v>
      </c>
      <c r="J450" s="115">
        <v>2.7130000000000001</v>
      </c>
      <c r="K450" s="115">
        <v>2.0720000000000001</v>
      </c>
      <c r="L450" s="115">
        <v>1.952</v>
      </c>
      <c r="M450" s="115">
        <v>1.9159999999999999</v>
      </c>
      <c r="N450" s="115">
        <v>1.9039999999999999</v>
      </c>
      <c r="O450" s="115">
        <v>1.7829999999999999</v>
      </c>
      <c r="P450" s="115">
        <v>3.4119999999999999</v>
      </c>
      <c r="Q450" s="115">
        <v>3.3029999999999999</v>
      </c>
      <c r="R450" s="115">
        <v>3.0179999999999998</v>
      </c>
      <c r="S450" s="115">
        <v>3.3239999999999998</v>
      </c>
      <c r="T450" s="115">
        <v>2.8010000000000002</v>
      </c>
      <c r="U450" s="115">
        <v>2.6819999999999999</v>
      </c>
      <c r="V450" s="115">
        <v>2.456</v>
      </c>
      <c r="W450" s="115">
        <v>2.4820000000000002</v>
      </c>
      <c r="X450" s="115">
        <v>2.1579999999999999</v>
      </c>
      <c r="Y450" s="115">
        <v>2.2839999999999998</v>
      </c>
      <c r="Z450" s="115">
        <v>2.1309999999999998</v>
      </c>
      <c r="AA450" s="115">
        <v>2.1309999999999998</v>
      </c>
      <c r="AB450" s="115">
        <v>2.15</v>
      </c>
      <c r="AC450" s="115">
        <v>2.1669999999999998</v>
      </c>
      <c r="AD450" s="43"/>
      <c r="AE450" s="43"/>
      <c r="AF450" s="43"/>
      <c r="AG450" s="43"/>
      <c r="AH450" s="43"/>
      <c r="AI450" s="43"/>
    </row>
    <row r="451" spans="1:35" x14ac:dyDescent="0.25">
      <c r="A451" s="115" t="s">
        <v>1151</v>
      </c>
      <c r="B451" s="115"/>
      <c r="C451" s="115">
        <v>1.4650000000000001</v>
      </c>
      <c r="D451" s="115">
        <v>1.784</v>
      </c>
      <c r="E451" s="115">
        <v>1.847</v>
      </c>
      <c r="F451" s="115">
        <v>2.1469999999999998</v>
      </c>
      <c r="G451" s="115">
        <v>2.11</v>
      </c>
      <c r="H451" s="115">
        <v>1.8859999999999999</v>
      </c>
      <c r="I451" s="115">
        <v>1.66</v>
      </c>
      <c r="J451" s="115">
        <v>2.0760000000000001</v>
      </c>
      <c r="K451" s="115">
        <v>1.8440000000000001</v>
      </c>
      <c r="L451" s="115">
        <v>2.0150000000000001</v>
      </c>
      <c r="M451" s="115">
        <v>2.3170000000000002</v>
      </c>
      <c r="N451" s="115">
        <v>2.4569999999999999</v>
      </c>
      <c r="O451" s="115">
        <v>2.3359999999999999</v>
      </c>
      <c r="P451" s="115">
        <v>2.2669999999999999</v>
      </c>
      <c r="Q451" s="115">
        <v>2.4060000000000001</v>
      </c>
      <c r="R451" s="115">
        <v>2.4649999999999999</v>
      </c>
      <c r="S451" s="115">
        <v>2.9220000000000002</v>
      </c>
      <c r="T451" s="115">
        <v>2.5990000000000002</v>
      </c>
      <c r="U451" s="115">
        <v>2.6459999999999999</v>
      </c>
      <c r="V451" s="115">
        <v>2.306</v>
      </c>
      <c r="W451" s="115">
        <v>2.4670000000000001</v>
      </c>
      <c r="X451" s="115">
        <v>2.2069999999999999</v>
      </c>
      <c r="Y451" s="115">
        <v>2.39</v>
      </c>
      <c r="Z451" s="115">
        <v>2.1890000000000001</v>
      </c>
      <c r="AA451" s="115">
        <v>2.2269999999999999</v>
      </c>
      <c r="AB451" s="115">
        <v>2.286</v>
      </c>
      <c r="AC451" s="115">
        <v>2.3370000000000002</v>
      </c>
      <c r="AD451" s="43"/>
      <c r="AE451" s="43"/>
      <c r="AF451" s="43"/>
      <c r="AG451" s="43"/>
      <c r="AH451" s="43"/>
      <c r="AI451" s="43"/>
    </row>
    <row r="452" spans="1:35" x14ac:dyDescent="0.25">
      <c r="A452" s="115" t="s">
        <v>1152</v>
      </c>
      <c r="B452" s="115"/>
      <c r="C452" s="115">
        <v>12.920999999999999</v>
      </c>
      <c r="D452" s="115">
        <v>9.1219999999999999</v>
      </c>
      <c r="E452" s="115">
        <v>9.1649999999999991</v>
      </c>
      <c r="F452" s="115">
        <v>9.9870000000000001</v>
      </c>
      <c r="G452" s="115">
        <v>9.7949999999999999</v>
      </c>
      <c r="H452" s="115">
        <v>9.6419999999999995</v>
      </c>
      <c r="I452" s="115">
        <v>11.263</v>
      </c>
      <c r="J452" s="115">
        <v>11.023</v>
      </c>
      <c r="K452" s="115">
        <v>11.048</v>
      </c>
      <c r="L452" s="115">
        <v>10.759</v>
      </c>
      <c r="M452" s="115">
        <v>10.474</v>
      </c>
      <c r="N452" s="115">
        <v>10.194000000000001</v>
      </c>
      <c r="O452" s="115">
        <v>8.9540000000000006</v>
      </c>
      <c r="P452" s="115">
        <v>8.7509999999999994</v>
      </c>
      <c r="Q452" s="115">
        <v>8.5310000000000006</v>
      </c>
      <c r="R452" s="115">
        <v>7.8070000000000004</v>
      </c>
      <c r="S452" s="115">
        <v>11.169</v>
      </c>
      <c r="T452" s="115">
        <v>9.0039999999999996</v>
      </c>
      <c r="U452" s="115">
        <v>8.7319999999999993</v>
      </c>
      <c r="V452" s="115">
        <v>8.2200000000000006</v>
      </c>
      <c r="W452" s="115">
        <v>10.337999999999999</v>
      </c>
      <c r="X452" s="115">
        <v>9.3230000000000004</v>
      </c>
      <c r="Y452" s="115">
        <v>9.2579999999999991</v>
      </c>
      <c r="Z452" s="115">
        <v>9.1820000000000004</v>
      </c>
      <c r="AA452" s="115">
        <v>8.9239999999999995</v>
      </c>
      <c r="AB452" s="115">
        <v>8.6539999999999999</v>
      </c>
      <c r="AC452" s="115">
        <v>8.4030000000000005</v>
      </c>
      <c r="AD452" s="43"/>
      <c r="AE452" s="43"/>
      <c r="AF452" s="43"/>
      <c r="AG452" s="43"/>
      <c r="AH452" s="43"/>
      <c r="AI452" s="43"/>
    </row>
    <row r="453" spans="1:35" x14ac:dyDescent="0.25">
      <c r="A453" s="115" t="s">
        <v>1153</v>
      </c>
      <c r="B453" s="115"/>
      <c r="C453" s="115">
        <v>2.4870000000000001</v>
      </c>
      <c r="D453" s="115">
        <v>1.925</v>
      </c>
      <c r="E453" s="115">
        <v>3.22</v>
      </c>
      <c r="F453" s="115">
        <v>2.78</v>
      </c>
      <c r="G453" s="115">
        <v>2.423</v>
      </c>
      <c r="H453" s="115">
        <v>2.15</v>
      </c>
      <c r="I453" s="115">
        <v>1.944</v>
      </c>
      <c r="J453" s="115">
        <v>2.4119999999999999</v>
      </c>
      <c r="K453" s="115">
        <v>2.13</v>
      </c>
      <c r="L453" s="115">
        <v>1.9059999999999999</v>
      </c>
      <c r="M453" s="115">
        <v>1.74</v>
      </c>
      <c r="N453" s="115">
        <v>1.617</v>
      </c>
      <c r="O453" s="115">
        <v>1.361</v>
      </c>
      <c r="P453" s="115">
        <v>2.74</v>
      </c>
      <c r="Q453" s="115">
        <v>2.6040000000000001</v>
      </c>
      <c r="R453" s="115">
        <v>2.3919999999999999</v>
      </c>
      <c r="S453" s="115">
        <v>2.5049999999999999</v>
      </c>
      <c r="T453" s="115">
        <v>2.153</v>
      </c>
      <c r="U453" s="115">
        <v>2.0470000000000002</v>
      </c>
      <c r="V453" s="115">
        <v>1.9019999999999999</v>
      </c>
      <c r="W453" s="115">
        <v>2.1160000000000001</v>
      </c>
      <c r="X453" s="115">
        <v>1.93</v>
      </c>
      <c r="Y453" s="115">
        <v>1.8839999999999999</v>
      </c>
      <c r="Z453" s="115">
        <v>1.8420000000000001</v>
      </c>
      <c r="AA453" s="115">
        <v>1.766</v>
      </c>
      <c r="AB453" s="115">
        <v>1.6890000000000001</v>
      </c>
      <c r="AC453" s="115">
        <v>1.615</v>
      </c>
      <c r="AD453" s="43"/>
      <c r="AE453" s="43"/>
      <c r="AF453" s="43"/>
      <c r="AG453" s="43"/>
      <c r="AH453" s="43"/>
      <c r="AI453" s="43"/>
    </row>
    <row r="454" spans="1:35" x14ac:dyDescent="0.25">
      <c r="A454" s="115" t="s">
        <v>1154</v>
      </c>
      <c r="B454" s="115"/>
      <c r="C454" s="115">
        <v>0.55700000000000005</v>
      </c>
      <c r="D454" s="115">
        <v>0.64600000000000002</v>
      </c>
      <c r="E454" s="115">
        <v>0.77700000000000002</v>
      </c>
      <c r="F454" s="115">
        <v>0.89600000000000002</v>
      </c>
      <c r="G454" s="115">
        <v>0.88500000000000001</v>
      </c>
      <c r="H454" s="115">
        <v>0.80300000000000005</v>
      </c>
      <c r="I454" s="115">
        <v>0.84799999999999998</v>
      </c>
      <c r="J454" s="115">
        <v>0.91800000000000004</v>
      </c>
      <c r="K454" s="115">
        <v>1.0209999999999999</v>
      </c>
      <c r="L454" s="115">
        <v>1.1579999999999999</v>
      </c>
      <c r="M454" s="115">
        <v>1.3069999999999999</v>
      </c>
      <c r="N454" s="115">
        <v>1.2030000000000001</v>
      </c>
      <c r="O454" s="115">
        <v>1.2290000000000001</v>
      </c>
      <c r="P454" s="115">
        <v>1.153</v>
      </c>
      <c r="Q454" s="115">
        <v>1.119</v>
      </c>
      <c r="R454" s="115">
        <v>1.056</v>
      </c>
      <c r="S454" s="115">
        <v>1.1759999999999999</v>
      </c>
      <c r="T454" s="115">
        <v>0.97099999999999997</v>
      </c>
      <c r="U454" s="115">
        <v>0.94199999999999995</v>
      </c>
      <c r="V454" s="115">
        <v>0.56699999999999995</v>
      </c>
      <c r="W454" s="115">
        <v>0.66100000000000003</v>
      </c>
      <c r="X454" s="115">
        <v>0.60699999999999998</v>
      </c>
      <c r="Y454" s="115">
        <v>0.622</v>
      </c>
      <c r="Z454" s="115">
        <v>0.6</v>
      </c>
      <c r="AA454" s="115">
        <v>0.58799999999999997</v>
      </c>
      <c r="AB454" s="115">
        <v>0.57499999999999996</v>
      </c>
      <c r="AC454" s="115">
        <v>0.56100000000000005</v>
      </c>
      <c r="AD454" s="43"/>
      <c r="AE454" s="43"/>
      <c r="AF454" s="43"/>
      <c r="AG454" s="43"/>
      <c r="AH454" s="43"/>
      <c r="AI454" s="43"/>
    </row>
    <row r="455" spans="1:35" x14ac:dyDescent="0.25">
      <c r="A455" s="115" t="s">
        <v>995</v>
      </c>
      <c r="B455" s="115"/>
      <c r="C455" s="115">
        <v>21.216000000000001</v>
      </c>
      <c r="D455" s="115">
        <v>17.190999999999999</v>
      </c>
      <c r="E455" s="115">
        <v>18.199000000000002</v>
      </c>
      <c r="F455" s="115">
        <v>19.103000000000002</v>
      </c>
      <c r="G455" s="115">
        <v>17.856000000000002</v>
      </c>
      <c r="H455" s="115">
        <v>16.420999999999999</v>
      </c>
      <c r="I455" s="115">
        <v>16.952999999999999</v>
      </c>
      <c r="J455" s="115">
        <v>19.391999999999999</v>
      </c>
      <c r="K455" s="115">
        <v>18.164000000000001</v>
      </c>
      <c r="L455" s="115">
        <v>17.911999999999999</v>
      </c>
      <c r="M455" s="115">
        <v>17.956</v>
      </c>
      <c r="N455" s="115">
        <v>17.667000000000002</v>
      </c>
      <c r="O455" s="115">
        <v>16.242999999999999</v>
      </c>
      <c r="P455" s="115">
        <v>18.864999999999998</v>
      </c>
      <c r="Q455" s="115">
        <v>18.559000000000001</v>
      </c>
      <c r="R455" s="115">
        <v>17.27</v>
      </c>
      <c r="S455" s="115">
        <v>22.337</v>
      </c>
      <c r="T455" s="115">
        <v>18.161000000000001</v>
      </c>
      <c r="U455" s="115">
        <v>17.664999999999999</v>
      </c>
      <c r="V455" s="115">
        <v>16.023</v>
      </c>
      <c r="W455" s="115">
        <v>18.632999999999999</v>
      </c>
      <c r="X455" s="115">
        <v>16.683</v>
      </c>
      <c r="Y455" s="115">
        <v>16.997</v>
      </c>
      <c r="Z455" s="115">
        <v>16.428000000000001</v>
      </c>
      <c r="AA455" s="115">
        <v>16.151</v>
      </c>
      <c r="AB455" s="115">
        <v>15.906000000000001</v>
      </c>
      <c r="AC455" s="115">
        <v>15.663</v>
      </c>
      <c r="AD455" s="43"/>
      <c r="AE455" s="43"/>
      <c r="AF455" s="43"/>
      <c r="AG455" s="43"/>
      <c r="AH455" s="43"/>
      <c r="AI455" s="43"/>
    </row>
    <row r="456" spans="1:35" x14ac:dyDescent="0.25">
      <c r="A456" s="115" t="s">
        <v>996</v>
      </c>
      <c r="B456" s="115"/>
      <c r="C456" s="115">
        <v>8.9090000000000007</v>
      </c>
      <c r="D456" s="115">
        <v>7.7530000000000001</v>
      </c>
      <c r="E456" s="115">
        <v>7.5970000000000004</v>
      </c>
      <c r="F456" s="115">
        <v>7.84</v>
      </c>
      <c r="G456" s="115">
        <v>7.3109999999999999</v>
      </c>
      <c r="H456" s="115">
        <v>6.7949999999999999</v>
      </c>
      <c r="I456" s="115">
        <v>6.8970000000000002</v>
      </c>
      <c r="J456" s="115">
        <v>7.2430000000000003</v>
      </c>
      <c r="K456" s="115">
        <v>6.931</v>
      </c>
      <c r="L456" s="115">
        <v>6.923</v>
      </c>
      <c r="M456" s="115">
        <v>6.9240000000000004</v>
      </c>
      <c r="N456" s="115">
        <v>6.9119999999999999</v>
      </c>
      <c r="O456" s="115">
        <v>7.0250000000000004</v>
      </c>
      <c r="P456" s="115">
        <v>6.8940000000000001</v>
      </c>
      <c r="Q456" s="115">
        <v>6.9459999999999997</v>
      </c>
      <c r="R456" s="115">
        <v>6.976</v>
      </c>
      <c r="S456" s="115">
        <v>7.7850000000000001</v>
      </c>
      <c r="T456" s="115">
        <v>7.0620000000000003</v>
      </c>
      <c r="U456" s="115">
        <v>7.04</v>
      </c>
      <c r="V456" s="115">
        <v>7.008</v>
      </c>
      <c r="W456" s="115">
        <v>7.1280000000000001</v>
      </c>
      <c r="X456" s="115">
        <v>7.23</v>
      </c>
      <c r="Y456" s="115">
        <v>6.819</v>
      </c>
      <c r="Z456" s="115">
        <v>6.9980000000000002</v>
      </c>
      <c r="AA456" s="115">
        <v>6.6849999999999996</v>
      </c>
      <c r="AB456" s="115">
        <v>6.3479999999999999</v>
      </c>
      <c r="AC456" s="115">
        <v>6.0640000000000001</v>
      </c>
      <c r="AD456" s="43"/>
      <c r="AE456" s="43"/>
      <c r="AF456" s="43"/>
      <c r="AG456" s="43"/>
      <c r="AH456" s="43"/>
      <c r="AI456" s="43"/>
    </row>
    <row r="457" spans="1:35" x14ac:dyDescent="0.25">
      <c r="A457" s="115" t="s">
        <v>704</v>
      </c>
      <c r="B457" s="115"/>
      <c r="C457" s="115">
        <v>3.2429999999999999</v>
      </c>
      <c r="D457" s="115">
        <v>1.593</v>
      </c>
      <c r="E457" s="115">
        <v>2.984</v>
      </c>
      <c r="F457" s="115">
        <v>3.3</v>
      </c>
      <c r="G457" s="115">
        <v>2.8660000000000001</v>
      </c>
      <c r="H457" s="115">
        <v>2.4380000000000002</v>
      </c>
      <c r="I457" s="115">
        <v>3.6840000000000002</v>
      </c>
      <c r="J457" s="115">
        <v>4.2869999999999999</v>
      </c>
      <c r="K457" s="115">
        <v>4.0720000000000001</v>
      </c>
      <c r="L457" s="115">
        <v>3.6219999999999999</v>
      </c>
      <c r="M457" s="115">
        <v>3.2629999999999999</v>
      </c>
      <c r="N457" s="115">
        <v>2.8250000000000002</v>
      </c>
      <c r="O457" s="115">
        <v>2.8359999999999999</v>
      </c>
      <c r="P457" s="115">
        <v>3.35</v>
      </c>
      <c r="Q457" s="115">
        <v>3.0590000000000002</v>
      </c>
      <c r="R457" s="115">
        <v>2.855</v>
      </c>
      <c r="S457" s="115">
        <v>4.9889999999999999</v>
      </c>
      <c r="T457" s="115">
        <v>2.6030000000000002</v>
      </c>
      <c r="U457" s="115">
        <v>2.4350000000000001</v>
      </c>
      <c r="V457" s="115">
        <v>2.0699999999999998</v>
      </c>
      <c r="W457" s="115">
        <v>2.0419999999999998</v>
      </c>
      <c r="X457" s="115">
        <v>1.9350000000000001</v>
      </c>
      <c r="Y457" s="115">
        <v>1.829</v>
      </c>
      <c r="Z457" s="115">
        <v>1.7330000000000001</v>
      </c>
      <c r="AA457" s="115">
        <v>1.645</v>
      </c>
      <c r="AB457" s="115">
        <v>1.5620000000000001</v>
      </c>
      <c r="AC457" s="115">
        <v>1.48</v>
      </c>
      <c r="AD457" s="43"/>
      <c r="AE457" s="43"/>
      <c r="AF457" s="43"/>
      <c r="AG457" s="43"/>
      <c r="AH457" s="43"/>
      <c r="AI457" s="43"/>
    </row>
    <row r="458" spans="1:35" x14ac:dyDescent="0.25">
      <c r="A458" s="115" t="s">
        <v>703</v>
      </c>
      <c r="B458" s="115"/>
      <c r="C458" s="115">
        <v>0.98699999999999999</v>
      </c>
      <c r="D458" s="115">
        <v>0.67600000000000005</v>
      </c>
      <c r="E458" s="115">
        <v>0.93500000000000005</v>
      </c>
      <c r="F458" s="115">
        <v>1.0149999999999999</v>
      </c>
      <c r="G458" s="115">
        <v>1.0249999999999999</v>
      </c>
      <c r="H458" s="115">
        <v>0.98799999999999999</v>
      </c>
      <c r="I458" s="115">
        <v>1.04</v>
      </c>
      <c r="J458" s="115">
        <v>1.383</v>
      </c>
      <c r="K458" s="115">
        <v>1.3360000000000001</v>
      </c>
      <c r="L458" s="115">
        <v>1.2949999999999999</v>
      </c>
      <c r="M458" s="115">
        <v>1.3169999999999999</v>
      </c>
      <c r="N458" s="115">
        <v>1.2609999999999999</v>
      </c>
      <c r="O458" s="115">
        <v>1.2829999999999999</v>
      </c>
      <c r="P458" s="115">
        <v>1.915</v>
      </c>
      <c r="Q458" s="115">
        <v>1.8149999999999999</v>
      </c>
      <c r="R458" s="115">
        <v>1.7729999999999999</v>
      </c>
      <c r="S458" s="115">
        <v>2.38</v>
      </c>
      <c r="T458" s="115">
        <v>1.9490000000000001</v>
      </c>
      <c r="U458" s="115">
        <v>1.8620000000000001</v>
      </c>
      <c r="V458" s="115">
        <v>1.653</v>
      </c>
      <c r="W458" s="115">
        <v>1.6559999999999999</v>
      </c>
      <c r="X458" s="115">
        <v>1.581</v>
      </c>
      <c r="Y458" s="115">
        <v>1.5089999999999999</v>
      </c>
      <c r="Z458" s="115">
        <v>1.4419999999999999</v>
      </c>
      <c r="AA458" s="115">
        <v>1.38</v>
      </c>
      <c r="AB458" s="115">
        <v>1.321</v>
      </c>
      <c r="AC458" s="115">
        <v>1.2849999999999999</v>
      </c>
      <c r="AD458" s="43"/>
      <c r="AE458" s="43"/>
      <c r="AF458" s="43"/>
      <c r="AG458" s="43"/>
      <c r="AH458" s="43"/>
      <c r="AI458" s="43"/>
    </row>
    <row r="459" spans="1:35" x14ac:dyDescent="0.25">
      <c r="A459" s="115" t="s">
        <v>721</v>
      </c>
      <c r="B459" s="115"/>
      <c r="C459" s="115">
        <v>2.1349999999999998</v>
      </c>
      <c r="D459" s="115">
        <v>1.9670000000000001</v>
      </c>
      <c r="E459" s="115">
        <v>1.9670000000000001</v>
      </c>
      <c r="F459" s="115">
        <v>1.9830000000000001</v>
      </c>
      <c r="G459" s="115">
        <v>1.984</v>
      </c>
      <c r="H459" s="115">
        <v>1.986</v>
      </c>
      <c r="I459" s="115">
        <v>1.9890000000000001</v>
      </c>
      <c r="J459" s="115">
        <v>1.9950000000000001</v>
      </c>
      <c r="K459" s="115">
        <v>1.998</v>
      </c>
      <c r="L459" s="115">
        <v>2.0009999999999999</v>
      </c>
      <c r="M459" s="115">
        <v>2.004</v>
      </c>
      <c r="N459" s="115">
        <v>2.0070000000000001</v>
      </c>
      <c r="O459" s="115">
        <v>1.9510000000000001</v>
      </c>
      <c r="P459" s="115">
        <v>1.956</v>
      </c>
      <c r="Q459" s="115">
        <v>1.958</v>
      </c>
      <c r="R459" s="115">
        <v>1.9379999999999999</v>
      </c>
      <c r="S459" s="115">
        <v>1.9550000000000001</v>
      </c>
      <c r="T459" s="115">
        <v>1.9339999999999999</v>
      </c>
      <c r="U459" s="115">
        <v>1.9279999999999999</v>
      </c>
      <c r="V459" s="115">
        <v>1.911</v>
      </c>
      <c r="W459" s="115">
        <v>2.16</v>
      </c>
      <c r="X459" s="115">
        <v>1.988</v>
      </c>
      <c r="Y459" s="115">
        <v>1.994</v>
      </c>
      <c r="Z459" s="115">
        <v>1.9930000000000001</v>
      </c>
      <c r="AA459" s="115">
        <v>1.988</v>
      </c>
      <c r="AB459" s="115">
        <v>1.9850000000000001</v>
      </c>
      <c r="AC459" s="115">
        <v>1.9810000000000001</v>
      </c>
      <c r="AD459" s="43"/>
      <c r="AE459" s="43"/>
      <c r="AF459" s="43"/>
      <c r="AG459" s="43"/>
      <c r="AH459" s="43"/>
      <c r="AI459" s="43"/>
    </row>
    <row r="460" spans="1:35" x14ac:dyDescent="0.25">
      <c r="A460" s="115" t="s">
        <v>740</v>
      </c>
      <c r="B460" s="115"/>
      <c r="C460" s="115">
        <v>3.702</v>
      </c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43"/>
      <c r="AE460" s="43"/>
      <c r="AF460" s="43"/>
      <c r="AG460" s="43"/>
      <c r="AH460" s="43"/>
      <c r="AI460" s="43"/>
    </row>
    <row r="461" spans="1:35" x14ac:dyDescent="0.25">
      <c r="A461" s="115" t="s">
        <v>1168</v>
      </c>
      <c r="B461" s="115"/>
      <c r="C461" s="115">
        <v>0.107</v>
      </c>
      <c r="D461" s="115">
        <v>-6.2E-2</v>
      </c>
      <c r="E461" s="115">
        <v>4.3999999999999997E-2</v>
      </c>
      <c r="F461" s="115">
        <v>0.29799999999999999</v>
      </c>
      <c r="G461" s="115">
        <v>3.1E-2</v>
      </c>
      <c r="H461" s="115">
        <v>2.4E-2</v>
      </c>
      <c r="I461" s="115">
        <v>-7.0000000000000001E-3</v>
      </c>
      <c r="J461" s="115">
        <v>1.4999999999999999E-2</v>
      </c>
      <c r="K461" s="115">
        <v>-8.0000000000000002E-3</v>
      </c>
      <c r="L461" s="115">
        <v>-1.6E-2</v>
      </c>
      <c r="M461" s="115">
        <v>-2.1000000000000001E-2</v>
      </c>
      <c r="N461" s="115">
        <v>-0.02</v>
      </c>
      <c r="O461" s="115">
        <v>2E-3</v>
      </c>
      <c r="P461" s="115">
        <v>0</v>
      </c>
      <c r="Q461" s="115">
        <v>-8.9999999999999993E-3</v>
      </c>
      <c r="R461" s="115">
        <v>5.0000000000000001E-3</v>
      </c>
      <c r="S461" s="115">
        <v>1.62</v>
      </c>
      <c r="T461" s="115">
        <v>-0.97099999999999997</v>
      </c>
      <c r="U461" s="115">
        <v>0</v>
      </c>
      <c r="V461" s="115">
        <v>1.4E-2</v>
      </c>
      <c r="W461" s="115">
        <v>5.2999999999999999E-2</v>
      </c>
      <c r="X461" s="115">
        <v>5.8000000000000003E-2</v>
      </c>
      <c r="Y461" s="115">
        <v>4.2999999999999997E-2</v>
      </c>
      <c r="Z461" s="115">
        <v>5.1999999999999998E-2</v>
      </c>
      <c r="AA461" s="115">
        <v>5.5E-2</v>
      </c>
      <c r="AB461" s="115">
        <v>5.6000000000000001E-2</v>
      </c>
      <c r="AC461" s="115">
        <v>5.7000000000000002E-2</v>
      </c>
      <c r="AD461" s="43"/>
      <c r="AE461" s="43"/>
      <c r="AF461" s="43"/>
      <c r="AG461" s="43"/>
      <c r="AH461" s="43"/>
      <c r="AI461" s="43"/>
    </row>
    <row r="462" spans="1:35" x14ac:dyDescent="0.25">
      <c r="A462" s="115" t="s">
        <v>99</v>
      </c>
      <c r="B462" s="115"/>
      <c r="C462" s="115">
        <v>1.607</v>
      </c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43"/>
      <c r="AE462" s="43"/>
      <c r="AF462" s="43"/>
      <c r="AG462" s="43"/>
      <c r="AH462" s="43"/>
      <c r="AI462" s="43"/>
    </row>
    <row r="463" spans="1:35" x14ac:dyDescent="0.25">
      <c r="A463" s="115" t="s">
        <v>98</v>
      </c>
      <c r="B463" s="115"/>
      <c r="C463" s="115">
        <v>1256.951</v>
      </c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43"/>
      <c r="AE463" s="43"/>
      <c r="AF463" s="43"/>
      <c r="AG463" s="43"/>
      <c r="AH463" s="43"/>
      <c r="AI463" s="43"/>
    </row>
    <row r="464" spans="1:35" x14ac:dyDescent="0.25">
      <c r="A464" s="115" t="s">
        <v>97</v>
      </c>
      <c r="B464" s="115"/>
      <c r="C464" s="115">
        <v>0.91200000000000003</v>
      </c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43"/>
      <c r="AE464" s="43"/>
      <c r="AF464" s="43"/>
      <c r="AG464" s="43"/>
      <c r="AH464" s="43"/>
      <c r="AI464" s="43"/>
    </row>
    <row r="465" spans="1:35" x14ac:dyDescent="0.25">
      <c r="A465" s="115" t="s">
        <v>1039</v>
      </c>
      <c r="B465" s="115"/>
      <c r="C465" s="115">
        <v>948.173</v>
      </c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43"/>
      <c r="AE465" s="43"/>
      <c r="AF465" s="43"/>
      <c r="AG465" s="43"/>
      <c r="AH465" s="43"/>
      <c r="AI465" s="43"/>
    </row>
    <row r="466" spans="1:35" x14ac:dyDescent="0.25">
      <c r="A466" s="115" t="s">
        <v>1034</v>
      </c>
      <c r="B466" s="115"/>
      <c r="C466" s="115">
        <v>136.89699999999999</v>
      </c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43"/>
      <c r="AE466" s="43"/>
      <c r="AF466" s="43"/>
      <c r="AG466" s="43"/>
      <c r="AH466" s="43"/>
      <c r="AI466" s="43"/>
    </row>
    <row r="467" spans="1:35" x14ac:dyDescent="0.25">
      <c r="A467" s="115" t="s">
        <v>1035</v>
      </c>
      <c r="B467" s="115"/>
      <c r="C467" s="115">
        <v>199.01900000000001</v>
      </c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43"/>
      <c r="AE467" s="43"/>
      <c r="AF467" s="43"/>
      <c r="AG467" s="43"/>
      <c r="AH467" s="43"/>
      <c r="AI467" s="43"/>
    </row>
    <row r="468" spans="1:35" x14ac:dyDescent="0.25">
      <c r="A468" s="115" t="s">
        <v>1036</v>
      </c>
      <c r="B468" s="115"/>
      <c r="C468" s="115">
        <v>266.392</v>
      </c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43"/>
      <c r="AE468" s="43"/>
      <c r="AF468" s="43"/>
      <c r="AG468" s="43"/>
      <c r="AH468" s="43"/>
      <c r="AI468" s="43"/>
    </row>
    <row r="469" spans="1:35" x14ac:dyDescent="0.25">
      <c r="A469" s="115" t="s">
        <v>1037</v>
      </c>
      <c r="B469" s="115"/>
      <c r="C469" s="115">
        <v>345.86500000000001</v>
      </c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43"/>
      <c r="AE469" s="43"/>
      <c r="AF469" s="43"/>
      <c r="AG469" s="43"/>
      <c r="AH469" s="43"/>
      <c r="AI469" s="43"/>
    </row>
    <row r="470" spans="1:35" x14ac:dyDescent="0.25">
      <c r="A470" s="115" t="s">
        <v>1038</v>
      </c>
      <c r="B470" s="115"/>
      <c r="C470" s="115">
        <v>0</v>
      </c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43"/>
      <c r="AE470" s="43"/>
      <c r="AF470" s="43"/>
      <c r="AG470" s="43"/>
      <c r="AH470" s="43"/>
      <c r="AI470" s="43"/>
    </row>
    <row r="471" spans="1:35" x14ac:dyDescent="0.25">
      <c r="A471" s="115" t="s">
        <v>95</v>
      </c>
      <c r="B471" s="115"/>
      <c r="C471" s="115">
        <v>273.221</v>
      </c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43"/>
      <c r="AE471" s="43"/>
      <c r="AF471" s="43"/>
      <c r="AG471" s="43"/>
      <c r="AH471" s="43"/>
      <c r="AI471" s="43"/>
    </row>
    <row r="472" spans="1:35" x14ac:dyDescent="0.25">
      <c r="A472" s="115" t="s">
        <v>96</v>
      </c>
      <c r="B472" s="115"/>
      <c r="C472" s="115">
        <v>674.952</v>
      </c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43"/>
      <c r="AE472" s="43"/>
      <c r="AF472" s="43"/>
      <c r="AG472" s="43"/>
      <c r="AH472" s="43"/>
      <c r="AI472" s="43"/>
    </row>
    <row r="473" spans="1:35" x14ac:dyDescent="0.25">
      <c r="A473" s="115" t="s">
        <v>1080</v>
      </c>
      <c r="B473" s="115"/>
      <c r="C473" s="115">
        <v>0.69599999999999995</v>
      </c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43"/>
      <c r="AE473" s="43"/>
      <c r="AF473" s="43"/>
      <c r="AG473" s="43"/>
      <c r="AH473" s="43"/>
      <c r="AI473" s="43"/>
    </row>
    <row r="474" spans="1:35" x14ac:dyDescent="0.25">
      <c r="A474" s="115" t="s">
        <v>1077</v>
      </c>
      <c r="B474" s="115"/>
      <c r="C474" s="115">
        <v>308.77699999999999</v>
      </c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43"/>
      <c r="AE474" s="43"/>
      <c r="AF474" s="43"/>
      <c r="AG474" s="43"/>
      <c r="AH474" s="43"/>
      <c r="AI474" s="43"/>
    </row>
    <row r="475" spans="1:35" x14ac:dyDescent="0.25">
      <c r="A475" s="115" t="s">
        <v>1072</v>
      </c>
      <c r="B475" s="115"/>
      <c r="C475" s="115">
        <v>36.585000000000001</v>
      </c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43"/>
      <c r="AE475" s="43"/>
      <c r="AF475" s="43"/>
      <c r="AG475" s="43"/>
      <c r="AH475" s="43"/>
      <c r="AI475" s="43"/>
    </row>
    <row r="476" spans="1:35" x14ac:dyDescent="0.25">
      <c r="A476" s="115" t="s">
        <v>1073</v>
      </c>
      <c r="B476" s="115"/>
      <c r="C476" s="115">
        <v>61.813000000000002</v>
      </c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43"/>
      <c r="AE476" s="43"/>
      <c r="AF476" s="43"/>
      <c r="AG476" s="43"/>
      <c r="AH476" s="43"/>
      <c r="AI476" s="43"/>
    </row>
    <row r="477" spans="1:35" x14ac:dyDescent="0.25">
      <c r="A477" s="115" t="s">
        <v>1074</v>
      </c>
      <c r="B477" s="115"/>
      <c r="C477" s="115">
        <v>107.166</v>
      </c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43"/>
      <c r="AE477" s="43"/>
      <c r="AF477" s="43"/>
      <c r="AG477" s="43"/>
      <c r="AH477" s="43"/>
      <c r="AI477" s="43"/>
    </row>
    <row r="478" spans="1:35" x14ac:dyDescent="0.25">
      <c r="A478" s="115" t="s">
        <v>1075</v>
      </c>
      <c r="B478" s="115"/>
      <c r="C478" s="115">
        <v>103.21299999999999</v>
      </c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43"/>
      <c r="AE478" s="43"/>
      <c r="AF478" s="43"/>
      <c r="AG478" s="43"/>
      <c r="AH478" s="43"/>
      <c r="AI478" s="43"/>
    </row>
    <row r="479" spans="1:35" x14ac:dyDescent="0.25">
      <c r="A479" s="115" t="s">
        <v>1076</v>
      </c>
      <c r="B479" s="115"/>
      <c r="C479" s="115">
        <v>0</v>
      </c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43"/>
      <c r="AE479" s="43"/>
      <c r="AF479" s="43"/>
      <c r="AG479" s="43"/>
      <c r="AH479" s="43"/>
      <c r="AI479" s="43"/>
    </row>
    <row r="480" spans="1:35" x14ac:dyDescent="0.25">
      <c r="A480" s="115" t="s">
        <v>1071</v>
      </c>
      <c r="B480" s="115"/>
      <c r="C480" s="115">
        <v>0</v>
      </c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43"/>
      <c r="AE480" s="43"/>
      <c r="AF480" s="43"/>
      <c r="AG480" s="43"/>
      <c r="AH480" s="43"/>
      <c r="AI480" s="43"/>
    </row>
    <row r="481" spans="1:35" x14ac:dyDescent="0.25">
      <c r="A481" s="115" t="s">
        <v>100</v>
      </c>
      <c r="B481" s="115"/>
      <c r="C481" s="115">
        <v>308.77699999999999</v>
      </c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43"/>
      <c r="AE481" s="43"/>
      <c r="AF481" s="43"/>
      <c r="AG481" s="43"/>
      <c r="AH481" s="43"/>
      <c r="AI481" s="43"/>
    </row>
    <row r="482" spans="1:35" x14ac:dyDescent="0.25">
      <c r="A482" s="115" t="s">
        <v>1006</v>
      </c>
      <c r="B482" s="115"/>
      <c r="C482" s="115">
        <v>7.827</v>
      </c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43"/>
      <c r="AE482" s="43"/>
      <c r="AF482" s="43"/>
      <c r="AG482" s="43"/>
      <c r="AH482" s="43"/>
      <c r="AI482" s="43"/>
    </row>
    <row r="483" spans="1:35" x14ac:dyDescent="0.25">
      <c r="A483" s="115" t="s">
        <v>1011</v>
      </c>
      <c r="B483" s="115"/>
      <c r="C483" s="115">
        <v>6.9459999999999997</v>
      </c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43"/>
      <c r="AE483" s="43"/>
      <c r="AF483" s="43"/>
      <c r="AG483" s="43"/>
      <c r="AH483" s="43"/>
      <c r="AI483" s="43"/>
    </row>
    <row r="484" spans="1:35" x14ac:dyDescent="0.25">
      <c r="A484" s="115" t="s">
        <v>1007</v>
      </c>
      <c r="B484" s="115"/>
      <c r="C484" s="115">
        <v>9.1319999999999997</v>
      </c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43"/>
      <c r="AE484" s="43"/>
      <c r="AF484" s="43"/>
      <c r="AG484" s="43"/>
      <c r="AH484" s="43"/>
      <c r="AI484" s="43"/>
    </row>
    <row r="485" spans="1:35" x14ac:dyDescent="0.25">
      <c r="A485" s="115" t="s">
        <v>1012</v>
      </c>
      <c r="B485" s="115"/>
      <c r="C485" s="115">
        <v>9.3719999999999999</v>
      </c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43"/>
      <c r="AE485" s="43"/>
      <c r="AF485" s="43"/>
      <c r="AG485" s="43"/>
      <c r="AH485" s="43"/>
      <c r="AI485" s="43"/>
    </row>
    <row r="486" spans="1:35" x14ac:dyDescent="0.25">
      <c r="A486" s="115" t="s">
        <v>1008</v>
      </c>
      <c r="B486" s="115"/>
      <c r="C486" s="115">
        <v>25.719000000000001</v>
      </c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43"/>
      <c r="AE486" s="43"/>
      <c r="AF486" s="43"/>
      <c r="AG486" s="43"/>
      <c r="AH486" s="43"/>
      <c r="AI486" s="43"/>
    </row>
    <row r="487" spans="1:35" x14ac:dyDescent="0.25">
      <c r="A487" s="115" t="s">
        <v>1013</v>
      </c>
      <c r="B487" s="115"/>
      <c r="C487" s="115">
        <v>17.504999999999999</v>
      </c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43"/>
      <c r="AE487" s="43"/>
      <c r="AF487" s="43"/>
      <c r="AG487" s="43"/>
      <c r="AH487" s="43"/>
      <c r="AI487" s="43"/>
    </row>
    <row r="488" spans="1:35" x14ac:dyDescent="0.25">
      <c r="A488" s="115" t="s">
        <v>1009</v>
      </c>
      <c r="B488" s="115"/>
      <c r="C488" s="115">
        <v>39.265000000000001</v>
      </c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43"/>
      <c r="AE488" s="43"/>
      <c r="AF488" s="43"/>
      <c r="AG488" s="43"/>
      <c r="AH488" s="43"/>
      <c r="AI488" s="43"/>
    </row>
    <row r="489" spans="1:35" x14ac:dyDescent="0.25">
      <c r="A489" s="115" t="s">
        <v>1014</v>
      </c>
      <c r="B489" s="115"/>
      <c r="C489" s="115">
        <v>26.721</v>
      </c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43"/>
      <c r="AE489" s="43"/>
      <c r="AF489" s="43"/>
      <c r="AG489" s="43"/>
      <c r="AH489" s="43"/>
      <c r="AI489" s="43"/>
    </row>
    <row r="490" spans="1:35" x14ac:dyDescent="0.25">
      <c r="A490" s="115" t="s">
        <v>1010</v>
      </c>
      <c r="B490" s="115"/>
      <c r="C490" s="115">
        <v>155.93899999999999</v>
      </c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43"/>
      <c r="AE490" s="43"/>
      <c r="AF490" s="43"/>
      <c r="AG490" s="43"/>
      <c r="AH490" s="43"/>
      <c r="AI490" s="43"/>
    </row>
    <row r="491" spans="1:35" x14ac:dyDescent="0.25">
      <c r="A491" s="115" t="s">
        <v>1015</v>
      </c>
      <c r="B491" s="115"/>
      <c r="C491" s="115">
        <v>88.593000000000004</v>
      </c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43"/>
      <c r="AE491" s="43"/>
      <c r="AF491" s="43"/>
      <c r="AG491" s="43"/>
      <c r="AH491" s="43"/>
      <c r="AI491" s="43"/>
    </row>
    <row r="492" spans="1:35" x14ac:dyDescent="0.25">
      <c r="A492" s="115" t="s">
        <v>72</v>
      </c>
      <c r="B492" s="115"/>
      <c r="C492" s="115">
        <v>0.23799999999999999</v>
      </c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43"/>
      <c r="AE492" s="43"/>
      <c r="AF492" s="43"/>
      <c r="AG492" s="43"/>
      <c r="AH492" s="43"/>
      <c r="AI492" s="43"/>
    </row>
    <row r="493" spans="1:35" x14ac:dyDescent="0.25">
      <c r="A493" s="115" t="s">
        <v>71</v>
      </c>
      <c r="B493" s="115"/>
      <c r="C493" s="115">
        <v>149.137</v>
      </c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43"/>
      <c r="AE493" s="43"/>
      <c r="AF493" s="43"/>
      <c r="AG493" s="43"/>
      <c r="AH493" s="43"/>
      <c r="AI493" s="43"/>
    </row>
    <row r="494" spans="1:35" x14ac:dyDescent="0.25">
      <c r="A494" s="115" t="s">
        <v>1128</v>
      </c>
      <c r="B494" s="115"/>
      <c r="C494" s="115">
        <v>273.221</v>
      </c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43"/>
      <c r="AE494" s="43"/>
      <c r="AF494" s="43"/>
      <c r="AG494" s="43"/>
      <c r="AH494" s="43"/>
      <c r="AI494" s="43"/>
    </row>
    <row r="495" spans="1:35" x14ac:dyDescent="0.25">
      <c r="A495" s="115" t="s">
        <v>1102</v>
      </c>
      <c r="B495" s="115"/>
      <c r="C495" s="115">
        <v>0.23799999999999999</v>
      </c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43"/>
      <c r="AE495" s="43"/>
      <c r="AF495" s="43"/>
      <c r="AG495" s="43"/>
      <c r="AH495" s="43"/>
      <c r="AI495" s="43"/>
    </row>
    <row r="496" spans="1:35" x14ac:dyDescent="0.25">
      <c r="A496" s="115" t="s">
        <v>1099</v>
      </c>
      <c r="B496" s="115"/>
      <c r="C496" s="115">
        <v>149.137</v>
      </c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43"/>
      <c r="AE496" s="43"/>
      <c r="AF496" s="43"/>
      <c r="AG496" s="43"/>
      <c r="AH496" s="43"/>
      <c r="AI496" s="43"/>
    </row>
    <row r="497" spans="1:35" x14ac:dyDescent="0.25">
      <c r="A497" s="115" t="s">
        <v>1094</v>
      </c>
      <c r="B497" s="115"/>
      <c r="C497" s="115">
        <v>6.9459999999999997</v>
      </c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43"/>
      <c r="AE497" s="43"/>
      <c r="AF497" s="43"/>
      <c r="AG497" s="43"/>
      <c r="AH497" s="43"/>
      <c r="AI497" s="43"/>
    </row>
    <row r="498" spans="1:35" x14ac:dyDescent="0.25">
      <c r="A498" s="115" t="s">
        <v>1095</v>
      </c>
      <c r="B498" s="115"/>
      <c r="C498" s="115">
        <v>9.3719999999999999</v>
      </c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43"/>
      <c r="AE498" s="43"/>
      <c r="AF498" s="43"/>
      <c r="AG498" s="43"/>
      <c r="AH498" s="43"/>
      <c r="AI498" s="43"/>
    </row>
    <row r="499" spans="1:35" x14ac:dyDescent="0.25">
      <c r="A499" s="115" t="s">
        <v>1096</v>
      </c>
      <c r="B499" s="115"/>
      <c r="C499" s="115">
        <v>17.504999999999999</v>
      </c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43"/>
      <c r="AE499" s="43"/>
      <c r="AF499" s="43"/>
      <c r="AG499" s="43"/>
      <c r="AH499" s="43"/>
      <c r="AI499" s="43"/>
    </row>
    <row r="500" spans="1:35" x14ac:dyDescent="0.25">
      <c r="A500" s="115" t="s">
        <v>1097</v>
      </c>
      <c r="B500" s="115"/>
      <c r="C500" s="115">
        <v>26.721</v>
      </c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43"/>
      <c r="AE500" s="43"/>
      <c r="AF500" s="43"/>
      <c r="AG500" s="43"/>
      <c r="AH500" s="43"/>
      <c r="AI500" s="43"/>
    </row>
    <row r="501" spans="1:35" x14ac:dyDescent="0.25">
      <c r="A501" s="115" t="s">
        <v>1098</v>
      </c>
      <c r="B501" s="115"/>
      <c r="C501" s="115">
        <v>88.593000000000004</v>
      </c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43"/>
      <c r="AE501" s="43"/>
      <c r="AF501" s="43"/>
      <c r="AG501" s="43"/>
      <c r="AH501" s="43"/>
      <c r="AI501" s="43"/>
    </row>
    <row r="502" spans="1:35" x14ac:dyDescent="0.25">
      <c r="A502" s="115" t="s">
        <v>1092</v>
      </c>
      <c r="B502" s="115"/>
      <c r="C502" s="115">
        <v>149.137</v>
      </c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43"/>
      <c r="AE502" s="43"/>
      <c r="AF502" s="43"/>
      <c r="AG502" s="43"/>
      <c r="AH502" s="43"/>
      <c r="AI502" s="43"/>
    </row>
    <row r="503" spans="1:35" x14ac:dyDescent="0.25">
      <c r="A503" s="115" t="s">
        <v>1093</v>
      </c>
      <c r="B503" s="115"/>
      <c r="C503" s="115">
        <v>0</v>
      </c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43"/>
      <c r="AE503" s="43"/>
      <c r="AF503" s="43"/>
      <c r="AG503" s="43"/>
      <c r="AH503" s="43"/>
      <c r="AI503" s="43"/>
    </row>
    <row r="504" spans="1:35" x14ac:dyDescent="0.25">
      <c r="A504" s="115" t="s">
        <v>1131</v>
      </c>
      <c r="B504" s="115"/>
      <c r="C504" s="115">
        <v>149.137</v>
      </c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43"/>
      <c r="AE504" s="43"/>
      <c r="AF504" s="43"/>
      <c r="AG504" s="43"/>
      <c r="AH504" s="43"/>
      <c r="AI504" s="43"/>
    </row>
    <row r="505" spans="1:35" x14ac:dyDescent="0.25">
      <c r="A505" s="115" t="s">
        <v>1132</v>
      </c>
      <c r="B505" s="115"/>
      <c r="C505" s="115">
        <v>0</v>
      </c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43"/>
      <c r="AE505" s="43"/>
      <c r="AF505" s="43"/>
      <c r="AG505" s="43"/>
      <c r="AH505" s="43"/>
      <c r="AI505" s="43"/>
    </row>
    <row r="506" spans="1:35" x14ac:dyDescent="0.25">
      <c r="A506" s="115" t="s">
        <v>200</v>
      </c>
      <c r="B506" s="115"/>
      <c r="C506" s="115">
        <v>7.0000000000000001E-3</v>
      </c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43"/>
      <c r="AE506" s="43"/>
      <c r="AF506" s="43"/>
      <c r="AG506" s="43"/>
      <c r="AH506" s="43"/>
      <c r="AI506" s="43"/>
    </row>
    <row r="507" spans="1:35" x14ac:dyDescent="0.25">
      <c r="A507" s="115" t="s">
        <v>254</v>
      </c>
      <c r="B507" s="115"/>
      <c r="C507" s="115">
        <v>53.749000000000002</v>
      </c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43"/>
      <c r="AE507" s="43"/>
      <c r="AF507" s="43"/>
      <c r="AG507" s="43"/>
      <c r="AH507" s="43"/>
      <c r="AI507" s="43"/>
    </row>
    <row r="508" spans="1:35" x14ac:dyDescent="0.25">
      <c r="A508" s="115" t="s">
        <v>1091</v>
      </c>
      <c r="B508" s="115"/>
      <c r="C508" s="115">
        <v>7.0000000000000001E-3</v>
      </c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43"/>
      <c r="AE508" s="43"/>
      <c r="AF508" s="43"/>
      <c r="AG508" s="43"/>
      <c r="AH508" s="43"/>
      <c r="AI508" s="43"/>
    </row>
    <row r="509" spans="1:35" x14ac:dyDescent="0.25">
      <c r="A509" s="115" t="s">
        <v>1088</v>
      </c>
      <c r="B509" s="115"/>
      <c r="C509" s="115">
        <v>53.749000000000002</v>
      </c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43"/>
      <c r="AE509" s="43"/>
      <c r="AF509" s="43"/>
      <c r="AG509" s="43"/>
      <c r="AH509" s="43"/>
      <c r="AI509" s="43"/>
    </row>
    <row r="510" spans="1:35" x14ac:dyDescent="0.25">
      <c r="A510" s="115" t="s">
        <v>1083</v>
      </c>
      <c r="B510" s="115"/>
      <c r="C510" s="115">
        <v>20.532</v>
      </c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43"/>
      <c r="AE510" s="43"/>
      <c r="AF510" s="43"/>
      <c r="AG510" s="43"/>
      <c r="AH510" s="43"/>
      <c r="AI510" s="43"/>
    </row>
    <row r="511" spans="1:35" x14ac:dyDescent="0.25">
      <c r="A511" s="115" t="s">
        <v>1084</v>
      </c>
      <c r="B511" s="115"/>
      <c r="C511" s="115">
        <v>33.216999999999999</v>
      </c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43"/>
      <c r="AE511" s="43"/>
      <c r="AF511" s="43"/>
      <c r="AG511" s="43"/>
      <c r="AH511" s="43"/>
      <c r="AI511" s="43"/>
    </row>
    <row r="512" spans="1:35" x14ac:dyDescent="0.25">
      <c r="A512" s="115" t="s">
        <v>1085</v>
      </c>
      <c r="B512" s="115"/>
      <c r="C512" s="115">
        <v>0</v>
      </c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43"/>
      <c r="AE512" s="43"/>
      <c r="AF512" s="43"/>
      <c r="AG512" s="43"/>
      <c r="AH512" s="43"/>
      <c r="AI512" s="43"/>
    </row>
    <row r="513" spans="1:35" x14ac:dyDescent="0.25">
      <c r="A513" s="115" t="s">
        <v>1086</v>
      </c>
      <c r="B513" s="115"/>
      <c r="C513" s="115">
        <v>0</v>
      </c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43"/>
      <c r="AE513" s="43"/>
      <c r="AF513" s="43"/>
      <c r="AG513" s="43"/>
      <c r="AH513" s="43"/>
      <c r="AI513" s="43"/>
    </row>
    <row r="514" spans="1:35" x14ac:dyDescent="0.25">
      <c r="A514" s="115" t="s">
        <v>1087</v>
      </c>
      <c r="B514" s="115"/>
      <c r="C514" s="115">
        <v>0</v>
      </c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43"/>
      <c r="AE514" s="43"/>
      <c r="AF514" s="43"/>
      <c r="AG514" s="43"/>
      <c r="AH514" s="43"/>
      <c r="AI514" s="43"/>
    </row>
    <row r="515" spans="1:35" x14ac:dyDescent="0.25">
      <c r="A515" s="115" t="s">
        <v>1081</v>
      </c>
      <c r="B515" s="115"/>
      <c r="C515" s="115">
        <v>0</v>
      </c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43"/>
      <c r="AE515" s="43"/>
      <c r="AF515" s="43"/>
      <c r="AG515" s="43"/>
      <c r="AH515" s="43"/>
      <c r="AI515" s="43"/>
    </row>
    <row r="516" spans="1:35" x14ac:dyDescent="0.25">
      <c r="A516" s="115" t="s">
        <v>1082</v>
      </c>
      <c r="B516" s="115"/>
      <c r="C516" s="115">
        <v>53.749000000000002</v>
      </c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43"/>
      <c r="AE516" s="43"/>
      <c r="AF516" s="43"/>
      <c r="AG516" s="43"/>
      <c r="AH516" s="43"/>
      <c r="AI516" s="43"/>
    </row>
    <row r="517" spans="1:35" x14ac:dyDescent="0.25">
      <c r="A517" s="115" t="s">
        <v>1134</v>
      </c>
      <c r="B517" s="115"/>
      <c r="C517" s="115">
        <v>0</v>
      </c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43"/>
      <c r="AE517" s="43"/>
      <c r="AF517" s="43"/>
      <c r="AG517" s="43"/>
      <c r="AH517" s="43"/>
      <c r="AI517" s="43"/>
    </row>
    <row r="518" spans="1:35" x14ac:dyDescent="0.25">
      <c r="A518" s="115" t="s">
        <v>1135</v>
      </c>
      <c r="B518" s="115"/>
      <c r="C518" s="115">
        <v>53.749000000000002</v>
      </c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43"/>
      <c r="AE518" s="43"/>
      <c r="AF518" s="43"/>
      <c r="AG518" s="43"/>
      <c r="AH518" s="43"/>
      <c r="AI518" s="43"/>
    </row>
    <row r="519" spans="1:35" x14ac:dyDescent="0.25">
      <c r="A519" s="115" t="s">
        <v>1129</v>
      </c>
      <c r="B519" s="115"/>
      <c r="C519" s="115">
        <v>983.72900000000004</v>
      </c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43"/>
      <c r="AE519" s="43"/>
      <c r="AF519" s="43"/>
      <c r="AG519" s="43"/>
      <c r="AH519" s="43"/>
      <c r="AI519" s="43"/>
    </row>
    <row r="520" spans="1:35" x14ac:dyDescent="0.25">
      <c r="A520" s="115" t="s">
        <v>418</v>
      </c>
      <c r="B520" s="115"/>
      <c r="C520" s="115">
        <v>33.993000000000002</v>
      </c>
      <c r="D520" s="115">
        <v>24.544</v>
      </c>
      <c r="E520" s="115">
        <v>60.722000000000001</v>
      </c>
      <c r="F520" s="115">
        <v>47.396000000000001</v>
      </c>
      <c r="G520" s="115">
        <v>36.752000000000002</v>
      </c>
      <c r="H520" s="115">
        <v>28.34</v>
      </c>
      <c r="I520" s="115">
        <v>21.712</v>
      </c>
      <c r="J520" s="115">
        <v>21.57</v>
      </c>
      <c r="K520" s="115">
        <v>17.829999999999998</v>
      </c>
      <c r="L520" s="115">
        <v>14.249000000000001</v>
      </c>
      <c r="M520" s="115">
        <v>11.324999999999999</v>
      </c>
      <c r="N520" s="115">
        <v>8.9580000000000002</v>
      </c>
      <c r="O520" s="115">
        <v>7.117</v>
      </c>
      <c r="P520" s="115">
        <v>20.937999999999999</v>
      </c>
      <c r="Q520" s="115">
        <v>19.895</v>
      </c>
      <c r="R520" s="115">
        <v>18.866</v>
      </c>
      <c r="S520" s="115">
        <v>17.789000000000001</v>
      </c>
      <c r="T520" s="115">
        <v>16.917000000000002</v>
      </c>
      <c r="U520" s="115">
        <v>16.123000000000001</v>
      </c>
      <c r="V520" s="115">
        <v>15.377000000000001</v>
      </c>
      <c r="W520" s="115">
        <v>14.731999999999999</v>
      </c>
      <c r="X520" s="115">
        <v>14.087</v>
      </c>
      <c r="Y520" s="115">
        <v>13.487</v>
      </c>
      <c r="Z520" s="115">
        <v>12.904999999999999</v>
      </c>
      <c r="AA520" s="115">
        <v>12.352</v>
      </c>
      <c r="AB520" s="115">
        <v>11.823</v>
      </c>
      <c r="AC520" s="115">
        <v>11.308999999999999</v>
      </c>
      <c r="AD520" s="43"/>
      <c r="AE520" s="43"/>
      <c r="AF520" s="43"/>
      <c r="AG520" s="43"/>
      <c r="AH520" s="43"/>
      <c r="AI520" s="43"/>
    </row>
    <row r="521" spans="1:35" x14ac:dyDescent="0.25">
      <c r="A521" s="115" t="s">
        <v>1243</v>
      </c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>
        <v>0.19600000000000001</v>
      </c>
      <c r="Q521" s="115">
        <v>0.2</v>
      </c>
      <c r="R521" s="115">
        <v>0.2</v>
      </c>
      <c r="S521" s="115">
        <v>0.19800000000000001</v>
      </c>
      <c r="T521" s="115">
        <v>0.19400000000000001</v>
      </c>
      <c r="U521" s="115">
        <v>0.189</v>
      </c>
      <c r="V521" s="115">
        <v>0.182</v>
      </c>
      <c r="W521" s="115">
        <v>0.17199999999999999</v>
      </c>
      <c r="X521" s="115">
        <v>0.16600000000000001</v>
      </c>
      <c r="Y521" s="115">
        <v>0.159</v>
      </c>
      <c r="Z521" s="115">
        <v>0.152</v>
      </c>
      <c r="AA521" s="115">
        <v>0.14499999999999999</v>
      </c>
      <c r="AB521" s="115">
        <v>0.13800000000000001</v>
      </c>
      <c r="AC521" s="115">
        <v>0.13100000000000001</v>
      </c>
      <c r="AD521" s="43"/>
      <c r="AE521" s="43"/>
      <c r="AF521" s="43"/>
      <c r="AG521" s="43"/>
      <c r="AH521" s="43"/>
      <c r="AI521" s="43"/>
    </row>
    <row r="522" spans="1:35" x14ac:dyDescent="0.25">
      <c r="A522" s="115" t="s">
        <v>1244</v>
      </c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>
        <v>15.11</v>
      </c>
      <c r="Q522" s="115">
        <v>15.25</v>
      </c>
      <c r="R522" s="115">
        <v>15.178000000000001</v>
      </c>
      <c r="S522" s="115">
        <v>14.948</v>
      </c>
      <c r="T522" s="115">
        <v>14.685</v>
      </c>
      <c r="U522" s="115">
        <v>14.366</v>
      </c>
      <c r="V522" s="115">
        <v>14.003</v>
      </c>
      <c r="W522" s="115">
        <v>13.637</v>
      </c>
      <c r="X522" s="115">
        <v>13.223000000000001</v>
      </c>
      <c r="Y522" s="115">
        <v>12.797000000000001</v>
      </c>
      <c r="Z522" s="115">
        <v>12.361000000000001</v>
      </c>
      <c r="AA522" s="115">
        <v>11.920999999999999</v>
      </c>
      <c r="AB522" s="115">
        <v>11.481</v>
      </c>
      <c r="AC522" s="115">
        <v>11.042999999999999</v>
      </c>
      <c r="AD522" s="43"/>
      <c r="AE522" s="43"/>
      <c r="AF522" s="43"/>
      <c r="AG522" s="43"/>
      <c r="AH522" s="43"/>
      <c r="AI522" s="43"/>
    </row>
    <row r="523" spans="1:35" x14ac:dyDescent="0.25">
      <c r="A523" s="115" t="s">
        <v>1245</v>
      </c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>
        <v>176.685</v>
      </c>
      <c r="Q523" s="115">
        <v>152.19499999999999</v>
      </c>
      <c r="R523" s="115">
        <v>132.01</v>
      </c>
      <c r="S523" s="115">
        <v>129.999</v>
      </c>
      <c r="T523" s="115">
        <v>97.846999999999994</v>
      </c>
      <c r="U523" s="115">
        <v>84.632999999999996</v>
      </c>
      <c r="V523" s="115">
        <v>73.290000000000006</v>
      </c>
      <c r="W523" s="115">
        <v>65.435000000000002</v>
      </c>
      <c r="X523" s="115">
        <v>58.363</v>
      </c>
      <c r="Y523" s="115">
        <v>51.975999999999999</v>
      </c>
      <c r="Z523" s="115">
        <v>46.463999999999999</v>
      </c>
      <c r="AA523" s="115">
        <v>41.643999999999998</v>
      </c>
      <c r="AB523" s="115">
        <v>37.427</v>
      </c>
      <c r="AC523" s="115">
        <v>33.743000000000002</v>
      </c>
      <c r="AD523" s="43"/>
      <c r="AE523" s="43"/>
      <c r="AF523" s="43"/>
      <c r="AG523" s="43"/>
      <c r="AH523" s="43"/>
      <c r="AI523" s="43"/>
    </row>
    <row r="524" spans="1:35" x14ac:dyDescent="0.25">
      <c r="A524" s="115" t="s">
        <v>1246</v>
      </c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>
        <v>313.47300000000001</v>
      </c>
      <c r="Q524" s="115">
        <v>288.17</v>
      </c>
      <c r="R524" s="115">
        <v>264.56400000000002</v>
      </c>
      <c r="S524" s="115">
        <v>225.565</v>
      </c>
      <c r="T524" s="115">
        <v>217.702</v>
      </c>
      <c r="U524" s="115">
        <v>197.28</v>
      </c>
      <c r="V524" s="115">
        <v>178.214</v>
      </c>
      <c r="W524" s="115">
        <v>166.59200000000001</v>
      </c>
      <c r="X524" s="115">
        <v>154.73500000000001</v>
      </c>
      <c r="Y524" s="115">
        <v>143.78700000000001</v>
      </c>
      <c r="Z524" s="115">
        <v>133.52099999999999</v>
      </c>
      <c r="AA524" s="115">
        <v>124.13500000000001</v>
      </c>
      <c r="AB524" s="115">
        <v>115.622</v>
      </c>
      <c r="AC524" s="115">
        <v>107.928</v>
      </c>
      <c r="AD524" s="43"/>
      <c r="AE524" s="43"/>
      <c r="AF524" s="43"/>
      <c r="AG524" s="43"/>
      <c r="AH524" s="43"/>
      <c r="AI524" s="43"/>
    </row>
    <row r="525" spans="1:35" x14ac:dyDescent="0.25">
      <c r="A525" s="115" t="s">
        <v>1247</v>
      </c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>
        <v>0</v>
      </c>
      <c r="Q525" s="115">
        <v>0</v>
      </c>
      <c r="R525" s="115">
        <v>0</v>
      </c>
      <c r="S525" s="115">
        <v>0</v>
      </c>
      <c r="T525" s="115">
        <v>0</v>
      </c>
      <c r="U525" s="115">
        <v>0</v>
      </c>
      <c r="V525" s="115">
        <v>0</v>
      </c>
      <c r="W525" s="115">
        <v>0</v>
      </c>
      <c r="X525" s="115">
        <v>0</v>
      </c>
      <c r="Y525" s="115">
        <v>0</v>
      </c>
      <c r="Z525" s="115">
        <v>0</v>
      </c>
      <c r="AA525" s="115">
        <v>0</v>
      </c>
      <c r="AB525" s="115">
        <v>0</v>
      </c>
      <c r="AC525" s="115">
        <v>0</v>
      </c>
      <c r="AD525" s="43"/>
      <c r="AE525" s="43"/>
      <c r="AF525" s="43"/>
      <c r="AG525" s="43"/>
      <c r="AH525" s="43"/>
      <c r="AI525" s="43"/>
    </row>
    <row r="526" spans="1:35" x14ac:dyDescent="0.25">
      <c r="A526" s="115" t="s">
        <v>1237</v>
      </c>
      <c r="B526" s="115"/>
      <c r="C526" s="115"/>
      <c r="D526" s="115"/>
      <c r="E526" s="115"/>
      <c r="F526" s="115"/>
      <c r="G526" s="115"/>
      <c r="H526" s="115"/>
      <c r="I526" s="115"/>
      <c r="J526" s="115">
        <v>4.0000000000000001E-3</v>
      </c>
      <c r="K526" s="115">
        <v>4.0000000000000001E-3</v>
      </c>
      <c r="L526" s="115">
        <v>3.0000000000000001E-3</v>
      </c>
      <c r="M526" s="115">
        <v>3.0000000000000001E-3</v>
      </c>
      <c r="N526" s="115">
        <v>2E-3</v>
      </c>
      <c r="O526" s="115">
        <v>2E-3</v>
      </c>
      <c r="P526" s="115">
        <v>2E-3</v>
      </c>
      <c r="Q526" s="115">
        <v>1E-3</v>
      </c>
      <c r="R526" s="115">
        <v>1E-3</v>
      </c>
      <c r="S526" s="115">
        <v>1E-3</v>
      </c>
      <c r="T526" s="115">
        <v>1E-3</v>
      </c>
      <c r="U526" s="115">
        <v>1E-3</v>
      </c>
      <c r="V526" s="115">
        <v>0</v>
      </c>
      <c r="W526" s="115">
        <v>0</v>
      </c>
      <c r="X526" s="115">
        <v>0</v>
      </c>
      <c r="Y526" s="115">
        <v>0</v>
      </c>
      <c r="Z526" s="115">
        <v>0</v>
      </c>
      <c r="AA526" s="115">
        <v>0</v>
      </c>
      <c r="AB526" s="115">
        <v>0</v>
      </c>
      <c r="AC526" s="115">
        <v>0</v>
      </c>
      <c r="AD526" s="43"/>
      <c r="AE526" s="43"/>
      <c r="AF526" s="43"/>
      <c r="AG526" s="43"/>
      <c r="AH526" s="43"/>
      <c r="AI526" s="43"/>
    </row>
    <row r="527" spans="1:35" x14ac:dyDescent="0.25">
      <c r="A527" s="115" t="s">
        <v>1238</v>
      </c>
      <c r="B527" s="115"/>
      <c r="C527" s="115"/>
      <c r="D527" s="115"/>
      <c r="E527" s="115"/>
      <c r="F527" s="115"/>
      <c r="G527" s="115"/>
      <c r="H527" s="115"/>
      <c r="I527" s="115"/>
      <c r="J527" s="115">
        <v>4.9139999999999997</v>
      </c>
      <c r="K527" s="115">
        <v>5.0039999999999996</v>
      </c>
      <c r="L527" s="115">
        <v>4.5659999999999998</v>
      </c>
      <c r="M527" s="115">
        <v>4.0389999999999997</v>
      </c>
      <c r="N527" s="115">
        <v>3.492</v>
      </c>
      <c r="O527" s="115">
        <v>2.9710000000000001</v>
      </c>
      <c r="P527" s="115">
        <v>2.4710000000000001</v>
      </c>
      <c r="Q527" s="115">
        <v>2.0299999999999998</v>
      </c>
      <c r="R527" s="115">
        <v>1.6459999999999999</v>
      </c>
      <c r="S527" s="115">
        <v>1.3049999999999999</v>
      </c>
      <c r="T527" s="115">
        <v>1.0309999999999999</v>
      </c>
      <c r="U527" s="115">
        <v>0.80900000000000005</v>
      </c>
      <c r="V527" s="115">
        <v>0.628</v>
      </c>
      <c r="W527" s="115">
        <v>0.48299999999999998</v>
      </c>
      <c r="X527" s="115">
        <v>0.36699999999999999</v>
      </c>
      <c r="Y527" s="115">
        <v>0.27400000000000002</v>
      </c>
      <c r="Z527" s="115">
        <v>0.20100000000000001</v>
      </c>
      <c r="AA527" s="115">
        <v>0.14299999999999999</v>
      </c>
      <c r="AB527" s="115">
        <v>9.8000000000000004E-2</v>
      </c>
      <c r="AC527" s="115">
        <v>0.06</v>
      </c>
      <c r="AD527" s="43"/>
      <c r="AE527" s="43"/>
      <c r="AF527" s="43"/>
      <c r="AG527" s="43"/>
      <c r="AH527" s="43"/>
      <c r="AI527" s="43"/>
    </row>
    <row r="528" spans="1:35" x14ac:dyDescent="0.25">
      <c r="A528" s="115" t="s">
        <v>1239</v>
      </c>
      <c r="B528" s="115"/>
      <c r="C528" s="115"/>
      <c r="D528" s="115"/>
      <c r="E528" s="115"/>
      <c r="F528" s="115"/>
      <c r="G528" s="115"/>
      <c r="H528" s="115"/>
      <c r="I528" s="115"/>
      <c r="J528" s="115">
        <v>58.462000000000003</v>
      </c>
      <c r="K528" s="115">
        <v>48.526000000000003</v>
      </c>
      <c r="L528" s="115">
        <v>37.902999999999999</v>
      </c>
      <c r="M528" s="115">
        <v>29.571000000000002</v>
      </c>
      <c r="N528" s="115">
        <v>23.044</v>
      </c>
      <c r="O528" s="115">
        <v>17.922000000000001</v>
      </c>
      <c r="P528" s="115">
        <v>13.944000000000001</v>
      </c>
      <c r="Q528" s="115">
        <v>10.816000000000001</v>
      </c>
      <c r="R528" s="115">
        <v>8.4250000000000007</v>
      </c>
      <c r="S528" s="115">
        <v>7.952</v>
      </c>
      <c r="T528" s="115">
        <v>4.7439999999999998</v>
      </c>
      <c r="U528" s="115">
        <v>3.5670000000000002</v>
      </c>
      <c r="V528" s="115">
        <v>2.6680000000000001</v>
      </c>
      <c r="W528" s="115">
        <v>2.008</v>
      </c>
      <c r="X528" s="115">
        <v>1.498</v>
      </c>
      <c r="Y528" s="115">
        <v>1.1020000000000001</v>
      </c>
      <c r="Z528" s="115">
        <v>0.79900000000000004</v>
      </c>
      <c r="AA528" s="115">
        <v>0.57099999999999995</v>
      </c>
      <c r="AB528" s="115">
        <v>0.40100000000000002</v>
      </c>
      <c r="AC528" s="115">
        <v>0.26600000000000001</v>
      </c>
      <c r="AD528" s="43"/>
      <c r="AE528" s="43"/>
      <c r="AF528" s="43"/>
      <c r="AG528" s="43"/>
      <c r="AH528" s="43"/>
      <c r="AI528" s="43"/>
    </row>
    <row r="529" spans="1:35" x14ac:dyDescent="0.25">
      <c r="A529" s="115" t="s">
        <v>1240</v>
      </c>
      <c r="B529" s="115"/>
      <c r="C529" s="115"/>
      <c r="D529" s="115"/>
      <c r="E529" s="115"/>
      <c r="F529" s="115"/>
      <c r="G529" s="115"/>
      <c r="H529" s="115"/>
      <c r="I529" s="115"/>
      <c r="J529" s="115">
        <v>162.94</v>
      </c>
      <c r="K529" s="115">
        <v>123.184</v>
      </c>
      <c r="L529" s="115">
        <v>95.09</v>
      </c>
      <c r="M529" s="115">
        <v>73.072000000000003</v>
      </c>
      <c r="N529" s="115">
        <v>55.845999999999997</v>
      </c>
      <c r="O529" s="115">
        <v>43.441000000000003</v>
      </c>
      <c r="P529" s="115">
        <v>33.625</v>
      </c>
      <c r="Q529" s="115">
        <v>25.914999999999999</v>
      </c>
      <c r="R529" s="115">
        <v>19.920999999999999</v>
      </c>
      <c r="S529" s="115">
        <v>13.185</v>
      </c>
      <c r="T529" s="115">
        <v>11.164</v>
      </c>
      <c r="U529" s="115">
        <v>8.3130000000000006</v>
      </c>
      <c r="V529" s="115">
        <v>6.1360000000000001</v>
      </c>
      <c r="W529" s="115">
        <v>4.5759999999999996</v>
      </c>
      <c r="X529" s="115">
        <v>3.3610000000000002</v>
      </c>
      <c r="Y529" s="115">
        <v>2.444</v>
      </c>
      <c r="Z529" s="115">
        <v>1.7410000000000001</v>
      </c>
      <c r="AA529" s="115">
        <v>1.2130000000000001</v>
      </c>
      <c r="AB529" s="115">
        <v>0.81899999999999995</v>
      </c>
      <c r="AC529" s="115">
        <v>0.50800000000000001</v>
      </c>
      <c r="AD529" s="43"/>
      <c r="AE529" s="43"/>
      <c r="AF529" s="43"/>
      <c r="AG529" s="43"/>
      <c r="AH529" s="43"/>
      <c r="AI529" s="43"/>
    </row>
    <row r="530" spans="1:35" x14ac:dyDescent="0.25">
      <c r="A530" s="115" t="s">
        <v>1241</v>
      </c>
      <c r="B530" s="115"/>
      <c r="C530" s="115"/>
      <c r="D530" s="115"/>
      <c r="E530" s="115"/>
      <c r="F530" s="115"/>
      <c r="G530" s="115"/>
      <c r="H530" s="115"/>
      <c r="I530" s="115"/>
      <c r="J530" s="115">
        <v>0</v>
      </c>
      <c r="K530" s="115">
        <v>0</v>
      </c>
      <c r="L530" s="115">
        <v>0</v>
      </c>
      <c r="M530" s="115">
        <v>0</v>
      </c>
      <c r="N530" s="115">
        <v>0</v>
      </c>
      <c r="O530" s="115">
        <v>0</v>
      </c>
      <c r="P530" s="115">
        <v>0</v>
      </c>
      <c r="Q530" s="115">
        <v>0</v>
      </c>
      <c r="R530" s="115">
        <v>0</v>
      </c>
      <c r="S530" s="115">
        <v>0</v>
      </c>
      <c r="T530" s="115">
        <v>0</v>
      </c>
      <c r="U530" s="115">
        <v>0</v>
      </c>
      <c r="V530" s="115">
        <v>0</v>
      </c>
      <c r="W530" s="115">
        <v>0</v>
      </c>
      <c r="X530" s="115">
        <v>0</v>
      </c>
      <c r="Y530" s="115">
        <v>0</v>
      </c>
      <c r="Z530" s="115">
        <v>0</v>
      </c>
      <c r="AA530" s="115">
        <v>0</v>
      </c>
      <c r="AB530" s="115">
        <v>0</v>
      </c>
      <c r="AC530" s="115">
        <v>0</v>
      </c>
      <c r="AD530" s="43"/>
      <c r="AE530" s="43"/>
      <c r="AF530" s="43"/>
      <c r="AG530" s="43"/>
      <c r="AH530" s="43"/>
      <c r="AI530" s="43"/>
    </row>
    <row r="531" spans="1:35" x14ac:dyDescent="0.25">
      <c r="A531" s="115" t="s">
        <v>1242</v>
      </c>
      <c r="B531" s="115"/>
      <c r="C531" s="115"/>
      <c r="D531" s="115"/>
      <c r="E531" s="115"/>
      <c r="F531" s="115"/>
      <c r="G531" s="115"/>
      <c r="H531" s="115"/>
      <c r="I531" s="115"/>
      <c r="J531" s="115">
        <v>0</v>
      </c>
      <c r="K531" s="115">
        <v>0</v>
      </c>
      <c r="L531" s="115">
        <v>0</v>
      </c>
      <c r="M531" s="115">
        <v>0</v>
      </c>
      <c r="N531" s="115">
        <v>0</v>
      </c>
      <c r="O531" s="115">
        <v>0</v>
      </c>
      <c r="P531" s="115">
        <v>0</v>
      </c>
      <c r="Q531" s="115">
        <v>0</v>
      </c>
      <c r="R531" s="115">
        <v>0</v>
      </c>
      <c r="S531" s="115">
        <v>0</v>
      </c>
      <c r="T531" s="115">
        <v>0</v>
      </c>
      <c r="U531" s="115">
        <v>0</v>
      </c>
      <c r="V531" s="115">
        <v>0</v>
      </c>
      <c r="W531" s="115">
        <v>0</v>
      </c>
      <c r="X531" s="115">
        <v>0</v>
      </c>
      <c r="Y531" s="115">
        <v>0</v>
      </c>
      <c r="Z531" s="115">
        <v>0</v>
      </c>
      <c r="AA531" s="115">
        <v>0</v>
      </c>
      <c r="AB531" s="115">
        <v>0</v>
      </c>
      <c r="AC531" s="115">
        <v>0</v>
      </c>
      <c r="AD531" s="43"/>
      <c r="AE531" s="43"/>
      <c r="AF531" s="43"/>
      <c r="AG531" s="43"/>
      <c r="AH531" s="43"/>
      <c r="AI531" s="43"/>
    </row>
    <row r="532" spans="1:35" x14ac:dyDescent="0.25">
      <c r="A532" s="115" t="s">
        <v>1230</v>
      </c>
      <c r="B532" s="115"/>
      <c r="C532" s="115"/>
      <c r="D532" s="115"/>
      <c r="E532" s="115">
        <v>0.26800000000000002</v>
      </c>
      <c r="F532" s="115">
        <v>0.221</v>
      </c>
      <c r="G532" s="115">
        <v>0.183</v>
      </c>
      <c r="H532" s="115">
        <v>0.151</v>
      </c>
      <c r="I532" s="115">
        <v>0.124</v>
      </c>
      <c r="J532" s="115">
        <v>0.10199999999999999</v>
      </c>
      <c r="K532" s="115">
        <v>8.6999999999999994E-2</v>
      </c>
      <c r="L532" s="115">
        <v>7.0999999999999994E-2</v>
      </c>
      <c r="M532" s="115">
        <v>5.8999999999999997E-2</v>
      </c>
      <c r="N532" s="115">
        <v>4.8000000000000001E-2</v>
      </c>
      <c r="O532" s="115">
        <v>3.9E-2</v>
      </c>
      <c r="P532" s="115">
        <v>3.2000000000000001E-2</v>
      </c>
      <c r="Q532" s="115">
        <v>2.5999999999999999E-2</v>
      </c>
      <c r="R532" s="115">
        <v>2.1000000000000001E-2</v>
      </c>
      <c r="S532" s="115">
        <v>1.7000000000000001E-2</v>
      </c>
      <c r="T532" s="115">
        <v>1.2999999999999999E-2</v>
      </c>
      <c r="U532" s="115">
        <v>0.01</v>
      </c>
      <c r="V532" s="115">
        <v>8.0000000000000002E-3</v>
      </c>
      <c r="W532" s="115">
        <v>6.0000000000000001E-3</v>
      </c>
      <c r="X532" s="115">
        <v>5.0000000000000001E-3</v>
      </c>
      <c r="Y532" s="115">
        <v>3.0000000000000001E-3</v>
      </c>
      <c r="Z532" s="115">
        <v>3.0000000000000001E-3</v>
      </c>
      <c r="AA532" s="115">
        <v>2E-3</v>
      </c>
      <c r="AB532" s="115">
        <v>1E-3</v>
      </c>
      <c r="AC532" s="115">
        <v>1E-3</v>
      </c>
      <c r="AD532" s="43"/>
      <c r="AE532" s="43"/>
      <c r="AF532" s="43"/>
      <c r="AG532" s="43"/>
      <c r="AH532" s="43"/>
      <c r="AI532" s="43"/>
    </row>
    <row r="533" spans="1:35" x14ac:dyDescent="0.25">
      <c r="A533" s="115" t="s">
        <v>1231</v>
      </c>
      <c r="B533" s="115"/>
      <c r="C533" s="115"/>
      <c r="D533" s="115"/>
      <c r="E533" s="115">
        <v>41.5</v>
      </c>
      <c r="F533" s="115">
        <v>32.531999999999996</v>
      </c>
      <c r="G533" s="115">
        <v>25.315000000000001</v>
      </c>
      <c r="H533" s="115">
        <v>19.593</v>
      </c>
      <c r="I533" s="115">
        <v>15.07</v>
      </c>
      <c r="J533" s="115">
        <v>11.582000000000001</v>
      </c>
      <c r="K533" s="115">
        <v>8.9280000000000008</v>
      </c>
      <c r="L533" s="115">
        <v>6.7619999999999996</v>
      </c>
      <c r="M533" s="115">
        <v>5.0999999999999996</v>
      </c>
      <c r="N533" s="115">
        <v>3.8330000000000002</v>
      </c>
      <c r="O533" s="115">
        <v>2.931</v>
      </c>
      <c r="P533" s="115">
        <v>2.2570000000000001</v>
      </c>
      <c r="Q533" s="115">
        <v>1.744</v>
      </c>
      <c r="R533" s="115">
        <v>1.3460000000000001</v>
      </c>
      <c r="S533" s="115">
        <v>0.98</v>
      </c>
      <c r="T533" s="115">
        <v>0.75</v>
      </c>
      <c r="U533" s="115">
        <v>0.57699999999999996</v>
      </c>
      <c r="V533" s="115">
        <v>0.437</v>
      </c>
      <c r="W533" s="115">
        <v>0.34599999999999997</v>
      </c>
      <c r="X533" s="115">
        <v>0.26400000000000001</v>
      </c>
      <c r="Y533" s="115">
        <v>0.20799999999999999</v>
      </c>
      <c r="Z533" s="115">
        <v>0.158</v>
      </c>
      <c r="AA533" s="115">
        <v>0.12</v>
      </c>
      <c r="AB533" s="115">
        <v>9.0999999999999998E-2</v>
      </c>
      <c r="AC533" s="115">
        <v>6.7000000000000004E-2</v>
      </c>
      <c r="AD533" s="43"/>
      <c r="AE533" s="43"/>
      <c r="AF533" s="43"/>
      <c r="AG533" s="43"/>
      <c r="AH533" s="43"/>
      <c r="AI533" s="43"/>
    </row>
    <row r="534" spans="1:35" x14ac:dyDescent="0.25">
      <c r="A534" s="115" t="s">
        <v>1232</v>
      </c>
      <c r="B534" s="115"/>
      <c r="C534" s="115"/>
      <c r="D534" s="115"/>
      <c r="E534" s="115">
        <v>52.277000000000001</v>
      </c>
      <c r="F534" s="115">
        <v>39.887999999999998</v>
      </c>
      <c r="G534" s="115">
        <v>30.384</v>
      </c>
      <c r="H534" s="115">
        <v>23.044</v>
      </c>
      <c r="I534" s="115">
        <v>17.395</v>
      </c>
      <c r="J534" s="115">
        <v>13.074</v>
      </c>
      <c r="K534" s="115">
        <v>9.6359999999999992</v>
      </c>
      <c r="L534" s="115">
        <v>7.1369999999999996</v>
      </c>
      <c r="M534" s="115">
        <v>5.2489999999999997</v>
      </c>
      <c r="N534" s="115">
        <v>3.8319999999999999</v>
      </c>
      <c r="O534" s="115">
        <v>2.899</v>
      </c>
      <c r="P534" s="115">
        <v>2.1930000000000001</v>
      </c>
      <c r="Q534" s="115">
        <v>1.6539999999999999</v>
      </c>
      <c r="R534" s="115">
        <v>1.234</v>
      </c>
      <c r="S534" s="115">
        <v>0.878</v>
      </c>
      <c r="T534" s="115">
        <v>0.64700000000000002</v>
      </c>
      <c r="U534" s="115">
        <v>0.46899999999999997</v>
      </c>
      <c r="V534" s="115">
        <v>0.33400000000000002</v>
      </c>
      <c r="W534" s="115">
        <v>0.25600000000000001</v>
      </c>
      <c r="X534" s="115">
        <v>0.189</v>
      </c>
      <c r="Y534" s="115">
        <v>0.14299999999999999</v>
      </c>
      <c r="Z534" s="115">
        <v>0.104</v>
      </c>
      <c r="AA534" s="115">
        <v>7.5999999999999998E-2</v>
      </c>
      <c r="AB534" s="115">
        <v>5.6000000000000001E-2</v>
      </c>
      <c r="AC534" s="115">
        <v>3.9E-2</v>
      </c>
      <c r="AD534" s="43"/>
      <c r="AE534" s="43"/>
      <c r="AF534" s="43"/>
      <c r="AG534" s="43"/>
      <c r="AH534" s="43"/>
      <c r="AI534" s="43"/>
    </row>
    <row r="535" spans="1:35" x14ac:dyDescent="0.25">
      <c r="A535" s="115" t="s">
        <v>1233</v>
      </c>
      <c r="B535" s="115"/>
      <c r="C535" s="115"/>
      <c r="D535" s="115"/>
      <c r="E535" s="115">
        <v>0</v>
      </c>
      <c r="F535" s="115">
        <v>0</v>
      </c>
      <c r="G535" s="115">
        <v>0</v>
      </c>
      <c r="H535" s="115">
        <v>0</v>
      </c>
      <c r="I535" s="115">
        <v>0</v>
      </c>
      <c r="J535" s="115">
        <v>0</v>
      </c>
      <c r="K535" s="115">
        <v>0</v>
      </c>
      <c r="L535" s="115">
        <v>0</v>
      </c>
      <c r="M535" s="115">
        <v>0</v>
      </c>
      <c r="N535" s="115">
        <v>0</v>
      </c>
      <c r="O535" s="115">
        <v>0</v>
      </c>
      <c r="P535" s="115">
        <v>0</v>
      </c>
      <c r="Q535" s="115">
        <v>0</v>
      </c>
      <c r="R535" s="115">
        <v>0</v>
      </c>
      <c r="S535" s="115">
        <v>0</v>
      </c>
      <c r="T535" s="115">
        <v>0</v>
      </c>
      <c r="U535" s="115">
        <v>0</v>
      </c>
      <c r="V535" s="115">
        <v>0</v>
      </c>
      <c r="W535" s="115">
        <v>0</v>
      </c>
      <c r="X535" s="115">
        <v>0</v>
      </c>
      <c r="Y535" s="115">
        <v>0</v>
      </c>
      <c r="Z535" s="115">
        <v>0</v>
      </c>
      <c r="AA535" s="115">
        <v>0</v>
      </c>
      <c r="AB535" s="115">
        <v>0</v>
      </c>
      <c r="AC535" s="115">
        <v>0</v>
      </c>
      <c r="AD535" s="43"/>
      <c r="AE535" s="43"/>
      <c r="AF535" s="43"/>
      <c r="AG535" s="43"/>
      <c r="AH535" s="43"/>
      <c r="AI535" s="43"/>
    </row>
    <row r="536" spans="1:35" x14ac:dyDescent="0.25">
      <c r="A536" s="115" t="s">
        <v>1234</v>
      </c>
      <c r="B536" s="115"/>
      <c r="C536" s="115"/>
      <c r="D536" s="115"/>
      <c r="E536" s="115">
        <v>0</v>
      </c>
      <c r="F536" s="115">
        <v>0</v>
      </c>
      <c r="G536" s="115">
        <v>0</v>
      </c>
      <c r="H536" s="115">
        <v>0</v>
      </c>
      <c r="I536" s="115">
        <v>0</v>
      </c>
      <c r="J536" s="115">
        <v>0</v>
      </c>
      <c r="K536" s="115">
        <v>0</v>
      </c>
      <c r="L536" s="115">
        <v>0</v>
      </c>
      <c r="M536" s="115">
        <v>0</v>
      </c>
      <c r="N536" s="115">
        <v>0</v>
      </c>
      <c r="O536" s="115">
        <v>0</v>
      </c>
      <c r="P536" s="115">
        <v>0</v>
      </c>
      <c r="Q536" s="115">
        <v>0</v>
      </c>
      <c r="R536" s="115">
        <v>0</v>
      </c>
      <c r="S536" s="115">
        <v>0</v>
      </c>
      <c r="T536" s="115">
        <v>0</v>
      </c>
      <c r="U536" s="115">
        <v>0</v>
      </c>
      <c r="V536" s="115">
        <v>0</v>
      </c>
      <c r="W536" s="115">
        <v>0</v>
      </c>
      <c r="X536" s="115">
        <v>0</v>
      </c>
      <c r="Y536" s="115">
        <v>0</v>
      </c>
      <c r="Z536" s="115">
        <v>0</v>
      </c>
      <c r="AA536" s="115">
        <v>0</v>
      </c>
      <c r="AB536" s="115">
        <v>0</v>
      </c>
      <c r="AC536" s="115">
        <v>0</v>
      </c>
      <c r="AD536" s="43"/>
      <c r="AE536" s="43"/>
      <c r="AF536" s="43"/>
      <c r="AG536" s="43"/>
      <c r="AH536" s="43"/>
      <c r="AI536" s="43"/>
    </row>
    <row r="537" spans="1:35" x14ac:dyDescent="0.25">
      <c r="A537" s="115" t="s">
        <v>1235</v>
      </c>
      <c r="B537" s="115"/>
      <c r="C537" s="115"/>
      <c r="D537" s="115"/>
      <c r="E537" s="115">
        <v>0</v>
      </c>
      <c r="F537" s="115">
        <v>0</v>
      </c>
      <c r="G537" s="115">
        <v>0</v>
      </c>
      <c r="H537" s="115">
        <v>0</v>
      </c>
      <c r="I537" s="115">
        <v>0</v>
      </c>
      <c r="J537" s="115">
        <v>0</v>
      </c>
      <c r="K537" s="115">
        <v>0</v>
      </c>
      <c r="L537" s="115">
        <v>0</v>
      </c>
      <c r="M537" s="115">
        <v>0</v>
      </c>
      <c r="N537" s="115">
        <v>0</v>
      </c>
      <c r="O537" s="115">
        <v>0</v>
      </c>
      <c r="P537" s="115">
        <v>0</v>
      </c>
      <c r="Q537" s="115">
        <v>0</v>
      </c>
      <c r="R537" s="115">
        <v>0</v>
      </c>
      <c r="S537" s="115">
        <v>0</v>
      </c>
      <c r="T537" s="115">
        <v>0</v>
      </c>
      <c r="U537" s="115">
        <v>0</v>
      </c>
      <c r="V537" s="115">
        <v>0</v>
      </c>
      <c r="W537" s="115">
        <v>0</v>
      </c>
      <c r="X537" s="115">
        <v>0</v>
      </c>
      <c r="Y537" s="115">
        <v>0</v>
      </c>
      <c r="Z537" s="115">
        <v>0</v>
      </c>
      <c r="AA537" s="115">
        <v>0</v>
      </c>
      <c r="AB537" s="115">
        <v>0</v>
      </c>
      <c r="AC537" s="115">
        <v>0</v>
      </c>
      <c r="AD537" s="43"/>
      <c r="AE537" s="43"/>
      <c r="AF537" s="43"/>
      <c r="AG537" s="43"/>
      <c r="AH537" s="43"/>
      <c r="AI537" s="43"/>
    </row>
    <row r="538" spans="1:35" x14ac:dyDescent="0.25">
      <c r="A538" s="115" t="s">
        <v>1222</v>
      </c>
      <c r="B538" s="115"/>
      <c r="C538" s="115">
        <v>0.39200000000000002</v>
      </c>
      <c r="D538" s="115">
        <v>0.17899999999999999</v>
      </c>
      <c r="E538" s="115">
        <v>0.14599999999999999</v>
      </c>
      <c r="F538" s="115">
        <v>0.11899999999999999</v>
      </c>
      <c r="G538" s="115">
        <v>9.7000000000000003E-2</v>
      </c>
      <c r="H538" s="115">
        <v>7.9000000000000001E-2</v>
      </c>
      <c r="I538" s="115">
        <v>6.4000000000000001E-2</v>
      </c>
      <c r="J538" s="115">
        <v>5.1999999999999998E-2</v>
      </c>
      <c r="K538" s="115">
        <v>4.3999999999999997E-2</v>
      </c>
      <c r="L538" s="115">
        <v>3.5999999999999997E-2</v>
      </c>
      <c r="M538" s="115">
        <v>2.9000000000000001E-2</v>
      </c>
      <c r="N538" s="115">
        <v>2.3E-2</v>
      </c>
      <c r="O538" s="115">
        <v>1.9E-2</v>
      </c>
      <c r="P538" s="115">
        <v>1.4999999999999999E-2</v>
      </c>
      <c r="Q538" s="115">
        <v>1.2E-2</v>
      </c>
      <c r="R538" s="115">
        <v>0.01</v>
      </c>
      <c r="S538" s="115">
        <v>8.0000000000000002E-3</v>
      </c>
      <c r="T538" s="115">
        <v>6.0000000000000001E-3</v>
      </c>
      <c r="U538" s="115">
        <v>5.0000000000000001E-3</v>
      </c>
      <c r="V538" s="115">
        <v>4.0000000000000001E-3</v>
      </c>
      <c r="W538" s="115">
        <v>3.0000000000000001E-3</v>
      </c>
      <c r="X538" s="115">
        <v>2E-3</v>
      </c>
      <c r="Y538" s="115">
        <v>1E-3</v>
      </c>
      <c r="Z538" s="115">
        <v>1E-3</v>
      </c>
      <c r="AA538" s="115">
        <v>1E-3</v>
      </c>
      <c r="AB538" s="115">
        <v>1E-3</v>
      </c>
      <c r="AC538" s="115">
        <v>0</v>
      </c>
      <c r="AD538" s="43"/>
      <c r="AE538" s="43"/>
      <c r="AF538" s="43"/>
      <c r="AG538" s="43"/>
      <c r="AH538" s="43"/>
      <c r="AI538" s="43"/>
    </row>
    <row r="539" spans="1:35" x14ac:dyDescent="0.25">
      <c r="A539" s="115" t="s">
        <v>1223</v>
      </c>
      <c r="B539" s="115"/>
      <c r="C539" s="115">
        <v>33.600999999999999</v>
      </c>
      <c r="D539" s="115">
        <v>24.366</v>
      </c>
      <c r="E539" s="115">
        <v>18.808</v>
      </c>
      <c r="F539" s="115">
        <v>14.523999999999999</v>
      </c>
      <c r="G539" s="115">
        <v>11.157</v>
      </c>
      <c r="H539" s="115">
        <v>8.5169999999999995</v>
      </c>
      <c r="I539" s="115">
        <v>6.4539999999999997</v>
      </c>
      <c r="J539" s="115">
        <v>4.915</v>
      </c>
      <c r="K539" s="115">
        <v>3.7629999999999999</v>
      </c>
      <c r="L539" s="115">
        <v>2.81</v>
      </c>
      <c r="M539" s="115">
        <v>2.0950000000000002</v>
      </c>
      <c r="N539" s="115">
        <v>1.5589999999999999</v>
      </c>
      <c r="O539" s="115">
        <v>1.1539999999999999</v>
      </c>
      <c r="P539" s="115">
        <v>0.85599999999999998</v>
      </c>
      <c r="Q539" s="115">
        <v>0.63200000000000001</v>
      </c>
      <c r="R539" s="115">
        <v>0.46300000000000002</v>
      </c>
      <c r="S539" s="115">
        <v>0.33300000000000002</v>
      </c>
      <c r="T539" s="115">
        <v>0.23699999999999999</v>
      </c>
      <c r="U539" s="115">
        <v>0.16700000000000001</v>
      </c>
      <c r="V539" s="115">
        <v>0.115</v>
      </c>
      <c r="W539" s="115">
        <v>8.5000000000000006E-2</v>
      </c>
      <c r="X539" s="115">
        <v>0.06</v>
      </c>
      <c r="Y539" s="115">
        <v>4.2999999999999997E-2</v>
      </c>
      <c r="Z539" s="115">
        <v>0.03</v>
      </c>
      <c r="AA539" s="115">
        <v>0.02</v>
      </c>
      <c r="AB539" s="115">
        <v>1.2999999999999999E-2</v>
      </c>
      <c r="AC539" s="115">
        <v>8.0000000000000002E-3</v>
      </c>
      <c r="AD539" s="43"/>
      <c r="AE539" s="43"/>
      <c r="AF539" s="43"/>
      <c r="AG539" s="43"/>
      <c r="AH539" s="43"/>
      <c r="AI539" s="43"/>
    </row>
    <row r="540" spans="1:35" x14ac:dyDescent="0.25">
      <c r="A540" s="115" t="s">
        <v>1224</v>
      </c>
      <c r="B540" s="115"/>
      <c r="C540" s="115">
        <v>34.076999999999998</v>
      </c>
      <c r="D540" s="115">
        <v>27.521999999999998</v>
      </c>
      <c r="E540" s="115">
        <v>20.672999999999998</v>
      </c>
      <c r="F540" s="115">
        <v>15.446999999999999</v>
      </c>
      <c r="G540" s="115">
        <v>11.461</v>
      </c>
      <c r="H540" s="115">
        <v>8.4260000000000002</v>
      </c>
      <c r="I540" s="115">
        <v>6.125</v>
      </c>
      <c r="J540" s="115">
        <v>4.4249999999999998</v>
      </c>
      <c r="K540" s="115">
        <v>3.0209999999999999</v>
      </c>
      <c r="L540" s="115">
        <v>2.0859999999999999</v>
      </c>
      <c r="M540" s="115">
        <v>1.4159999999999999</v>
      </c>
      <c r="N540" s="115">
        <v>0.94299999999999995</v>
      </c>
      <c r="O540" s="115">
        <v>0.69199999999999995</v>
      </c>
      <c r="P540" s="115">
        <v>0.50700000000000001</v>
      </c>
      <c r="Q540" s="115">
        <v>0.371</v>
      </c>
      <c r="R540" s="115">
        <v>0.27</v>
      </c>
      <c r="S540" s="115">
        <v>0.193</v>
      </c>
      <c r="T540" s="115">
        <v>0.13700000000000001</v>
      </c>
      <c r="U540" s="115">
        <v>9.5000000000000001E-2</v>
      </c>
      <c r="V540" s="115">
        <v>6.5000000000000002E-2</v>
      </c>
      <c r="W540" s="115">
        <v>4.8000000000000001E-2</v>
      </c>
      <c r="X540" s="115">
        <v>3.4000000000000002E-2</v>
      </c>
      <c r="Y540" s="115">
        <v>2.4E-2</v>
      </c>
      <c r="Z540" s="115">
        <v>1.6E-2</v>
      </c>
      <c r="AA540" s="115">
        <v>1.0999999999999999E-2</v>
      </c>
      <c r="AB540" s="115">
        <v>7.0000000000000001E-3</v>
      </c>
      <c r="AC540" s="115">
        <v>4.0000000000000001E-3</v>
      </c>
      <c r="AD540" s="43"/>
      <c r="AE540" s="43"/>
      <c r="AF540" s="43"/>
      <c r="AG540" s="43"/>
      <c r="AH540" s="43"/>
      <c r="AI540" s="43"/>
    </row>
    <row r="541" spans="1:35" x14ac:dyDescent="0.25">
      <c r="A541" s="115" t="s">
        <v>1225</v>
      </c>
      <c r="B541" s="115"/>
      <c r="C541" s="115">
        <v>0</v>
      </c>
      <c r="D541" s="115">
        <v>0</v>
      </c>
      <c r="E541" s="115">
        <v>0</v>
      </c>
      <c r="F541" s="115">
        <v>0</v>
      </c>
      <c r="G541" s="115">
        <v>0</v>
      </c>
      <c r="H541" s="115">
        <v>0</v>
      </c>
      <c r="I541" s="115">
        <v>0</v>
      </c>
      <c r="J541" s="115">
        <v>0</v>
      </c>
      <c r="K541" s="115">
        <v>0</v>
      </c>
      <c r="L541" s="115">
        <v>0</v>
      </c>
      <c r="M541" s="115">
        <v>0</v>
      </c>
      <c r="N541" s="115">
        <v>0</v>
      </c>
      <c r="O541" s="115">
        <v>0</v>
      </c>
      <c r="P541" s="115">
        <v>0</v>
      </c>
      <c r="Q541" s="115">
        <v>0</v>
      </c>
      <c r="R541" s="115">
        <v>0</v>
      </c>
      <c r="S541" s="115">
        <v>0</v>
      </c>
      <c r="T541" s="115">
        <v>0</v>
      </c>
      <c r="U541" s="115">
        <v>0</v>
      </c>
      <c r="V541" s="115">
        <v>0</v>
      </c>
      <c r="W541" s="115">
        <v>0</v>
      </c>
      <c r="X541" s="115">
        <v>0</v>
      </c>
      <c r="Y541" s="115">
        <v>0</v>
      </c>
      <c r="Z541" s="115">
        <v>0</v>
      </c>
      <c r="AA541" s="115">
        <v>0</v>
      </c>
      <c r="AB541" s="115">
        <v>0</v>
      </c>
      <c r="AC541" s="115">
        <v>0</v>
      </c>
      <c r="AD541" s="43"/>
      <c r="AE541" s="43"/>
      <c r="AF541" s="43"/>
      <c r="AG541" s="43"/>
      <c r="AH541" s="43"/>
      <c r="AI541" s="43"/>
    </row>
    <row r="542" spans="1:35" x14ac:dyDescent="0.25">
      <c r="A542" s="115" t="s">
        <v>1226</v>
      </c>
      <c r="B542" s="115"/>
      <c r="C542" s="115">
        <v>0</v>
      </c>
      <c r="D542" s="115">
        <v>0</v>
      </c>
      <c r="E542" s="115">
        <v>0</v>
      </c>
      <c r="F542" s="115">
        <v>0</v>
      </c>
      <c r="G542" s="115">
        <v>0</v>
      </c>
      <c r="H542" s="115">
        <v>0</v>
      </c>
      <c r="I542" s="115">
        <v>0</v>
      </c>
      <c r="J542" s="115">
        <v>0</v>
      </c>
      <c r="K542" s="115">
        <v>0</v>
      </c>
      <c r="L542" s="115">
        <v>0</v>
      </c>
      <c r="M542" s="115">
        <v>0</v>
      </c>
      <c r="N542" s="115">
        <v>0</v>
      </c>
      <c r="O542" s="115">
        <v>0</v>
      </c>
      <c r="P542" s="115">
        <v>0</v>
      </c>
      <c r="Q542" s="115">
        <v>0</v>
      </c>
      <c r="R542" s="115">
        <v>0</v>
      </c>
      <c r="S542" s="115">
        <v>0</v>
      </c>
      <c r="T542" s="115">
        <v>0</v>
      </c>
      <c r="U542" s="115">
        <v>0</v>
      </c>
      <c r="V542" s="115">
        <v>0</v>
      </c>
      <c r="W542" s="115">
        <v>0</v>
      </c>
      <c r="X542" s="115">
        <v>0</v>
      </c>
      <c r="Y542" s="115">
        <v>0</v>
      </c>
      <c r="Z542" s="115">
        <v>0</v>
      </c>
      <c r="AA542" s="115">
        <v>0</v>
      </c>
      <c r="AB542" s="115">
        <v>0</v>
      </c>
      <c r="AC542" s="115">
        <v>0</v>
      </c>
      <c r="AD542" s="43"/>
      <c r="AE542" s="43"/>
      <c r="AF542" s="43"/>
      <c r="AG542" s="43"/>
      <c r="AH542" s="43"/>
      <c r="AI542" s="43"/>
    </row>
    <row r="543" spans="1:35" x14ac:dyDescent="0.25">
      <c r="A543" s="115" t="s">
        <v>1227</v>
      </c>
      <c r="B543" s="115"/>
      <c r="C543" s="115">
        <v>0</v>
      </c>
      <c r="D543" s="115">
        <v>0</v>
      </c>
      <c r="E543" s="115">
        <v>0</v>
      </c>
      <c r="F543" s="115">
        <v>0</v>
      </c>
      <c r="G543" s="115">
        <v>0</v>
      </c>
      <c r="H543" s="115">
        <v>0</v>
      </c>
      <c r="I543" s="115">
        <v>0</v>
      </c>
      <c r="J543" s="115">
        <v>0</v>
      </c>
      <c r="K543" s="115">
        <v>0</v>
      </c>
      <c r="L543" s="115">
        <v>0</v>
      </c>
      <c r="M543" s="115">
        <v>0</v>
      </c>
      <c r="N543" s="115">
        <v>0</v>
      </c>
      <c r="O543" s="115">
        <v>0</v>
      </c>
      <c r="P543" s="115">
        <v>0</v>
      </c>
      <c r="Q543" s="115">
        <v>0</v>
      </c>
      <c r="R543" s="115">
        <v>0</v>
      </c>
      <c r="S543" s="115">
        <v>0</v>
      </c>
      <c r="T543" s="115">
        <v>0</v>
      </c>
      <c r="U543" s="115">
        <v>0</v>
      </c>
      <c r="V543" s="115">
        <v>0</v>
      </c>
      <c r="W543" s="115">
        <v>0</v>
      </c>
      <c r="X543" s="115">
        <v>0</v>
      </c>
      <c r="Y543" s="115">
        <v>0</v>
      </c>
      <c r="Z543" s="115">
        <v>0</v>
      </c>
      <c r="AA543" s="115">
        <v>0</v>
      </c>
      <c r="AB543" s="115">
        <v>0</v>
      </c>
      <c r="AC543" s="115">
        <v>0</v>
      </c>
      <c r="AD543" s="43"/>
      <c r="AE543" s="43"/>
      <c r="AF543" s="43"/>
      <c r="AG543" s="43"/>
      <c r="AH543" s="43"/>
      <c r="AI543" s="43"/>
    </row>
    <row r="544" spans="1:35" x14ac:dyDescent="0.25">
      <c r="A544" s="115" t="s">
        <v>75</v>
      </c>
      <c r="B544" s="115"/>
      <c r="C544" s="115">
        <v>0</v>
      </c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43"/>
      <c r="AE544" s="43"/>
      <c r="AF544" s="43"/>
      <c r="AG544" s="43"/>
      <c r="AH544" s="43"/>
      <c r="AI544" s="43"/>
    </row>
    <row r="545" spans="1:35" x14ac:dyDescent="0.25">
      <c r="A545" s="115" t="s">
        <v>1137</v>
      </c>
      <c r="B545" s="115"/>
      <c r="C545" s="115">
        <v>0.41199999999999998</v>
      </c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43"/>
      <c r="AE545" s="43"/>
      <c r="AF545" s="43"/>
      <c r="AG545" s="43"/>
      <c r="AH545" s="43"/>
      <c r="AI545" s="43"/>
    </row>
    <row r="546" spans="1:35" x14ac:dyDescent="0.25">
      <c r="A546" s="115" t="s">
        <v>1050</v>
      </c>
      <c r="B546" s="115"/>
      <c r="C546" s="115">
        <v>0</v>
      </c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43"/>
      <c r="AE546" s="43"/>
      <c r="AF546" s="43"/>
      <c r="AG546" s="43"/>
      <c r="AH546" s="43"/>
      <c r="AI546" s="43"/>
    </row>
    <row r="547" spans="1:35" x14ac:dyDescent="0.25">
      <c r="A547" s="115" t="s">
        <v>1048</v>
      </c>
      <c r="B547" s="115"/>
      <c r="C547" s="115">
        <v>0</v>
      </c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43"/>
      <c r="AE547" s="43"/>
      <c r="AF547" s="43"/>
      <c r="AG547" s="43"/>
      <c r="AH547" s="43"/>
      <c r="AI547" s="43"/>
    </row>
    <row r="548" spans="1:35" x14ac:dyDescent="0.25">
      <c r="A548" s="115" t="s">
        <v>1043</v>
      </c>
      <c r="B548" s="115"/>
      <c r="C548" s="115">
        <v>0</v>
      </c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43"/>
      <c r="AE548" s="43"/>
      <c r="AF548" s="43"/>
      <c r="AG548" s="43"/>
      <c r="AH548" s="43"/>
      <c r="AI548" s="43"/>
    </row>
    <row r="549" spans="1:35" x14ac:dyDescent="0.25">
      <c r="A549" s="115" t="s">
        <v>1044</v>
      </c>
      <c r="B549" s="115"/>
      <c r="C549" s="115">
        <v>0</v>
      </c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43"/>
      <c r="AE549" s="43"/>
      <c r="AF549" s="43"/>
      <c r="AG549" s="43"/>
      <c r="AH549" s="43"/>
      <c r="AI549" s="43"/>
    </row>
    <row r="550" spans="1:35" x14ac:dyDescent="0.25">
      <c r="A550" s="115" t="s">
        <v>1045</v>
      </c>
      <c r="B550" s="115"/>
      <c r="C550" s="115">
        <v>0</v>
      </c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43"/>
      <c r="AE550" s="43"/>
      <c r="AF550" s="43"/>
      <c r="AG550" s="43"/>
      <c r="AH550" s="43"/>
      <c r="AI550" s="43"/>
    </row>
    <row r="551" spans="1:35" x14ac:dyDescent="0.25">
      <c r="A551" s="115" t="s">
        <v>1046</v>
      </c>
      <c r="B551" s="115"/>
      <c r="C551" s="115">
        <v>0</v>
      </c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43"/>
      <c r="AE551" s="43"/>
      <c r="AF551" s="43"/>
      <c r="AG551" s="43"/>
      <c r="AH551" s="43"/>
      <c r="AI551" s="43"/>
    </row>
    <row r="552" spans="1:35" x14ac:dyDescent="0.25">
      <c r="A552" s="115" t="s">
        <v>1047</v>
      </c>
      <c r="B552" s="115"/>
      <c r="C552" s="115">
        <v>0</v>
      </c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43"/>
      <c r="AE552" s="43"/>
      <c r="AF552" s="43"/>
      <c r="AG552" s="43"/>
      <c r="AH552" s="43"/>
      <c r="AI552" s="43"/>
    </row>
    <row r="553" spans="1:35" x14ac:dyDescent="0.25">
      <c r="A553" s="115" t="s">
        <v>1041</v>
      </c>
      <c r="B553" s="115"/>
      <c r="C553" s="115">
        <v>0</v>
      </c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43"/>
      <c r="AE553" s="43"/>
      <c r="AF553" s="43"/>
      <c r="AG553" s="43"/>
      <c r="AH553" s="43"/>
      <c r="AI553" s="43"/>
    </row>
    <row r="554" spans="1:35" x14ac:dyDescent="0.25">
      <c r="A554" s="115" t="s">
        <v>1042</v>
      </c>
      <c r="B554" s="115"/>
      <c r="C554" s="115">
        <v>0</v>
      </c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43"/>
      <c r="AE554" s="43"/>
      <c r="AF554" s="43"/>
      <c r="AG554" s="43"/>
      <c r="AH554" s="43"/>
      <c r="AI554" s="43"/>
    </row>
    <row r="555" spans="1:35" x14ac:dyDescent="0.25">
      <c r="A555" s="115" t="s">
        <v>1113</v>
      </c>
      <c r="B555" s="115"/>
      <c r="C555" s="115">
        <v>0</v>
      </c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43"/>
      <c r="AE555" s="43"/>
      <c r="AF555" s="43"/>
      <c r="AG555" s="43"/>
      <c r="AH555" s="43"/>
      <c r="AI555" s="43"/>
    </row>
    <row r="556" spans="1:35" x14ac:dyDescent="0.25">
      <c r="A556" s="115" t="s">
        <v>1110</v>
      </c>
      <c r="B556" s="115"/>
      <c r="C556" s="115">
        <v>0.41199999999999998</v>
      </c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43"/>
      <c r="AE556" s="43"/>
      <c r="AF556" s="43"/>
      <c r="AG556" s="43"/>
      <c r="AH556" s="43"/>
      <c r="AI556" s="43"/>
    </row>
    <row r="557" spans="1:35" x14ac:dyDescent="0.25">
      <c r="A557" s="115" t="s">
        <v>1105</v>
      </c>
      <c r="B557" s="115"/>
      <c r="C557" s="115">
        <v>0</v>
      </c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43"/>
      <c r="AE557" s="43"/>
      <c r="AF557" s="43"/>
      <c r="AG557" s="43"/>
      <c r="AH557" s="43"/>
      <c r="AI557" s="43"/>
    </row>
    <row r="558" spans="1:35" x14ac:dyDescent="0.25">
      <c r="A558" s="115" t="s">
        <v>1106</v>
      </c>
      <c r="B558" s="115"/>
      <c r="C558" s="115">
        <v>0</v>
      </c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43"/>
      <c r="AE558" s="43"/>
      <c r="AF558" s="43"/>
      <c r="AG558" s="43"/>
      <c r="AH558" s="43"/>
      <c r="AI558" s="43"/>
    </row>
    <row r="559" spans="1:35" x14ac:dyDescent="0.25">
      <c r="A559" s="115" t="s">
        <v>1107</v>
      </c>
      <c r="B559" s="115"/>
      <c r="C559" s="115">
        <v>0</v>
      </c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43"/>
      <c r="AE559" s="43"/>
      <c r="AF559" s="43"/>
      <c r="AG559" s="43"/>
      <c r="AH559" s="43"/>
      <c r="AI559" s="43"/>
    </row>
    <row r="560" spans="1:35" x14ac:dyDescent="0.25">
      <c r="A560" s="115" t="s">
        <v>1108</v>
      </c>
      <c r="B560" s="115"/>
      <c r="C560" s="115">
        <v>0.14299999999999999</v>
      </c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43"/>
      <c r="AE560" s="43"/>
      <c r="AF560" s="43"/>
      <c r="AG560" s="43"/>
      <c r="AH560" s="43"/>
      <c r="AI560" s="43"/>
    </row>
    <row r="561" spans="1:35" x14ac:dyDescent="0.25">
      <c r="A561" s="115" t="s">
        <v>1109</v>
      </c>
      <c r="B561" s="115"/>
      <c r="C561" s="115">
        <v>0.26800000000000002</v>
      </c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43"/>
      <c r="AE561" s="43"/>
      <c r="AF561" s="43"/>
      <c r="AG561" s="43"/>
      <c r="AH561" s="43"/>
      <c r="AI561" s="43"/>
    </row>
    <row r="562" spans="1:35" x14ac:dyDescent="0.25">
      <c r="A562" s="115" t="s">
        <v>1103</v>
      </c>
      <c r="B562" s="115"/>
      <c r="C562" s="115">
        <v>0.41199999999999998</v>
      </c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43"/>
      <c r="AE562" s="43"/>
      <c r="AF562" s="43"/>
      <c r="AG562" s="43"/>
      <c r="AH562" s="43"/>
      <c r="AI562" s="43"/>
    </row>
    <row r="563" spans="1:35" x14ac:dyDescent="0.25">
      <c r="A563" s="115" t="s">
        <v>1104</v>
      </c>
      <c r="B563" s="115"/>
      <c r="C563" s="115">
        <v>0</v>
      </c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43"/>
      <c r="AE563" s="43"/>
      <c r="AF563" s="43"/>
      <c r="AG563" s="43"/>
      <c r="AH563" s="43"/>
      <c r="AI563" s="43"/>
    </row>
    <row r="564" spans="1:35" x14ac:dyDescent="0.25">
      <c r="A564" s="115" t="s">
        <v>1138</v>
      </c>
      <c r="B564" s="115"/>
      <c r="C564" s="115">
        <v>0.41199999999999998</v>
      </c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43"/>
      <c r="AE564" s="43"/>
      <c r="AF564" s="43"/>
      <c r="AG564" s="43"/>
      <c r="AH564" s="43"/>
      <c r="AI564" s="43"/>
    </row>
    <row r="565" spans="1:35" x14ac:dyDescent="0.25">
      <c r="A565" s="115" t="s">
        <v>1139</v>
      </c>
      <c r="B565" s="115"/>
      <c r="C565" s="115">
        <v>0</v>
      </c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43"/>
      <c r="AE565" s="43"/>
      <c r="AF565" s="43"/>
      <c r="AG565" s="43"/>
      <c r="AH565" s="43"/>
      <c r="AI565" s="43"/>
    </row>
    <row r="566" spans="1:35" x14ac:dyDescent="0.25">
      <c r="A566" s="115" t="s">
        <v>651</v>
      </c>
      <c r="B566" s="115"/>
      <c r="C566" s="115">
        <v>0.56200000000000006</v>
      </c>
      <c r="D566" s="115">
        <v>0.57599999999999996</v>
      </c>
      <c r="E566" s="115">
        <v>0.58199999999999996</v>
      </c>
      <c r="F566" s="115">
        <v>0.56699999999999995</v>
      </c>
      <c r="G566" s="115">
        <v>0.57099999999999995</v>
      </c>
      <c r="H566" s="115">
        <v>0.57599999999999996</v>
      </c>
      <c r="I566" s="115">
        <v>0.56799999999999995</v>
      </c>
      <c r="J566" s="115">
        <v>0.59</v>
      </c>
      <c r="K566" s="115">
        <v>0.59099999999999997</v>
      </c>
      <c r="L566" s="115">
        <v>0.59299999999999997</v>
      </c>
      <c r="M566" s="115">
        <v>0.59699999999999998</v>
      </c>
      <c r="N566" s="115">
        <v>0.60199999999999998</v>
      </c>
      <c r="O566" s="115">
        <v>0.60699999999999998</v>
      </c>
      <c r="P566" s="115">
        <v>0.624</v>
      </c>
      <c r="Q566" s="115">
        <v>0.626</v>
      </c>
      <c r="R566" s="115">
        <v>0.63</v>
      </c>
      <c r="S566" s="115">
        <v>0.56899999999999995</v>
      </c>
      <c r="T566" s="115">
        <v>0.64100000000000001</v>
      </c>
      <c r="U566" s="115">
        <v>0.64500000000000002</v>
      </c>
      <c r="V566" s="115">
        <v>0.64900000000000002</v>
      </c>
      <c r="W566" s="115">
        <v>0.65200000000000002</v>
      </c>
      <c r="X566" s="115">
        <v>0.65400000000000003</v>
      </c>
      <c r="Y566" s="115">
        <v>0.65600000000000003</v>
      </c>
      <c r="Z566" s="115">
        <v>0.65900000000000003</v>
      </c>
      <c r="AA566" s="115">
        <v>0.66200000000000003</v>
      </c>
      <c r="AB566" s="115">
        <v>0.66500000000000004</v>
      </c>
      <c r="AC566" s="115">
        <v>0.66800000000000004</v>
      </c>
      <c r="AD566" s="43"/>
      <c r="AE566" s="43"/>
      <c r="AF566" s="43"/>
      <c r="AG566" s="43"/>
      <c r="AH566" s="43"/>
      <c r="AI566" s="43"/>
    </row>
    <row r="567" spans="1:35" x14ac:dyDescent="0.25">
      <c r="A567" s="115" t="s">
        <v>566</v>
      </c>
      <c r="B567" s="115">
        <v>0.23699999999999999</v>
      </c>
      <c r="C567" s="115">
        <v>0.25700000000000001</v>
      </c>
      <c r="D567" s="115">
        <v>0.26600000000000001</v>
      </c>
      <c r="E567" s="115">
        <v>0.27</v>
      </c>
      <c r="F567" s="115">
        <v>0.27400000000000002</v>
      </c>
      <c r="G567" s="115">
        <v>0.27800000000000002</v>
      </c>
      <c r="H567" s="115">
        <v>0.28199999999999997</v>
      </c>
      <c r="I567" s="115">
        <v>0.28599999999999998</v>
      </c>
      <c r="J567" s="115">
        <v>0.28999999999999998</v>
      </c>
      <c r="K567" s="115">
        <v>0.29399999999999998</v>
      </c>
      <c r="L567" s="115">
        <v>0.29799999999999999</v>
      </c>
      <c r="M567" s="115">
        <v>0.30299999999999999</v>
      </c>
      <c r="N567" s="115">
        <v>0.307</v>
      </c>
      <c r="O567" s="115">
        <v>0.312</v>
      </c>
      <c r="P567" s="115">
        <v>0.317</v>
      </c>
      <c r="Q567" s="115">
        <v>0.32200000000000001</v>
      </c>
      <c r="R567" s="115">
        <v>0.32600000000000001</v>
      </c>
      <c r="S567" s="115">
        <v>0.33100000000000002</v>
      </c>
      <c r="T567" s="115">
        <v>0.33600000000000002</v>
      </c>
      <c r="U567" s="115">
        <v>0.34100000000000003</v>
      </c>
      <c r="V567" s="115">
        <v>0.34599999999999997</v>
      </c>
      <c r="W567" s="115">
        <v>0.35099999999999998</v>
      </c>
      <c r="X567" s="115">
        <v>0.35599999999999998</v>
      </c>
      <c r="Y567" s="115">
        <v>0.36199999999999999</v>
      </c>
      <c r="Z567" s="115">
        <v>0.36699999999999999</v>
      </c>
      <c r="AA567" s="115">
        <v>0.372</v>
      </c>
      <c r="AB567" s="115">
        <v>0.378</v>
      </c>
      <c r="AC567" s="115">
        <v>0.38400000000000001</v>
      </c>
      <c r="AD567" s="43"/>
      <c r="AE567" s="43"/>
      <c r="AF567" s="43"/>
      <c r="AG567" s="43"/>
      <c r="AH567" s="43"/>
      <c r="AI567" s="43"/>
    </row>
    <row r="568" spans="1:35" x14ac:dyDescent="0.25">
      <c r="A568" s="115" t="s">
        <v>567</v>
      </c>
      <c r="B568" s="115">
        <v>8.1000000000000003E-2</v>
      </c>
      <c r="C568" s="115">
        <v>8.1000000000000003E-2</v>
      </c>
      <c r="D568" s="115">
        <v>8.2000000000000003E-2</v>
      </c>
      <c r="E568" s="115">
        <v>8.3000000000000004E-2</v>
      </c>
      <c r="F568" s="115">
        <v>8.4000000000000005E-2</v>
      </c>
      <c r="G568" s="115">
        <v>8.5000000000000006E-2</v>
      </c>
      <c r="H568" s="115">
        <v>8.5999999999999993E-2</v>
      </c>
      <c r="I568" s="115">
        <v>8.6999999999999994E-2</v>
      </c>
      <c r="J568" s="115">
        <v>8.7999999999999995E-2</v>
      </c>
      <c r="K568" s="115">
        <v>8.8999999999999996E-2</v>
      </c>
      <c r="L568" s="115">
        <v>0.09</v>
      </c>
      <c r="M568" s="115">
        <v>9.0999999999999998E-2</v>
      </c>
      <c r="N568" s="115">
        <v>9.1999999999999998E-2</v>
      </c>
      <c r="O568" s="115">
        <v>9.2999999999999999E-2</v>
      </c>
      <c r="P568" s="115">
        <v>9.4E-2</v>
      </c>
      <c r="Q568" s="115">
        <v>9.5000000000000001E-2</v>
      </c>
      <c r="R568" s="115">
        <v>9.6000000000000002E-2</v>
      </c>
      <c r="S568" s="115">
        <v>9.7000000000000003E-2</v>
      </c>
      <c r="T568" s="115">
        <v>9.9000000000000005E-2</v>
      </c>
      <c r="U568" s="115">
        <v>0.1</v>
      </c>
      <c r="V568" s="115">
        <v>0.10100000000000001</v>
      </c>
      <c r="W568" s="115">
        <v>0.10199999999999999</v>
      </c>
      <c r="X568" s="115">
        <v>0.10299999999999999</v>
      </c>
      <c r="Y568" s="115">
        <v>0.105</v>
      </c>
      <c r="Z568" s="115">
        <v>0.106</v>
      </c>
      <c r="AA568" s="115">
        <v>0.107</v>
      </c>
      <c r="AB568" s="115">
        <v>0.108</v>
      </c>
      <c r="AC568" s="115">
        <v>0.11</v>
      </c>
      <c r="AD568" s="43"/>
      <c r="AE568" s="43"/>
      <c r="AF568" s="43"/>
      <c r="AG568" s="43"/>
      <c r="AH568" s="43"/>
      <c r="AI568" s="43"/>
    </row>
    <row r="569" spans="1:35" x14ac:dyDescent="0.25">
      <c r="A569" s="115" t="s">
        <v>568</v>
      </c>
      <c r="B569" s="115">
        <v>0.11700000000000001</v>
      </c>
      <c r="C569" s="115">
        <v>0.11700000000000001</v>
      </c>
      <c r="D569" s="115">
        <v>0.115</v>
      </c>
      <c r="E569" s="115">
        <v>0.11899999999999999</v>
      </c>
      <c r="F569" s="115">
        <v>0.13100000000000001</v>
      </c>
      <c r="G569" s="115">
        <v>0.13600000000000001</v>
      </c>
      <c r="H569" s="115">
        <v>0.14099999999999999</v>
      </c>
      <c r="I569" s="115">
        <v>0.14599999999999999</v>
      </c>
      <c r="J569" s="115">
        <v>0.152</v>
      </c>
      <c r="K569" s="115">
        <v>0.159</v>
      </c>
      <c r="L569" s="115">
        <v>0.16600000000000001</v>
      </c>
      <c r="M569" s="115">
        <v>0.17199999999999999</v>
      </c>
      <c r="N569" s="115">
        <v>0.17899999999999999</v>
      </c>
      <c r="O569" s="115">
        <v>0.186</v>
      </c>
      <c r="P569" s="115">
        <v>0.192</v>
      </c>
      <c r="Q569" s="115">
        <v>0.19900000000000001</v>
      </c>
      <c r="R569" s="115">
        <v>0.20599999999999999</v>
      </c>
      <c r="S569" s="115">
        <v>0.35599999999999998</v>
      </c>
      <c r="T569" s="115">
        <v>0.22</v>
      </c>
      <c r="U569" s="115">
        <v>0.22700000000000001</v>
      </c>
      <c r="V569" s="115">
        <v>0.23400000000000001</v>
      </c>
      <c r="W569" s="115">
        <v>0.24199999999999999</v>
      </c>
      <c r="X569" s="115">
        <v>0.25</v>
      </c>
      <c r="Y569" s="115">
        <v>0.25700000000000001</v>
      </c>
      <c r="Z569" s="115">
        <v>0.26400000000000001</v>
      </c>
      <c r="AA569" s="115">
        <v>0.27200000000000002</v>
      </c>
      <c r="AB569" s="115">
        <v>0.28000000000000003</v>
      </c>
      <c r="AC569" s="115">
        <v>0.28799999999999998</v>
      </c>
      <c r="AD569" s="43"/>
      <c r="AE569" s="43"/>
      <c r="AF569" s="43"/>
      <c r="AG569" s="43"/>
      <c r="AH569" s="43"/>
      <c r="AI569" s="43"/>
    </row>
    <row r="570" spans="1:35" x14ac:dyDescent="0.25">
      <c r="A570" s="115" t="s">
        <v>569</v>
      </c>
      <c r="B570" s="115">
        <v>0.13</v>
      </c>
      <c r="C570" s="115">
        <v>0.13100000000000001</v>
      </c>
      <c r="D570" s="115">
        <v>0.129</v>
      </c>
      <c r="E570" s="115">
        <v>0.13300000000000001</v>
      </c>
      <c r="F570" s="115">
        <v>0.14799999999999999</v>
      </c>
      <c r="G570" s="115">
        <v>0.153</v>
      </c>
      <c r="H570" s="115">
        <v>0.159</v>
      </c>
      <c r="I570" s="115">
        <v>0.16400000000000001</v>
      </c>
      <c r="J570" s="115">
        <v>0.17199999999999999</v>
      </c>
      <c r="K570" s="115">
        <v>0.17899999999999999</v>
      </c>
      <c r="L570" s="115">
        <v>0.187</v>
      </c>
      <c r="M570" s="115">
        <v>0.19400000000000001</v>
      </c>
      <c r="N570" s="115">
        <v>0.20200000000000001</v>
      </c>
      <c r="O570" s="115">
        <v>0.21</v>
      </c>
      <c r="P570" s="115">
        <v>0.218</v>
      </c>
      <c r="Q570" s="115">
        <v>0.22600000000000001</v>
      </c>
      <c r="R570" s="115">
        <v>0.23400000000000001</v>
      </c>
      <c r="S570" s="115">
        <v>0.24299999999999999</v>
      </c>
      <c r="T570" s="115">
        <v>0.249</v>
      </c>
      <c r="U570" s="115">
        <v>0.25600000000000001</v>
      </c>
      <c r="V570" s="115">
        <v>0.26300000000000001</v>
      </c>
      <c r="W570" s="115">
        <v>0.27100000000000002</v>
      </c>
      <c r="X570" s="115">
        <v>0.27800000000000002</v>
      </c>
      <c r="Y570" s="115">
        <v>0.28599999999999998</v>
      </c>
      <c r="Z570" s="115">
        <v>0.29399999999999998</v>
      </c>
      <c r="AA570" s="115">
        <v>0.30299999999999999</v>
      </c>
      <c r="AB570" s="115">
        <v>0.312</v>
      </c>
      <c r="AC570" s="115">
        <v>0.32100000000000001</v>
      </c>
      <c r="AD570" s="43"/>
      <c r="AE570" s="43"/>
      <c r="AF570" s="43"/>
      <c r="AG570" s="43"/>
      <c r="AH570" s="43"/>
      <c r="AI570" s="43"/>
    </row>
    <row r="571" spans="1:35" x14ac:dyDescent="0.25">
      <c r="A571" s="115" t="s">
        <v>570</v>
      </c>
      <c r="B571" s="115">
        <v>6.5000000000000002E-2</v>
      </c>
      <c r="C571" s="115">
        <v>6.5000000000000002E-2</v>
      </c>
      <c r="D571" s="115">
        <v>6.6000000000000003E-2</v>
      </c>
      <c r="E571" s="115">
        <v>6.6000000000000003E-2</v>
      </c>
      <c r="F571" s="115">
        <v>6.7000000000000004E-2</v>
      </c>
      <c r="G571" s="115">
        <v>6.8000000000000005E-2</v>
      </c>
      <c r="H571" s="115">
        <v>6.9000000000000006E-2</v>
      </c>
      <c r="I571" s="115">
        <v>7.0000000000000007E-2</v>
      </c>
      <c r="J571" s="115">
        <v>7.0999999999999994E-2</v>
      </c>
      <c r="K571" s="115">
        <v>7.0999999999999994E-2</v>
      </c>
      <c r="L571" s="115">
        <v>7.1999999999999995E-2</v>
      </c>
      <c r="M571" s="115">
        <v>7.2999999999999995E-2</v>
      </c>
      <c r="N571" s="115">
        <v>7.3999999999999996E-2</v>
      </c>
      <c r="O571" s="115">
        <v>7.4999999999999997E-2</v>
      </c>
      <c r="P571" s="115">
        <v>7.5999999999999998E-2</v>
      </c>
      <c r="Q571" s="115">
        <v>7.6999999999999999E-2</v>
      </c>
      <c r="R571" s="115">
        <v>7.8E-2</v>
      </c>
      <c r="S571" s="115">
        <v>7.9000000000000001E-2</v>
      </c>
      <c r="T571" s="115">
        <v>0.08</v>
      </c>
      <c r="U571" s="115">
        <v>8.1000000000000003E-2</v>
      </c>
      <c r="V571" s="115">
        <v>8.2000000000000003E-2</v>
      </c>
      <c r="W571" s="115">
        <v>8.3000000000000004E-2</v>
      </c>
      <c r="X571" s="115">
        <v>8.4000000000000005E-2</v>
      </c>
      <c r="Y571" s="115">
        <v>8.5000000000000006E-2</v>
      </c>
      <c r="Z571" s="115">
        <v>8.5999999999999993E-2</v>
      </c>
      <c r="AA571" s="115">
        <v>8.6999999999999994E-2</v>
      </c>
      <c r="AB571" s="115">
        <v>8.7999999999999995E-2</v>
      </c>
      <c r="AC571" s="115">
        <v>8.8999999999999996E-2</v>
      </c>
      <c r="AD571" s="43"/>
      <c r="AE571" s="43"/>
      <c r="AF571" s="43"/>
      <c r="AG571" s="43"/>
      <c r="AH571" s="43"/>
      <c r="AI571" s="43"/>
    </row>
    <row r="572" spans="1:35" x14ac:dyDescent="0.25">
      <c r="A572" s="115" t="s">
        <v>681</v>
      </c>
      <c r="B572" s="115"/>
      <c r="C572" s="115">
        <v>1.7000000000000001E-2</v>
      </c>
      <c r="D572" s="115">
        <v>1.2999999999999999E-2</v>
      </c>
      <c r="E572" s="115">
        <v>1.2999999999999999E-2</v>
      </c>
      <c r="F572" s="115">
        <v>1.4E-2</v>
      </c>
      <c r="G572" s="115">
        <v>1.2999999999999999E-2</v>
      </c>
      <c r="H572" s="115">
        <v>1.2999999999999999E-2</v>
      </c>
      <c r="I572" s="115">
        <v>1.4E-2</v>
      </c>
      <c r="J572" s="115">
        <v>1.2999999999999999E-2</v>
      </c>
      <c r="K572" s="115">
        <v>1.4E-2</v>
      </c>
      <c r="L572" s="115">
        <v>1.2999999999999999E-2</v>
      </c>
      <c r="M572" s="115">
        <v>1.2999999999999999E-2</v>
      </c>
      <c r="N572" s="115">
        <v>1.2999999999999999E-2</v>
      </c>
      <c r="O572" s="115">
        <v>0.02</v>
      </c>
      <c r="P572" s="115">
        <v>1.9E-2</v>
      </c>
      <c r="Q572" s="115">
        <v>1.7999999999999999E-2</v>
      </c>
      <c r="R572" s="115">
        <v>1.7000000000000001E-2</v>
      </c>
      <c r="S572" s="115">
        <v>3.3000000000000002E-2</v>
      </c>
      <c r="T572" s="115">
        <v>2.1999999999999999E-2</v>
      </c>
      <c r="U572" s="115">
        <v>2.1000000000000001E-2</v>
      </c>
      <c r="V572" s="115">
        <v>0.02</v>
      </c>
      <c r="W572" s="115">
        <v>1.9E-2</v>
      </c>
      <c r="X572" s="115">
        <v>1.7999999999999999E-2</v>
      </c>
      <c r="Y572" s="115">
        <v>1.7000000000000001E-2</v>
      </c>
      <c r="Z572" s="115">
        <v>1.7000000000000001E-2</v>
      </c>
      <c r="AA572" s="115">
        <v>1.6E-2</v>
      </c>
      <c r="AB572" s="115">
        <v>1.4999999999999999E-2</v>
      </c>
      <c r="AC572" s="115">
        <v>1.4E-2</v>
      </c>
      <c r="AD572" s="43"/>
      <c r="AE572" s="43"/>
      <c r="AF572" s="43"/>
      <c r="AG572" s="43"/>
      <c r="AH572" s="43"/>
      <c r="AI572" s="43"/>
    </row>
    <row r="573" spans="1:35" x14ac:dyDescent="0.25">
      <c r="A573" s="115" t="s">
        <v>682</v>
      </c>
      <c r="B573" s="115"/>
      <c r="C573" s="115">
        <v>1.2999999999999999E-2</v>
      </c>
      <c r="D573" s="115">
        <v>0.01</v>
      </c>
      <c r="E573" s="115">
        <v>1.4999999999999999E-2</v>
      </c>
      <c r="F573" s="115">
        <v>1.2999999999999999E-2</v>
      </c>
      <c r="G573" s="115">
        <v>1.0999999999999999E-2</v>
      </c>
      <c r="H573" s="115">
        <v>8.9999999999999993E-3</v>
      </c>
      <c r="I573" s="115">
        <v>8.0000000000000002E-3</v>
      </c>
      <c r="J573" s="115">
        <v>3.7999999999999999E-2</v>
      </c>
      <c r="K573" s="115">
        <v>3.1E-2</v>
      </c>
      <c r="L573" s="115">
        <v>2.5000000000000001E-2</v>
      </c>
      <c r="M573" s="115">
        <v>0.02</v>
      </c>
      <c r="N573" s="115">
        <v>1.7000000000000001E-2</v>
      </c>
      <c r="O573" s="115">
        <v>1.4E-2</v>
      </c>
      <c r="P573" s="115">
        <v>6.4000000000000001E-2</v>
      </c>
      <c r="Q573" s="115">
        <v>5.6000000000000001E-2</v>
      </c>
      <c r="R573" s="115">
        <v>4.9000000000000002E-2</v>
      </c>
      <c r="S573" s="115">
        <v>4.3999999999999997E-2</v>
      </c>
      <c r="T573" s="115">
        <v>3.7999999999999999E-2</v>
      </c>
      <c r="U573" s="115">
        <v>3.4000000000000002E-2</v>
      </c>
      <c r="V573" s="115">
        <v>0.03</v>
      </c>
      <c r="W573" s="115">
        <v>2.7E-2</v>
      </c>
      <c r="X573" s="115">
        <v>2.5000000000000001E-2</v>
      </c>
      <c r="Y573" s="115">
        <v>2.1999999999999999E-2</v>
      </c>
      <c r="Z573" s="115">
        <v>0.02</v>
      </c>
      <c r="AA573" s="115">
        <v>1.9E-2</v>
      </c>
      <c r="AB573" s="115">
        <v>1.7000000000000001E-2</v>
      </c>
      <c r="AC573" s="115">
        <v>1.6E-2</v>
      </c>
      <c r="AD573" s="43"/>
      <c r="AE573" s="43"/>
      <c r="AF573" s="43"/>
      <c r="AG573" s="43"/>
      <c r="AH573" s="43"/>
      <c r="AI573" s="43"/>
    </row>
    <row r="574" spans="1:35" x14ac:dyDescent="0.25">
      <c r="A574" s="115" t="s">
        <v>683</v>
      </c>
      <c r="B574" s="115"/>
      <c r="C574" s="115">
        <v>4.0000000000000001E-3</v>
      </c>
      <c r="D574" s="115">
        <v>1.6E-2</v>
      </c>
      <c r="E574" s="115">
        <v>3.5000000000000003E-2</v>
      </c>
      <c r="F574" s="115">
        <v>4.4999999999999998E-2</v>
      </c>
      <c r="G574" s="115">
        <v>5.5E-2</v>
      </c>
      <c r="H574" s="115">
        <v>5.7000000000000002E-2</v>
      </c>
      <c r="I574" s="115">
        <v>5.7000000000000002E-2</v>
      </c>
      <c r="J574" s="115">
        <v>0.06</v>
      </c>
      <c r="K574" s="115">
        <v>5.8000000000000003E-2</v>
      </c>
      <c r="L574" s="115">
        <v>6.2E-2</v>
      </c>
      <c r="M574" s="115">
        <v>7.2999999999999995E-2</v>
      </c>
      <c r="N574" s="115">
        <v>7.4999999999999997E-2</v>
      </c>
      <c r="O574" s="115">
        <v>6.8000000000000005E-2</v>
      </c>
      <c r="P574" s="115">
        <v>5.8000000000000003E-2</v>
      </c>
      <c r="Q574" s="115">
        <v>6.2E-2</v>
      </c>
      <c r="R574" s="115">
        <v>7.1999999999999995E-2</v>
      </c>
      <c r="S574" s="115">
        <v>7.3999999999999996E-2</v>
      </c>
      <c r="T574" s="115">
        <v>7.3999999999999996E-2</v>
      </c>
      <c r="U574" s="115">
        <v>7.5999999999999998E-2</v>
      </c>
      <c r="V574" s="115">
        <v>6.8000000000000005E-2</v>
      </c>
      <c r="W574" s="115">
        <v>7.4999999999999997E-2</v>
      </c>
      <c r="X574" s="115">
        <v>7.0999999999999994E-2</v>
      </c>
      <c r="Y574" s="115">
        <v>6.8000000000000005E-2</v>
      </c>
      <c r="Z574" s="115">
        <v>6.4000000000000001E-2</v>
      </c>
      <c r="AA574" s="115">
        <v>6.0999999999999999E-2</v>
      </c>
      <c r="AB574" s="115">
        <v>5.8000000000000003E-2</v>
      </c>
      <c r="AC574" s="115">
        <v>5.6000000000000001E-2</v>
      </c>
      <c r="AD574" s="43"/>
      <c r="AE574" s="43"/>
      <c r="AF574" s="43"/>
      <c r="AG574" s="43"/>
      <c r="AH574" s="43"/>
      <c r="AI574" s="43"/>
    </row>
    <row r="575" spans="1:35" x14ac:dyDescent="0.25">
      <c r="A575" s="115" t="s">
        <v>684</v>
      </c>
      <c r="B575" s="115"/>
      <c r="C575" s="115">
        <v>2.8000000000000001E-2</v>
      </c>
      <c r="D575" s="115">
        <v>1.4E-2</v>
      </c>
      <c r="E575" s="115">
        <v>1.4999999999999999E-2</v>
      </c>
      <c r="F575" s="115">
        <v>1.7000000000000001E-2</v>
      </c>
      <c r="G575" s="115">
        <v>1.6E-2</v>
      </c>
      <c r="H575" s="115">
        <v>1.4999999999999999E-2</v>
      </c>
      <c r="I575" s="115">
        <v>1.9E-2</v>
      </c>
      <c r="J575" s="115">
        <v>1.7999999999999999E-2</v>
      </c>
      <c r="K575" s="115">
        <v>1.7999999999999999E-2</v>
      </c>
      <c r="L575" s="115">
        <v>1.7000000000000001E-2</v>
      </c>
      <c r="M575" s="115">
        <v>1.6E-2</v>
      </c>
      <c r="N575" s="115">
        <v>1.4999999999999999E-2</v>
      </c>
      <c r="O575" s="115">
        <v>1.6E-2</v>
      </c>
      <c r="P575" s="115">
        <v>1.4999999999999999E-2</v>
      </c>
      <c r="Q575" s="115">
        <v>1.4E-2</v>
      </c>
      <c r="R575" s="115">
        <v>1.4E-2</v>
      </c>
      <c r="S575" s="115">
        <v>2.8000000000000001E-2</v>
      </c>
      <c r="T575" s="115">
        <v>2.4E-2</v>
      </c>
      <c r="U575" s="115">
        <v>2.3E-2</v>
      </c>
      <c r="V575" s="115">
        <v>2.1999999999999999E-2</v>
      </c>
      <c r="W575" s="115">
        <v>2.1000000000000001E-2</v>
      </c>
      <c r="X575" s="115">
        <v>0.02</v>
      </c>
      <c r="Y575" s="115">
        <v>0.02</v>
      </c>
      <c r="Z575" s="115">
        <v>1.9E-2</v>
      </c>
      <c r="AA575" s="115">
        <v>1.9E-2</v>
      </c>
      <c r="AB575" s="115">
        <v>1.7999999999999999E-2</v>
      </c>
      <c r="AC575" s="115">
        <v>1.7999999999999999E-2</v>
      </c>
      <c r="AD575" s="43"/>
      <c r="AE575" s="43"/>
      <c r="AF575" s="43"/>
      <c r="AG575" s="43"/>
      <c r="AH575" s="43"/>
      <c r="AI575" s="43"/>
    </row>
    <row r="576" spans="1:35" x14ac:dyDescent="0.25">
      <c r="A576" s="115" t="s">
        <v>692</v>
      </c>
      <c r="B576" s="115"/>
      <c r="C576" s="115">
        <v>2.1999999999999999E-2</v>
      </c>
      <c r="D576" s="115">
        <v>1.2999999999999999E-2</v>
      </c>
      <c r="E576" s="115">
        <v>1.4E-2</v>
      </c>
      <c r="F576" s="115">
        <v>1.4E-2</v>
      </c>
      <c r="G576" s="115">
        <v>1.4E-2</v>
      </c>
      <c r="H576" s="115">
        <v>1.4E-2</v>
      </c>
      <c r="I576" s="115">
        <v>1.4999999999999999E-2</v>
      </c>
      <c r="J576" s="115">
        <v>1.4999999999999999E-2</v>
      </c>
      <c r="K576" s="115">
        <v>1.4999999999999999E-2</v>
      </c>
      <c r="L576" s="115">
        <v>1.4999999999999999E-2</v>
      </c>
      <c r="M576" s="115">
        <v>1.4999999999999999E-2</v>
      </c>
      <c r="N576" s="115">
        <v>1.4999999999999999E-2</v>
      </c>
      <c r="O576" s="115">
        <v>1.4999999999999999E-2</v>
      </c>
      <c r="P576" s="115">
        <v>1.4999999999999999E-2</v>
      </c>
      <c r="Q576" s="115">
        <v>1.4999999999999999E-2</v>
      </c>
      <c r="R576" s="115">
        <v>1.4999999999999999E-2</v>
      </c>
      <c r="S576" s="115">
        <v>1.4999999999999999E-2</v>
      </c>
      <c r="T576" s="115">
        <v>1.4999999999999999E-2</v>
      </c>
      <c r="U576" s="115">
        <v>1.4999999999999999E-2</v>
      </c>
      <c r="V576" s="115">
        <v>1.4999999999999999E-2</v>
      </c>
      <c r="W576" s="115">
        <v>1.4999999999999999E-2</v>
      </c>
      <c r="X576" s="115">
        <v>1.4999999999999999E-2</v>
      </c>
      <c r="Y576" s="115">
        <v>1.4999999999999999E-2</v>
      </c>
      <c r="Z576" s="115">
        <v>1.4999999999999999E-2</v>
      </c>
      <c r="AA576" s="115">
        <v>1.4999999999999999E-2</v>
      </c>
      <c r="AB576" s="115">
        <v>1.4999999999999999E-2</v>
      </c>
      <c r="AC576" s="115">
        <v>1.4999999999999999E-2</v>
      </c>
      <c r="AD576" s="43"/>
      <c r="AE576" s="43"/>
      <c r="AF576" s="43"/>
      <c r="AG576" s="43"/>
      <c r="AH576" s="43"/>
      <c r="AI576" s="43"/>
    </row>
    <row r="577" spans="1:35" x14ac:dyDescent="0.25">
      <c r="A577" s="115" t="s">
        <v>687</v>
      </c>
      <c r="B577" s="115"/>
      <c r="C577" s="115">
        <v>2.1999999999999999E-2</v>
      </c>
      <c r="D577" s="115">
        <v>0</v>
      </c>
      <c r="E577" s="115">
        <v>1.0999999999999999E-2</v>
      </c>
      <c r="F577" s="115">
        <v>1.4E-2</v>
      </c>
      <c r="G577" s="115">
        <v>1.2999999999999999E-2</v>
      </c>
      <c r="H577" s="115">
        <v>1.2999999999999999E-2</v>
      </c>
      <c r="I577" s="115">
        <v>1.9E-2</v>
      </c>
      <c r="J577" s="115">
        <v>1.7999999999999999E-2</v>
      </c>
      <c r="K577" s="115">
        <v>1.7999999999999999E-2</v>
      </c>
      <c r="L577" s="115">
        <v>1.7000000000000001E-2</v>
      </c>
      <c r="M577" s="115">
        <v>1.6E-2</v>
      </c>
      <c r="N577" s="115">
        <v>1.4999999999999999E-2</v>
      </c>
      <c r="O577" s="115">
        <v>1.6E-2</v>
      </c>
      <c r="P577" s="115">
        <v>1.4999999999999999E-2</v>
      </c>
      <c r="Q577" s="115">
        <v>1.4999999999999999E-2</v>
      </c>
      <c r="R577" s="115">
        <v>1.4E-2</v>
      </c>
      <c r="S577" s="115">
        <v>2.9000000000000001E-2</v>
      </c>
      <c r="T577" s="115">
        <v>2.8000000000000001E-2</v>
      </c>
      <c r="U577" s="115">
        <v>2.7E-2</v>
      </c>
      <c r="V577" s="115">
        <v>2.5999999999999999E-2</v>
      </c>
      <c r="W577" s="115">
        <v>2.5999999999999999E-2</v>
      </c>
      <c r="X577" s="115">
        <v>2.5000000000000001E-2</v>
      </c>
      <c r="Y577" s="115">
        <v>2.4E-2</v>
      </c>
      <c r="Z577" s="115">
        <v>2.4E-2</v>
      </c>
      <c r="AA577" s="115">
        <v>2.3E-2</v>
      </c>
      <c r="AB577" s="115">
        <v>2.3E-2</v>
      </c>
      <c r="AC577" s="115">
        <v>2.1999999999999999E-2</v>
      </c>
      <c r="AD577" s="43"/>
      <c r="AE577" s="43"/>
      <c r="AF577" s="43"/>
      <c r="AG577" s="43"/>
      <c r="AH577" s="43"/>
      <c r="AI577" s="43"/>
    </row>
    <row r="578" spans="1:35" x14ac:dyDescent="0.25">
      <c r="A578" s="115" t="s">
        <v>688</v>
      </c>
      <c r="B578" s="115"/>
      <c r="C578" s="115">
        <v>2.4E-2</v>
      </c>
      <c r="D578" s="115">
        <v>1.2999999999999999E-2</v>
      </c>
      <c r="E578" s="115">
        <v>1.2999999999999999E-2</v>
      </c>
      <c r="F578" s="115">
        <v>1.4999999999999999E-2</v>
      </c>
      <c r="G578" s="115">
        <v>1.4E-2</v>
      </c>
      <c r="H578" s="115">
        <v>1.4E-2</v>
      </c>
      <c r="I578" s="115">
        <v>1.9E-2</v>
      </c>
      <c r="J578" s="115">
        <v>1.7999999999999999E-2</v>
      </c>
      <c r="K578" s="115">
        <v>1.7000000000000001E-2</v>
      </c>
      <c r="L578" s="115">
        <v>1.6E-2</v>
      </c>
      <c r="M578" s="115">
        <v>1.4999999999999999E-2</v>
      </c>
      <c r="N578" s="115">
        <v>1.4999999999999999E-2</v>
      </c>
      <c r="O578" s="115">
        <v>1.4999999999999999E-2</v>
      </c>
      <c r="P578" s="115">
        <v>1.4999999999999999E-2</v>
      </c>
      <c r="Q578" s="115">
        <v>1.4E-2</v>
      </c>
      <c r="R578" s="115">
        <v>1.2999999999999999E-2</v>
      </c>
      <c r="S578" s="115">
        <v>2.7E-2</v>
      </c>
      <c r="T578" s="115">
        <v>2.5999999999999999E-2</v>
      </c>
      <c r="U578" s="115">
        <v>2.5000000000000001E-2</v>
      </c>
      <c r="V578" s="115">
        <v>2.4E-2</v>
      </c>
      <c r="W578" s="115">
        <v>2.3E-2</v>
      </c>
      <c r="X578" s="115">
        <v>2.3E-2</v>
      </c>
      <c r="Y578" s="115">
        <v>2.1999999999999999E-2</v>
      </c>
      <c r="Z578" s="115">
        <v>2.1999999999999999E-2</v>
      </c>
      <c r="AA578" s="115">
        <v>2.1000000000000001E-2</v>
      </c>
      <c r="AB578" s="115">
        <v>2.1000000000000001E-2</v>
      </c>
      <c r="AC578" s="115">
        <v>2.1000000000000001E-2</v>
      </c>
      <c r="AD578" s="43"/>
      <c r="AE578" s="43"/>
      <c r="AF578" s="43"/>
      <c r="AG578" s="43"/>
      <c r="AH578" s="43"/>
      <c r="AI578" s="43"/>
    </row>
    <row r="579" spans="1:35" x14ac:dyDescent="0.25">
      <c r="A579" s="115" t="s">
        <v>689</v>
      </c>
      <c r="B579" s="115"/>
      <c r="C579" s="115">
        <v>3.3000000000000002E-2</v>
      </c>
      <c r="D579" s="115">
        <v>1.4999999999999999E-2</v>
      </c>
      <c r="E579" s="115">
        <v>1.4999999999999999E-2</v>
      </c>
      <c r="F579" s="115">
        <v>1.7000000000000001E-2</v>
      </c>
      <c r="G579" s="115">
        <v>1.6E-2</v>
      </c>
      <c r="H579" s="115">
        <v>1.4999999999999999E-2</v>
      </c>
      <c r="I579" s="115">
        <v>1.9E-2</v>
      </c>
      <c r="J579" s="115">
        <v>1.7999999999999999E-2</v>
      </c>
      <c r="K579" s="115">
        <v>1.7000000000000001E-2</v>
      </c>
      <c r="L579" s="115">
        <v>1.7000000000000001E-2</v>
      </c>
      <c r="M579" s="115">
        <v>1.6E-2</v>
      </c>
      <c r="N579" s="115">
        <v>1.4999999999999999E-2</v>
      </c>
      <c r="O579" s="115">
        <v>1.4999999999999999E-2</v>
      </c>
      <c r="P579" s="115">
        <v>1.4999999999999999E-2</v>
      </c>
      <c r="Q579" s="115">
        <v>1.4E-2</v>
      </c>
      <c r="R579" s="115">
        <v>1.4E-2</v>
      </c>
      <c r="S579" s="115">
        <v>2.9000000000000001E-2</v>
      </c>
      <c r="T579" s="115">
        <v>2.3E-2</v>
      </c>
      <c r="U579" s="115">
        <v>2.1999999999999999E-2</v>
      </c>
      <c r="V579" s="115">
        <v>2.1000000000000001E-2</v>
      </c>
      <c r="W579" s="115">
        <v>2.1000000000000001E-2</v>
      </c>
      <c r="X579" s="115">
        <v>0.02</v>
      </c>
      <c r="Y579" s="115">
        <v>0.02</v>
      </c>
      <c r="Z579" s="115">
        <v>1.9E-2</v>
      </c>
      <c r="AA579" s="115">
        <v>1.9E-2</v>
      </c>
      <c r="AB579" s="115">
        <v>1.7999999999999999E-2</v>
      </c>
      <c r="AC579" s="115">
        <v>1.7999999999999999E-2</v>
      </c>
      <c r="AD579" s="43"/>
      <c r="AE579" s="43"/>
      <c r="AF579" s="43"/>
      <c r="AG579" s="43"/>
      <c r="AH579" s="43"/>
      <c r="AI579" s="43"/>
    </row>
    <row r="580" spans="1:35" x14ac:dyDescent="0.25">
      <c r="A580" s="115" t="s">
        <v>690</v>
      </c>
      <c r="B580" s="115"/>
      <c r="C580" s="115">
        <v>2.7E-2</v>
      </c>
      <c r="D580" s="115">
        <v>1.6E-2</v>
      </c>
      <c r="E580" s="115">
        <v>1.6E-2</v>
      </c>
      <c r="F580" s="115">
        <v>1.7000000000000001E-2</v>
      </c>
      <c r="G580" s="115">
        <v>1.6E-2</v>
      </c>
      <c r="H580" s="115">
        <v>1.6E-2</v>
      </c>
      <c r="I580" s="115">
        <v>1.9E-2</v>
      </c>
      <c r="J580" s="115">
        <v>1.7999999999999999E-2</v>
      </c>
      <c r="K580" s="115">
        <v>1.7999999999999999E-2</v>
      </c>
      <c r="L580" s="115">
        <v>1.7000000000000001E-2</v>
      </c>
      <c r="M580" s="115">
        <v>1.6E-2</v>
      </c>
      <c r="N580" s="115">
        <v>1.4999999999999999E-2</v>
      </c>
      <c r="O580" s="115">
        <v>1.4999999999999999E-2</v>
      </c>
      <c r="P580" s="115">
        <v>1.4999999999999999E-2</v>
      </c>
      <c r="Q580" s="115">
        <v>1.4E-2</v>
      </c>
      <c r="R580" s="115">
        <v>1.4E-2</v>
      </c>
      <c r="S580" s="115">
        <v>2.9000000000000001E-2</v>
      </c>
      <c r="T580" s="115">
        <v>2.3E-2</v>
      </c>
      <c r="U580" s="115">
        <v>2.1999999999999999E-2</v>
      </c>
      <c r="V580" s="115">
        <v>2.1000000000000001E-2</v>
      </c>
      <c r="W580" s="115">
        <v>0.02</v>
      </c>
      <c r="X580" s="115">
        <v>0.02</v>
      </c>
      <c r="Y580" s="115">
        <v>1.9E-2</v>
      </c>
      <c r="Z580" s="115">
        <v>1.9E-2</v>
      </c>
      <c r="AA580" s="115">
        <v>1.7999999999999999E-2</v>
      </c>
      <c r="AB580" s="115">
        <v>1.7999999999999999E-2</v>
      </c>
      <c r="AC580" s="115">
        <v>1.7000000000000001E-2</v>
      </c>
      <c r="AD580" s="43"/>
      <c r="AE580" s="43"/>
      <c r="AF580" s="43"/>
      <c r="AG580" s="43"/>
      <c r="AH580" s="43"/>
      <c r="AI580" s="43"/>
    </row>
    <row r="581" spans="1:35" x14ac:dyDescent="0.25">
      <c r="A581" s="115" t="s">
        <v>691</v>
      </c>
      <c r="B581" s="115"/>
      <c r="C581" s="115">
        <v>2.8000000000000001E-2</v>
      </c>
      <c r="D581" s="115">
        <v>1.9E-2</v>
      </c>
      <c r="E581" s="115">
        <v>1.7999999999999999E-2</v>
      </c>
      <c r="F581" s="115">
        <v>1.9E-2</v>
      </c>
      <c r="G581" s="115">
        <v>1.7999999999999999E-2</v>
      </c>
      <c r="H581" s="115">
        <v>1.7000000000000001E-2</v>
      </c>
      <c r="I581" s="115">
        <v>1.9E-2</v>
      </c>
      <c r="J581" s="115">
        <v>1.7999999999999999E-2</v>
      </c>
      <c r="K581" s="115">
        <v>1.9E-2</v>
      </c>
      <c r="L581" s="115">
        <v>1.7999999999999999E-2</v>
      </c>
      <c r="M581" s="115">
        <v>1.7000000000000001E-2</v>
      </c>
      <c r="N581" s="115">
        <v>1.6E-2</v>
      </c>
      <c r="O581" s="115">
        <v>1.6E-2</v>
      </c>
      <c r="P581" s="115">
        <v>1.4999999999999999E-2</v>
      </c>
      <c r="Q581" s="115">
        <v>1.4E-2</v>
      </c>
      <c r="R581" s="115">
        <v>1.2999999999999999E-2</v>
      </c>
      <c r="S581" s="115">
        <v>2.5999999999999999E-2</v>
      </c>
      <c r="T581" s="115">
        <v>2.1000000000000001E-2</v>
      </c>
      <c r="U581" s="115">
        <v>0.02</v>
      </c>
      <c r="V581" s="115">
        <v>1.9E-2</v>
      </c>
      <c r="W581" s="115">
        <v>1.9E-2</v>
      </c>
      <c r="X581" s="115">
        <v>1.7999999999999999E-2</v>
      </c>
      <c r="Y581" s="115">
        <v>1.7999999999999999E-2</v>
      </c>
      <c r="Z581" s="115">
        <v>1.7000000000000001E-2</v>
      </c>
      <c r="AA581" s="115">
        <v>1.7000000000000001E-2</v>
      </c>
      <c r="AB581" s="115">
        <v>1.6E-2</v>
      </c>
      <c r="AC581" s="115">
        <v>1.6E-2</v>
      </c>
      <c r="AD581" s="43"/>
      <c r="AE581" s="43"/>
      <c r="AF581" s="43"/>
      <c r="AG581" s="43"/>
      <c r="AH581" s="43"/>
      <c r="AI581" s="43"/>
    </row>
    <row r="582" spans="1:35" x14ac:dyDescent="0.25">
      <c r="A582" s="115" t="s">
        <v>693</v>
      </c>
      <c r="B582" s="115"/>
      <c r="C582" s="115">
        <v>2.5000000000000001E-2</v>
      </c>
      <c r="D582" s="115">
        <v>1.4999999999999999E-2</v>
      </c>
      <c r="E582" s="115">
        <v>1.6E-2</v>
      </c>
      <c r="F582" s="115">
        <v>1.6E-2</v>
      </c>
      <c r="G582" s="115">
        <v>1.6E-2</v>
      </c>
      <c r="H582" s="115">
        <v>1.6E-2</v>
      </c>
      <c r="I582" s="115">
        <v>1.6E-2</v>
      </c>
      <c r="J582" s="115">
        <v>1.6E-2</v>
      </c>
      <c r="K582" s="115">
        <v>1.7000000000000001E-2</v>
      </c>
      <c r="L582" s="115">
        <v>1.7000000000000001E-2</v>
      </c>
      <c r="M582" s="115">
        <v>1.7000000000000001E-2</v>
      </c>
      <c r="N582" s="115">
        <v>1.7000000000000001E-2</v>
      </c>
      <c r="O582" s="115">
        <v>1.7000000000000001E-2</v>
      </c>
      <c r="P582" s="115">
        <v>1.7000000000000001E-2</v>
      </c>
      <c r="Q582" s="115">
        <v>1.7000000000000001E-2</v>
      </c>
      <c r="R582" s="115">
        <v>1.7000000000000001E-2</v>
      </c>
      <c r="S582" s="115">
        <v>5.8000000000000003E-2</v>
      </c>
      <c r="T582" s="115">
        <v>5.5E-2</v>
      </c>
      <c r="U582" s="115">
        <v>5.5E-2</v>
      </c>
      <c r="V582" s="115">
        <v>5.5E-2</v>
      </c>
      <c r="W582" s="115">
        <v>5.6000000000000001E-2</v>
      </c>
      <c r="X582" s="115">
        <v>5.6000000000000001E-2</v>
      </c>
      <c r="Y582" s="115">
        <v>5.6000000000000001E-2</v>
      </c>
      <c r="Z582" s="115">
        <v>5.6000000000000001E-2</v>
      </c>
      <c r="AA582" s="115">
        <v>5.6000000000000001E-2</v>
      </c>
      <c r="AB582" s="115">
        <v>5.6000000000000001E-2</v>
      </c>
      <c r="AC582" s="115">
        <v>5.6000000000000001E-2</v>
      </c>
      <c r="AD582" s="43"/>
      <c r="AE582" s="43"/>
      <c r="AF582" s="43"/>
      <c r="AG582" s="43"/>
      <c r="AH582" s="43"/>
      <c r="AI582" s="43"/>
    </row>
    <row r="583" spans="1:35" x14ac:dyDescent="0.25">
      <c r="A583" s="115" t="s">
        <v>694</v>
      </c>
      <c r="B583" s="115"/>
      <c r="C583" s="115">
        <v>2.7E-2</v>
      </c>
      <c r="D583" s="115">
        <v>1.4999999999999999E-2</v>
      </c>
      <c r="E583" s="115">
        <v>1.7000000000000001E-2</v>
      </c>
      <c r="F583" s="115">
        <v>1.7999999999999999E-2</v>
      </c>
      <c r="G583" s="115">
        <v>1.7999999999999999E-2</v>
      </c>
      <c r="H583" s="115">
        <v>1.7999999999999999E-2</v>
      </c>
      <c r="I583" s="115">
        <v>1.7999999999999999E-2</v>
      </c>
      <c r="J583" s="115">
        <v>1.7999999999999999E-2</v>
      </c>
      <c r="K583" s="115">
        <v>1.9E-2</v>
      </c>
      <c r="L583" s="115">
        <v>0.02</v>
      </c>
      <c r="M583" s="115">
        <v>0.02</v>
      </c>
      <c r="N583" s="115">
        <v>0.02</v>
      </c>
      <c r="O583" s="115">
        <v>5.8000000000000003E-2</v>
      </c>
      <c r="P583" s="115">
        <v>5.8000000000000003E-2</v>
      </c>
      <c r="Q583" s="115">
        <v>5.8000000000000003E-2</v>
      </c>
      <c r="R583" s="115">
        <v>5.8000000000000003E-2</v>
      </c>
      <c r="S583" s="115">
        <v>6.3E-2</v>
      </c>
      <c r="T583" s="115">
        <v>5.6000000000000001E-2</v>
      </c>
      <c r="U583" s="115">
        <v>5.6000000000000001E-2</v>
      </c>
      <c r="V583" s="115">
        <v>5.6000000000000001E-2</v>
      </c>
      <c r="W583" s="115">
        <v>5.8000000000000003E-2</v>
      </c>
      <c r="X583" s="115">
        <v>5.7000000000000002E-2</v>
      </c>
      <c r="Y583" s="115">
        <v>5.6000000000000001E-2</v>
      </c>
      <c r="Z583" s="115">
        <v>5.5E-2</v>
      </c>
      <c r="AA583" s="115">
        <v>5.3999999999999999E-2</v>
      </c>
      <c r="AB583" s="115">
        <v>5.1999999999999998E-2</v>
      </c>
      <c r="AC583" s="115">
        <v>4.7E-2</v>
      </c>
      <c r="AD583" s="43"/>
      <c r="AE583" s="43"/>
      <c r="AF583" s="43"/>
      <c r="AG583" s="43"/>
      <c r="AH583" s="43"/>
      <c r="AI583" s="43"/>
    </row>
    <row r="584" spans="1:35" x14ac:dyDescent="0.25">
      <c r="A584" s="115" t="s">
        <v>695</v>
      </c>
      <c r="B584" s="115"/>
      <c r="C584" s="115">
        <v>3.5999999999999997E-2</v>
      </c>
      <c r="D584" s="115">
        <v>1.7999999999999999E-2</v>
      </c>
      <c r="E584" s="115">
        <v>0.02</v>
      </c>
      <c r="F584" s="115">
        <v>0.02</v>
      </c>
      <c r="G584" s="115">
        <v>2.1000000000000001E-2</v>
      </c>
      <c r="H584" s="115">
        <v>2.1000000000000001E-2</v>
      </c>
      <c r="I584" s="115">
        <v>5.8999999999999997E-2</v>
      </c>
      <c r="J584" s="115">
        <v>5.8999999999999997E-2</v>
      </c>
      <c r="K584" s="115">
        <v>6.4000000000000001E-2</v>
      </c>
      <c r="L584" s="115">
        <v>6.4000000000000001E-2</v>
      </c>
      <c r="M584" s="115">
        <v>6.5000000000000002E-2</v>
      </c>
      <c r="N584" s="115">
        <v>6.5000000000000002E-2</v>
      </c>
      <c r="O584" s="115">
        <v>6.5000000000000002E-2</v>
      </c>
      <c r="P584" s="115">
        <v>6.5000000000000002E-2</v>
      </c>
      <c r="Q584" s="115">
        <v>6.5000000000000002E-2</v>
      </c>
      <c r="R584" s="115">
        <v>6.4000000000000001E-2</v>
      </c>
      <c r="S584" s="115">
        <v>0.125</v>
      </c>
      <c r="T584" s="115">
        <v>5.3999999999999999E-2</v>
      </c>
      <c r="U584" s="115">
        <v>5.3999999999999999E-2</v>
      </c>
      <c r="V584" s="115">
        <v>5.2999999999999999E-2</v>
      </c>
      <c r="W584" s="115">
        <v>5.5E-2</v>
      </c>
      <c r="X584" s="115">
        <v>5.3999999999999999E-2</v>
      </c>
      <c r="Y584" s="115">
        <v>5.2999999999999999E-2</v>
      </c>
      <c r="Z584" s="115">
        <v>5.1999999999999998E-2</v>
      </c>
      <c r="AA584" s="115">
        <v>0.05</v>
      </c>
      <c r="AB584" s="115">
        <v>4.8000000000000001E-2</v>
      </c>
      <c r="AC584" s="115">
        <v>4.3999999999999997E-2</v>
      </c>
      <c r="AD584" s="43"/>
      <c r="AE584" s="43"/>
      <c r="AF584" s="43"/>
      <c r="AG584" s="43"/>
      <c r="AH584" s="43"/>
      <c r="AI584" s="43"/>
    </row>
    <row r="585" spans="1:35" x14ac:dyDescent="0.25">
      <c r="A585" s="115" t="s">
        <v>696</v>
      </c>
      <c r="B585" s="115"/>
      <c r="C585" s="115">
        <v>8.6999999999999994E-2</v>
      </c>
      <c r="D585" s="115">
        <v>3.6999999999999998E-2</v>
      </c>
      <c r="E585" s="115">
        <v>3.9E-2</v>
      </c>
      <c r="F585" s="115">
        <v>7.8E-2</v>
      </c>
      <c r="G585" s="115">
        <v>7.6999999999999999E-2</v>
      </c>
      <c r="H585" s="115">
        <v>7.5999999999999998E-2</v>
      </c>
      <c r="I585" s="115">
        <v>7.4999999999999997E-2</v>
      </c>
      <c r="J585" s="115">
        <v>7.4999999999999997E-2</v>
      </c>
      <c r="K585" s="115">
        <v>8.8999999999999996E-2</v>
      </c>
      <c r="L585" s="115">
        <v>8.4000000000000005E-2</v>
      </c>
      <c r="M585" s="115">
        <v>7.5999999999999998E-2</v>
      </c>
      <c r="N585" s="115">
        <v>6.4000000000000001E-2</v>
      </c>
      <c r="O585" s="115">
        <v>8.1000000000000003E-2</v>
      </c>
      <c r="P585" s="115">
        <v>0.08</v>
      </c>
      <c r="Q585" s="115">
        <v>7.8E-2</v>
      </c>
      <c r="R585" s="115">
        <v>7.6999999999999999E-2</v>
      </c>
      <c r="S585" s="115">
        <v>9.2999999999999999E-2</v>
      </c>
      <c r="T585" s="115">
        <v>7.0999999999999994E-2</v>
      </c>
      <c r="U585" s="115">
        <v>7.0000000000000007E-2</v>
      </c>
      <c r="V585" s="115">
        <v>6.9000000000000006E-2</v>
      </c>
      <c r="W585" s="115">
        <v>7.0999999999999994E-2</v>
      </c>
      <c r="X585" s="115">
        <v>7.0000000000000007E-2</v>
      </c>
      <c r="Y585" s="115">
        <v>6.8000000000000005E-2</v>
      </c>
      <c r="Z585" s="115">
        <v>6.7000000000000004E-2</v>
      </c>
      <c r="AA585" s="115">
        <v>6.5000000000000002E-2</v>
      </c>
      <c r="AB585" s="115">
        <v>6.2E-2</v>
      </c>
      <c r="AC585" s="115">
        <v>5.7000000000000002E-2</v>
      </c>
      <c r="AD585" s="43"/>
      <c r="AE585" s="43"/>
      <c r="AF585" s="43"/>
      <c r="AG585" s="43"/>
      <c r="AH585" s="43"/>
      <c r="AI585" s="43"/>
    </row>
    <row r="586" spans="1:35" x14ac:dyDescent="0.25">
      <c r="A586" s="115" t="s">
        <v>685</v>
      </c>
      <c r="B586" s="115"/>
      <c r="C586" s="115">
        <v>2.3E-2</v>
      </c>
      <c r="D586" s="115">
        <v>1.6E-2</v>
      </c>
      <c r="E586" s="115">
        <v>3.6999999999999998E-2</v>
      </c>
      <c r="F586" s="115">
        <v>0.03</v>
      </c>
      <c r="G586" s="115">
        <v>2.4E-2</v>
      </c>
      <c r="H586" s="115">
        <v>1.9E-2</v>
      </c>
      <c r="I586" s="115">
        <v>1.6E-2</v>
      </c>
      <c r="J586" s="115">
        <v>2.7E-2</v>
      </c>
      <c r="K586" s="115">
        <v>2.1000000000000001E-2</v>
      </c>
      <c r="L586" s="115">
        <v>1.7000000000000001E-2</v>
      </c>
      <c r="M586" s="115">
        <v>1.2999999999999999E-2</v>
      </c>
      <c r="N586" s="115">
        <v>1.0999999999999999E-2</v>
      </c>
      <c r="O586" s="115">
        <v>8.9999999999999993E-3</v>
      </c>
      <c r="P586" s="115">
        <v>7.2999999999999995E-2</v>
      </c>
      <c r="Q586" s="115">
        <v>6.7000000000000004E-2</v>
      </c>
      <c r="R586" s="115">
        <v>6.2E-2</v>
      </c>
      <c r="S586" s="115">
        <v>5.7000000000000002E-2</v>
      </c>
      <c r="T586" s="115">
        <v>5.0999999999999997E-2</v>
      </c>
      <c r="U586" s="115">
        <v>4.7E-2</v>
      </c>
      <c r="V586" s="115">
        <v>4.2999999999999997E-2</v>
      </c>
      <c r="W586" s="115">
        <v>0.04</v>
      </c>
      <c r="X586" s="115">
        <v>3.7999999999999999E-2</v>
      </c>
      <c r="Y586" s="115">
        <v>3.5000000000000003E-2</v>
      </c>
      <c r="Z586" s="115">
        <v>3.3000000000000002E-2</v>
      </c>
      <c r="AA586" s="115">
        <v>3.1E-2</v>
      </c>
      <c r="AB586" s="115">
        <v>2.9000000000000001E-2</v>
      </c>
      <c r="AC586" s="115">
        <v>2.8000000000000001E-2</v>
      </c>
      <c r="AD586" s="43"/>
      <c r="AE586" s="43"/>
      <c r="AF586" s="43"/>
      <c r="AG586" s="43"/>
      <c r="AH586" s="43"/>
      <c r="AI586" s="43"/>
    </row>
    <row r="587" spans="1:35" x14ac:dyDescent="0.25">
      <c r="A587" s="115" t="s">
        <v>686</v>
      </c>
      <c r="B587" s="115"/>
      <c r="C587" s="115">
        <v>0.02</v>
      </c>
      <c r="D587" s="115">
        <v>4.1000000000000002E-2</v>
      </c>
      <c r="E587" s="115">
        <v>6.4000000000000001E-2</v>
      </c>
      <c r="F587" s="115">
        <v>0.08</v>
      </c>
      <c r="G587" s="115">
        <v>8.2000000000000003E-2</v>
      </c>
      <c r="H587" s="115">
        <v>7.4999999999999997E-2</v>
      </c>
      <c r="I587" s="115">
        <v>8.1000000000000003E-2</v>
      </c>
      <c r="J587" s="115">
        <v>8.8999999999999996E-2</v>
      </c>
      <c r="K587" s="115">
        <v>9.9000000000000005E-2</v>
      </c>
      <c r="L587" s="115">
        <v>0.11700000000000001</v>
      </c>
      <c r="M587" s="115">
        <v>0.14000000000000001</v>
      </c>
      <c r="N587" s="115">
        <v>0.13</v>
      </c>
      <c r="O587" s="115">
        <v>0.13500000000000001</v>
      </c>
      <c r="P587" s="115">
        <v>0.121</v>
      </c>
      <c r="Q587" s="115">
        <v>0.115</v>
      </c>
      <c r="R587" s="115">
        <v>0.113</v>
      </c>
      <c r="S587" s="115">
        <v>0.108</v>
      </c>
      <c r="T587" s="115">
        <v>9.9000000000000005E-2</v>
      </c>
      <c r="U587" s="115">
        <v>9.5000000000000001E-2</v>
      </c>
      <c r="V587" s="115">
        <v>4.4999999999999998E-2</v>
      </c>
      <c r="W587" s="115">
        <v>0.05</v>
      </c>
      <c r="X587" s="115">
        <v>4.8000000000000001E-2</v>
      </c>
      <c r="Y587" s="115">
        <v>4.7E-2</v>
      </c>
      <c r="Z587" s="115">
        <v>4.4999999999999998E-2</v>
      </c>
      <c r="AA587" s="115">
        <v>4.3999999999999997E-2</v>
      </c>
      <c r="AB587" s="115">
        <v>4.2000000000000003E-2</v>
      </c>
      <c r="AC587" s="115">
        <v>4.1000000000000002E-2</v>
      </c>
      <c r="AD587" s="43"/>
      <c r="AE587" s="43"/>
      <c r="AF587" s="43"/>
      <c r="AG587" s="43"/>
      <c r="AH587" s="43"/>
      <c r="AI587" s="43"/>
    </row>
    <row r="588" spans="1:35" x14ac:dyDescent="0.25">
      <c r="A588" s="115" t="s">
        <v>938</v>
      </c>
      <c r="B588" s="115"/>
      <c r="C588" s="115">
        <v>6.9000000000000006E-2</v>
      </c>
      <c r="D588" s="115">
        <v>7.0999999999999994E-2</v>
      </c>
      <c r="E588" s="115">
        <v>7.3999999999999996E-2</v>
      </c>
      <c r="F588" s="115">
        <v>7.8E-2</v>
      </c>
      <c r="G588" s="115">
        <v>0.08</v>
      </c>
      <c r="H588" s="115">
        <v>8.1000000000000003E-2</v>
      </c>
      <c r="I588" s="115">
        <v>8.1000000000000003E-2</v>
      </c>
      <c r="J588" s="115">
        <v>8.2000000000000003E-2</v>
      </c>
      <c r="K588" s="115">
        <v>8.3000000000000004E-2</v>
      </c>
      <c r="L588" s="115">
        <v>8.3000000000000004E-2</v>
      </c>
      <c r="M588" s="115">
        <v>8.1000000000000003E-2</v>
      </c>
      <c r="N588" s="115">
        <v>7.8E-2</v>
      </c>
      <c r="O588" s="115">
        <v>7.6999999999999999E-2</v>
      </c>
      <c r="P588" s="115">
        <v>7.4999999999999997E-2</v>
      </c>
      <c r="Q588" s="115">
        <v>7.3999999999999996E-2</v>
      </c>
      <c r="R588" s="115">
        <v>7.3999999999999996E-2</v>
      </c>
      <c r="S588" s="115">
        <v>8.3000000000000004E-2</v>
      </c>
      <c r="T588" s="115">
        <v>7.3999999999999996E-2</v>
      </c>
      <c r="U588" s="115">
        <v>7.3999999999999996E-2</v>
      </c>
      <c r="V588" s="115">
        <v>7.3999999999999996E-2</v>
      </c>
      <c r="W588" s="115">
        <v>7.3999999999999996E-2</v>
      </c>
      <c r="X588" s="115">
        <v>7.2999999999999995E-2</v>
      </c>
      <c r="Y588" s="115">
        <v>7.2999999999999995E-2</v>
      </c>
      <c r="Z588" s="115">
        <v>7.1999999999999995E-2</v>
      </c>
      <c r="AA588" s="115">
        <v>7.0000000000000007E-2</v>
      </c>
      <c r="AB588" s="115">
        <v>6.9000000000000006E-2</v>
      </c>
      <c r="AC588" s="115">
        <v>6.8000000000000005E-2</v>
      </c>
      <c r="AD588" s="43"/>
      <c r="AE588" s="43"/>
      <c r="AF588" s="43"/>
      <c r="AG588" s="43"/>
      <c r="AH588" s="43"/>
      <c r="AI588" s="43"/>
    </row>
    <row r="589" spans="1:35" x14ac:dyDescent="0.25">
      <c r="A589" s="115" t="s">
        <v>939</v>
      </c>
      <c r="B589" s="115"/>
      <c r="C589" s="115">
        <v>4.3999999999999997E-2</v>
      </c>
      <c r="D589" s="115">
        <v>4.4999999999999998E-2</v>
      </c>
      <c r="E589" s="115">
        <v>4.7E-2</v>
      </c>
      <c r="F589" s="115">
        <v>0.05</v>
      </c>
      <c r="G589" s="115">
        <v>5.0999999999999997E-2</v>
      </c>
      <c r="H589" s="115">
        <v>5.0999999999999997E-2</v>
      </c>
      <c r="I589" s="115">
        <v>5.0999999999999997E-2</v>
      </c>
      <c r="J589" s="115">
        <v>5.1999999999999998E-2</v>
      </c>
      <c r="K589" s="115">
        <v>5.1999999999999998E-2</v>
      </c>
      <c r="L589" s="115">
        <v>5.2999999999999999E-2</v>
      </c>
      <c r="M589" s="115">
        <v>5.0999999999999997E-2</v>
      </c>
      <c r="N589" s="115">
        <v>0.05</v>
      </c>
      <c r="O589" s="115">
        <v>4.8000000000000001E-2</v>
      </c>
      <c r="P589" s="115">
        <v>4.7E-2</v>
      </c>
      <c r="Q589" s="115">
        <v>4.7E-2</v>
      </c>
      <c r="R589" s="115">
        <v>4.5999999999999999E-2</v>
      </c>
      <c r="S589" s="115">
        <v>5.1999999999999998E-2</v>
      </c>
      <c r="T589" s="115">
        <v>4.5999999999999999E-2</v>
      </c>
      <c r="U589" s="115">
        <v>4.5999999999999999E-2</v>
      </c>
      <c r="V589" s="115">
        <v>4.5999999999999999E-2</v>
      </c>
      <c r="W589" s="115">
        <v>4.5999999999999999E-2</v>
      </c>
      <c r="X589" s="115">
        <v>4.5999999999999999E-2</v>
      </c>
      <c r="Y589" s="115">
        <v>4.4999999999999998E-2</v>
      </c>
      <c r="Z589" s="115">
        <v>4.3999999999999997E-2</v>
      </c>
      <c r="AA589" s="115">
        <v>4.3999999999999997E-2</v>
      </c>
      <c r="AB589" s="115">
        <v>4.2999999999999997E-2</v>
      </c>
      <c r="AC589" s="115">
        <v>4.2000000000000003E-2</v>
      </c>
      <c r="AD589" s="43"/>
      <c r="AE589" s="43"/>
      <c r="AF589" s="43"/>
      <c r="AG589" s="43"/>
      <c r="AH589" s="43"/>
      <c r="AI589" s="43"/>
    </row>
    <row r="590" spans="1:35" x14ac:dyDescent="0.25">
      <c r="A590" s="115" t="s">
        <v>940</v>
      </c>
      <c r="B590" s="115"/>
      <c r="C590" s="115">
        <v>3.4000000000000002E-2</v>
      </c>
      <c r="D590" s="115">
        <v>3.5000000000000003E-2</v>
      </c>
      <c r="E590" s="115">
        <v>3.5999999999999997E-2</v>
      </c>
      <c r="F590" s="115">
        <v>3.7999999999999999E-2</v>
      </c>
      <c r="G590" s="115">
        <v>3.7999999999999999E-2</v>
      </c>
      <c r="H590" s="115">
        <v>3.9E-2</v>
      </c>
      <c r="I590" s="115">
        <v>3.9E-2</v>
      </c>
      <c r="J590" s="115">
        <v>3.9E-2</v>
      </c>
      <c r="K590" s="115">
        <v>0.04</v>
      </c>
      <c r="L590" s="115">
        <v>0.04</v>
      </c>
      <c r="M590" s="115">
        <v>3.9E-2</v>
      </c>
      <c r="N590" s="115">
        <v>3.6999999999999998E-2</v>
      </c>
      <c r="O590" s="115">
        <v>3.5999999999999997E-2</v>
      </c>
      <c r="P590" s="115">
        <v>3.5000000000000003E-2</v>
      </c>
      <c r="Q590" s="115">
        <v>3.5000000000000003E-2</v>
      </c>
      <c r="R590" s="115">
        <v>3.4000000000000002E-2</v>
      </c>
      <c r="S590" s="115">
        <v>3.7999999999999999E-2</v>
      </c>
      <c r="T590" s="115">
        <v>3.4000000000000002E-2</v>
      </c>
      <c r="U590" s="115">
        <v>3.4000000000000002E-2</v>
      </c>
      <c r="V590" s="115">
        <v>3.3000000000000002E-2</v>
      </c>
      <c r="W590" s="115">
        <v>3.3000000000000002E-2</v>
      </c>
      <c r="X590" s="115">
        <v>3.3000000000000002E-2</v>
      </c>
      <c r="Y590" s="115">
        <v>3.3000000000000002E-2</v>
      </c>
      <c r="Z590" s="115">
        <v>3.2000000000000001E-2</v>
      </c>
      <c r="AA590" s="115">
        <v>3.2000000000000001E-2</v>
      </c>
      <c r="AB590" s="115">
        <v>3.1E-2</v>
      </c>
      <c r="AC590" s="115">
        <v>0.03</v>
      </c>
      <c r="AD590" s="43"/>
      <c r="AE590" s="43"/>
      <c r="AF590" s="43"/>
      <c r="AG590" s="43"/>
      <c r="AH590" s="43"/>
      <c r="AI590" s="43"/>
    </row>
    <row r="591" spans="1:35" x14ac:dyDescent="0.25">
      <c r="A591" s="115" t="s">
        <v>941</v>
      </c>
      <c r="B591" s="115"/>
      <c r="C591" s="115">
        <v>2.5999999999999999E-2</v>
      </c>
      <c r="D591" s="115">
        <v>2.5999999999999999E-2</v>
      </c>
      <c r="E591" s="115">
        <v>2.7E-2</v>
      </c>
      <c r="F591" s="115">
        <v>2.9000000000000001E-2</v>
      </c>
      <c r="G591" s="115">
        <v>2.9000000000000001E-2</v>
      </c>
      <c r="H591" s="115">
        <v>2.9000000000000001E-2</v>
      </c>
      <c r="I591" s="115">
        <v>2.9000000000000001E-2</v>
      </c>
      <c r="J591" s="115">
        <v>0.03</v>
      </c>
      <c r="K591" s="115">
        <v>0.03</v>
      </c>
      <c r="L591" s="115">
        <v>0.03</v>
      </c>
      <c r="M591" s="115">
        <v>2.9000000000000001E-2</v>
      </c>
      <c r="N591" s="115">
        <v>2.8000000000000001E-2</v>
      </c>
      <c r="O591" s="115">
        <v>2.7E-2</v>
      </c>
      <c r="P591" s="115">
        <v>2.7E-2</v>
      </c>
      <c r="Q591" s="115">
        <v>2.5999999999999999E-2</v>
      </c>
      <c r="R591" s="115">
        <v>2.5999999999999999E-2</v>
      </c>
      <c r="S591" s="115">
        <v>2.9000000000000001E-2</v>
      </c>
      <c r="T591" s="115">
        <v>2.5999999999999999E-2</v>
      </c>
      <c r="U591" s="115">
        <v>2.5000000000000001E-2</v>
      </c>
      <c r="V591" s="115">
        <v>2.5000000000000001E-2</v>
      </c>
      <c r="W591" s="115">
        <v>2.5000000000000001E-2</v>
      </c>
      <c r="X591" s="115">
        <v>2.5000000000000001E-2</v>
      </c>
      <c r="Y591" s="115">
        <v>2.5000000000000001E-2</v>
      </c>
      <c r="Z591" s="115">
        <v>2.4E-2</v>
      </c>
      <c r="AA591" s="115">
        <v>2.4E-2</v>
      </c>
      <c r="AB591" s="115">
        <v>2.4E-2</v>
      </c>
      <c r="AC591" s="115">
        <v>2.3E-2</v>
      </c>
      <c r="AD591" s="43"/>
      <c r="AE591" s="43"/>
      <c r="AF591" s="43"/>
      <c r="AG591" s="43"/>
      <c r="AH591" s="43"/>
      <c r="AI591" s="43"/>
    </row>
    <row r="592" spans="1:35" x14ac:dyDescent="0.25">
      <c r="A592" s="115" t="s">
        <v>942</v>
      </c>
      <c r="B592" s="115"/>
      <c r="C592" s="115">
        <v>1.6E-2</v>
      </c>
      <c r="D592" s="115">
        <v>1.7000000000000001E-2</v>
      </c>
      <c r="E592" s="115">
        <v>1.7000000000000001E-2</v>
      </c>
      <c r="F592" s="115">
        <v>1.7999999999999999E-2</v>
      </c>
      <c r="G592" s="115">
        <v>1.7999999999999999E-2</v>
      </c>
      <c r="H592" s="115">
        <v>1.7999999999999999E-2</v>
      </c>
      <c r="I592" s="115">
        <v>1.7999999999999999E-2</v>
      </c>
      <c r="J592" s="115">
        <v>1.7999999999999999E-2</v>
      </c>
      <c r="K592" s="115">
        <v>1.7999999999999999E-2</v>
      </c>
      <c r="L592" s="115">
        <v>1.7999999999999999E-2</v>
      </c>
      <c r="M592" s="115">
        <v>1.7999999999999999E-2</v>
      </c>
      <c r="N592" s="115">
        <v>1.7000000000000001E-2</v>
      </c>
      <c r="O592" s="115">
        <v>1.7000000000000001E-2</v>
      </c>
      <c r="P592" s="115">
        <v>1.6E-2</v>
      </c>
      <c r="Q592" s="115">
        <v>1.6E-2</v>
      </c>
      <c r="R592" s="115">
        <v>1.6E-2</v>
      </c>
      <c r="S592" s="115">
        <v>1.7000000000000001E-2</v>
      </c>
      <c r="T592" s="115">
        <v>1.4999999999999999E-2</v>
      </c>
      <c r="U592" s="115">
        <v>1.4999999999999999E-2</v>
      </c>
      <c r="V592" s="115">
        <v>1.4999999999999999E-2</v>
      </c>
      <c r="W592" s="115">
        <v>1.4999999999999999E-2</v>
      </c>
      <c r="X592" s="115">
        <v>1.4999999999999999E-2</v>
      </c>
      <c r="Y592" s="115">
        <v>1.4999999999999999E-2</v>
      </c>
      <c r="Z592" s="115">
        <v>1.4E-2</v>
      </c>
      <c r="AA592" s="115">
        <v>1.4E-2</v>
      </c>
      <c r="AB592" s="115">
        <v>1.4E-2</v>
      </c>
      <c r="AC592" s="115">
        <v>1.2999999999999999E-2</v>
      </c>
      <c r="AD592" s="43"/>
      <c r="AE592" s="43"/>
      <c r="AF592" s="43"/>
      <c r="AG592" s="43"/>
      <c r="AH592" s="43"/>
      <c r="AI592" s="43"/>
    </row>
    <row r="593" spans="1:35" x14ac:dyDescent="0.25">
      <c r="A593" s="115" t="s">
        <v>943</v>
      </c>
      <c r="B593" s="115"/>
      <c r="C593" s="115">
        <v>5.2999999999999999E-2</v>
      </c>
      <c r="D593" s="115">
        <v>5.6000000000000001E-2</v>
      </c>
      <c r="E593" s="115">
        <v>5.8999999999999997E-2</v>
      </c>
      <c r="F593" s="115">
        <v>6.2E-2</v>
      </c>
      <c r="G593" s="115">
        <v>6.4000000000000001E-2</v>
      </c>
      <c r="H593" s="115">
        <v>6.5000000000000002E-2</v>
      </c>
      <c r="I593" s="115">
        <v>6.6000000000000003E-2</v>
      </c>
      <c r="J593" s="115">
        <v>6.8000000000000005E-2</v>
      </c>
      <c r="K593" s="115">
        <v>6.9000000000000006E-2</v>
      </c>
      <c r="L593" s="115">
        <v>6.9000000000000006E-2</v>
      </c>
      <c r="M593" s="115">
        <v>6.7000000000000004E-2</v>
      </c>
      <c r="N593" s="115">
        <v>6.4000000000000001E-2</v>
      </c>
      <c r="O593" s="115">
        <v>6.2E-2</v>
      </c>
      <c r="P593" s="115">
        <v>6.0999999999999999E-2</v>
      </c>
      <c r="Q593" s="115">
        <v>0.06</v>
      </c>
      <c r="R593" s="115">
        <v>0.06</v>
      </c>
      <c r="S593" s="115">
        <v>6.5000000000000002E-2</v>
      </c>
      <c r="T593" s="115">
        <v>0.06</v>
      </c>
      <c r="U593" s="115">
        <v>0.06</v>
      </c>
      <c r="V593" s="115">
        <v>0.06</v>
      </c>
      <c r="W593" s="115">
        <v>0.06</v>
      </c>
      <c r="X593" s="115">
        <v>5.8999999999999997E-2</v>
      </c>
      <c r="Y593" s="115">
        <v>5.8999999999999997E-2</v>
      </c>
      <c r="Z593" s="115">
        <v>5.7000000000000002E-2</v>
      </c>
      <c r="AA593" s="115">
        <v>5.6000000000000001E-2</v>
      </c>
      <c r="AB593" s="115">
        <v>5.3999999999999999E-2</v>
      </c>
      <c r="AC593" s="115">
        <v>5.2999999999999999E-2</v>
      </c>
      <c r="AD593" s="43"/>
      <c r="AE593" s="43"/>
      <c r="AF593" s="43"/>
      <c r="AG593" s="43"/>
      <c r="AH593" s="43"/>
      <c r="AI593" s="43"/>
    </row>
    <row r="594" spans="1:35" x14ac:dyDescent="0.25">
      <c r="A594" s="115" t="s">
        <v>944</v>
      </c>
      <c r="B594" s="115"/>
      <c r="C594" s="115">
        <v>3.4000000000000002E-2</v>
      </c>
      <c r="D594" s="115">
        <v>3.5999999999999997E-2</v>
      </c>
      <c r="E594" s="115">
        <v>3.6999999999999998E-2</v>
      </c>
      <c r="F594" s="115">
        <v>3.9E-2</v>
      </c>
      <c r="G594" s="115">
        <v>0.04</v>
      </c>
      <c r="H594" s="115">
        <v>4.1000000000000002E-2</v>
      </c>
      <c r="I594" s="115">
        <v>4.1000000000000002E-2</v>
      </c>
      <c r="J594" s="115">
        <v>4.2000000000000003E-2</v>
      </c>
      <c r="K594" s="115">
        <v>4.2000000000000003E-2</v>
      </c>
      <c r="L594" s="115">
        <v>4.2999999999999997E-2</v>
      </c>
      <c r="M594" s="115">
        <v>4.1000000000000002E-2</v>
      </c>
      <c r="N594" s="115">
        <v>0.04</v>
      </c>
      <c r="O594" s="115">
        <v>3.7999999999999999E-2</v>
      </c>
      <c r="P594" s="115">
        <v>3.7999999999999999E-2</v>
      </c>
      <c r="Q594" s="115">
        <v>3.7999999999999999E-2</v>
      </c>
      <c r="R594" s="115">
        <v>3.7999999999999999E-2</v>
      </c>
      <c r="S594" s="115">
        <v>4.1000000000000002E-2</v>
      </c>
      <c r="T594" s="115">
        <v>3.7999999999999999E-2</v>
      </c>
      <c r="U594" s="115">
        <v>3.7999999999999999E-2</v>
      </c>
      <c r="V594" s="115">
        <v>3.7999999999999999E-2</v>
      </c>
      <c r="W594" s="115">
        <v>3.7999999999999999E-2</v>
      </c>
      <c r="X594" s="115">
        <v>3.7999999999999999E-2</v>
      </c>
      <c r="Y594" s="115">
        <v>3.6999999999999998E-2</v>
      </c>
      <c r="Z594" s="115">
        <v>3.5999999999999997E-2</v>
      </c>
      <c r="AA594" s="115">
        <v>3.5000000000000003E-2</v>
      </c>
      <c r="AB594" s="115">
        <v>3.4000000000000002E-2</v>
      </c>
      <c r="AC594" s="115">
        <v>3.4000000000000002E-2</v>
      </c>
      <c r="AD594" s="43"/>
      <c r="AE594" s="43"/>
      <c r="AF594" s="43"/>
      <c r="AG594" s="43"/>
      <c r="AH594" s="43"/>
      <c r="AI594" s="43"/>
    </row>
    <row r="595" spans="1:35" x14ac:dyDescent="0.25">
      <c r="A595" s="115" t="s">
        <v>945</v>
      </c>
      <c r="B595" s="115"/>
      <c r="C595" s="115">
        <v>2.5000000000000001E-2</v>
      </c>
      <c r="D595" s="115">
        <v>2.5999999999999999E-2</v>
      </c>
      <c r="E595" s="115">
        <v>2.7E-2</v>
      </c>
      <c r="F595" s="115">
        <v>2.9000000000000001E-2</v>
      </c>
      <c r="G595" s="115">
        <v>2.9000000000000001E-2</v>
      </c>
      <c r="H595" s="115">
        <v>0.03</v>
      </c>
      <c r="I595" s="115">
        <v>0.03</v>
      </c>
      <c r="J595" s="115">
        <v>3.1E-2</v>
      </c>
      <c r="K595" s="115">
        <v>3.1E-2</v>
      </c>
      <c r="L595" s="115">
        <v>3.1E-2</v>
      </c>
      <c r="M595" s="115">
        <v>0.03</v>
      </c>
      <c r="N595" s="115">
        <v>2.9000000000000001E-2</v>
      </c>
      <c r="O595" s="115">
        <v>2.8000000000000001E-2</v>
      </c>
      <c r="P595" s="115">
        <v>2.8000000000000001E-2</v>
      </c>
      <c r="Q595" s="115">
        <v>2.7E-2</v>
      </c>
      <c r="R595" s="115">
        <v>2.7E-2</v>
      </c>
      <c r="S595" s="115">
        <v>0.03</v>
      </c>
      <c r="T595" s="115">
        <v>2.7E-2</v>
      </c>
      <c r="U595" s="115">
        <v>2.7E-2</v>
      </c>
      <c r="V595" s="115">
        <v>2.7E-2</v>
      </c>
      <c r="W595" s="115">
        <v>2.7E-2</v>
      </c>
      <c r="X595" s="115">
        <v>2.7E-2</v>
      </c>
      <c r="Y595" s="115">
        <v>2.7E-2</v>
      </c>
      <c r="Z595" s="115">
        <v>2.5999999999999999E-2</v>
      </c>
      <c r="AA595" s="115">
        <v>2.5999999999999999E-2</v>
      </c>
      <c r="AB595" s="115">
        <v>2.5000000000000001E-2</v>
      </c>
      <c r="AC595" s="115">
        <v>2.4E-2</v>
      </c>
      <c r="AD595" s="43"/>
      <c r="AE595" s="43"/>
      <c r="AF595" s="43"/>
      <c r="AG595" s="43"/>
      <c r="AH595" s="43"/>
      <c r="AI595" s="43"/>
    </row>
    <row r="596" spans="1:35" x14ac:dyDescent="0.25">
      <c r="A596" s="115" t="s">
        <v>946</v>
      </c>
      <c r="B596" s="115"/>
      <c r="C596" s="115">
        <v>0.02</v>
      </c>
      <c r="D596" s="115">
        <v>0.02</v>
      </c>
      <c r="E596" s="115">
        <v>2.1000000000000001E-2</v>
      </c>
      <c r="F596" s="115">
        <v>2.1999999999999999E-2</v>
      </c>
      <c r="G596" s="115">
        <v>2.3E-2</v>
      </c>
      <c r="H596" s="115">
        <v>2.3E-2</v>
      </c>
      <c r="I596" s="115">
        <v>2.3E-2</v>
      </c>
      <c r="J596" s="115">
        <v>2.4E-2</v>
      </c>
      <c r="K596" s="115">
        <v>2.4E-2</v>
      </c>
      <c r="L596" s="115">
        <v>2.4E-2</v>
      </c>
      <c r="M596" s="115">
        <v>2.3E-2</v>
      </c>
      <c r="N596" s="115">
        <v>2.1999999999999999E-2</v>
      </c>
      <c r="O596" s="115">
        <v>2.1999999999999999E-2</v>
      </c>
      <c r="P596" s="115">
        <v>2.1000000000000001E-2</v>
      </c>
      <c r="Q596" s="115">
        <v>2.1000000000000001E-2</v>
      </c>
      <c r="R596" s="115">
        <v>2.1000000000000001E-2</v>
      </c>
      <c r="S596" s="115">
        <v>2.3E-2</v>
      </c>
      <c r="T596" s="115">
        <v>2.1000000000000001E-2</v>
      </c>
      <c r="U596" s="115">
        <v>2.1000000000000001E-2</v>
      </c>
      <c r="V596" s="115">
        <v>2.1000000000000001E-2</v>
      </c>
      <c r="W596" s="115">
        <v>2.1000000000000001E-2</v>
      </c>
      <c r="X596" s="115">
        <v>0.02</v>
      </c>
      <c r="Y596" s="115">
        <v>0.02</v>
      </c>
      <c r="Z596" s="115">
        <v>0.02</v>
      </c>
      <c r="AA596" s="115">
        <v>1.9E-2</v>
      </c>
      <c r="AB596" s="115">
        <v>1.9E-2</v>
      </c>
      <c r="AC596" s="115">
        <v>1.7999999999999999E-2</v>
      </c>
      <c r="AD596" s="43"/>
      <c r="AE596" s="43"/>
      <c r="AF596" s="43"/>
      <c r="AG596" s="43"/>
      <c r="AH596" s="43"/>
      <c r="AI596" s="43"/>
    </row>
    <row r="597" spans="1:35" x14ac:dyDescent="0.25">
      <c r="A597" s="115" t="s">
        <v>947</v>
      </c>
      <c r="B597" s="115"/>
      <c r="C597" s="115">
        <v>1.2999999999999999E-2</v>
      </c>
      <c r="D597" s="115">
        <v>1.2999999999999999E-2</v>
      </c>
      <c r="E597" s="115">
        <v>1.2999999999999999E-2</v>
      </c>
      <c r="F597" s="115">
        <v>1.4E-2</v>
      </c>
      <c r="G597" s="115">
        <v>1.4E-2</v>
      </c>
      <c r="H597" s="115">
        <v>1.4E-2</v>
      </c>
      <c r="I597" s="115">
        <v>1.4E-2</v>
      </c>
      <c r="J597" s="115">
        <v>1.4999999999999999E-2</v>
      </c>
      <c r="K597" s="115">
        <v>1.4999999999999999E-2</v>
      </c>
      <c r="L597" s="115">
        <v>1.4999999999999999E-2</v>
      </c>
      <c r="M597" s="115">
        <v>1.4E-2</v>
      </c>
      <c r="N597" s="115">
        <v>1.4E-2</v>
      </c>
      <c r="O597" s="115">
        <v>1.2999999999999999E-2</v>
      </c>
      <c r="P597" s="115">
        <v>1.2999999999999999E-2</v>
      </c>
      <c r="Q597" s="115">
        <v>1.2999999999999999E-2</v>
      </c>
      <c r="R597" s="115">
        <v>1.2999999999999999E-2</v>
      </c>
      <c r="S597" s="115">
        <v>1.4E-2</v>
      </c>
      <c r="T597" s="115">
        <v>1.2999999999999999E-2</v>
      </c>
      <c r="U597" s="115">
        <v>1.2E-2</v>
      </c>
      <c r="V597" s="115">
        <v>1.2E-2</v>
      </c>
      <c r="W597" s="115">
        <v>1.2E-2</v>
      </c>
      <c r="X597" s="115">
        <v>1.2E-2</v>
      </c>
      <c r="Y597" s="115">
        <v>1.2E-2</v>
      </c>
      <c r="Z597" s="115">
        <v>1.2E-2</v>
      </c>
      <c r="AA597" s="115">
        <v>1.0999999999999999E-2</v>
      </c>
      <c r="AB597" s="115">
        <v>1.0999999999999999E-2</v>
      </c>
      <c r="AC597" s="115">
        <v>1.0999999999999999E-2</v>
      </c>
      <c r="AD597" s="43"/>
      <c r="AE597" s="43"/>
      <c r="AF597" s="43"/>
      <c r="AG597" s="43"/>
      <c r="AH597" s="43"/>
      <c r="AI597" s="43"/>
    </row>
    <row r="598" spans="1:35" x14ac:dyDescent="0.25">
      <c r="A598" s="115" t="s">
        <v>948</v>
      </c>
      <c r="B598" s="115"/>
      <c r="C598" s="115">
        <v>4.3999999999999997E-2</v>
      </c>
      <c r="D598" s="115">
        <v>4.7E-2</v>
      </c>
      <c r="E598" s="115">
        <v>0.05</v>
      </c>
      <c r="F598" s="115">
        <v>5.5E-2</v>
      </c>
      <c r="G598" s="115">
        <v>5.8999999999999997E-2</v>
      </c>
      <c r="H598" s="115">
        <v>6.0999999999999999E-2</v>
      </c>
      <c r="I598" s="115">
        <v>6.3E-2</v>
      </c>
      <c r="J598" s="115">
        <v>6.6000000000000003E-2</v>
      </c>
      <c r="K598" s="115">
        <v>6.8000000000000005E-2</v>
      </c>
      <c r="L598" s="115">
        <v>7.0000000000000007E-2</v>
      </c>
      <c r="M598" s="115">
        <v>7.0000000000000007E-2</v>
      </c>
      <c r="N598" s="115">
        <v>7.0000000000000007E-2</v>
      </c>
      <c r="O598" s="115">
        <v>6.9000000000000006E-2</v>
      </c>
      <c r="P598" s="115">
        <v>6.8000000000000005E-2</v>
      </c>
      <c r="Q598" s="115">
        <v>6.7000000000000004E-2</v>
      </c>
      <c r="R598" s="115">
        <v>6.7000000000000004E-2</v>
      </c>
      <c r="S598" s="115">
        <v>7.3999999999999996E-2</v>
      </c>
      <c r="T598" s="115">
        <v>6.8000000000000005E-2</v>
      </c>
      <c r="U598" s="115">
        <v>6.8000000000000005E-2</v>
      </c>
      <c r="V598" s="115">
        <v>6.8000000000000005E-2</v>
      </c>
      <c r="W598" s="115">
        <v>6.8000000000000005E-2</v>
      </c>
      <c r="X598" s="115">
        <v>6.6000000000000003E-2</v>
      </c>
      <c r="Y598" s="115">
        <v>6.6000000000000003E-2</v>
      </c>
      <c r="Z598" s="115">
        <v>6.5000000000000002E-2</v>
      </c>
      <c r="AA598" s="115">
        <v>6.4000000000000001E-2</v>
      </c>
      <c r="AB598" s="115">
        <v>6.3E-2</v>
      </c>
      <c r="AC598" s="115">
        <v>6.0999999999999999E-2</v>
      </c>
      <c r="AD598" s="43"/>
      <c r="AE598" s="43"/>
      <c r="AF598" s="43"/>
      <c r="AG598" s="43"/>
      <c r="AH598" s="43"/>
      <c r="AI598" s="43"/>
    </row>
    <row r="599" spans="1:35" x14ac:dyDescent="0.25">
      <c r="A599" s="115" t="s">
        <v>949</v>
      </c>
      <c r="B599" s="115"/>
      <c r="C599" s="115">
        <v>2.9000000000000001E-2</v>
      </c>
      <c r="D599" s="115">
        <v>3.1E-2</v>
      </c>
      <c r="E599" s="115">
        <v>3.3000000000000002E-2</v>
      </c>
      <c r="F599" s="115">
        <v>3.5999999999999997E-2</v>
      </c>
      <c r="G599" s="115">
        <v>3.6999999999999998E-2</v>
      </c>
      <c r="H599" s="115">
        <v>3.9E-2</v>
      </c>
      <c r="I599" s="115">
        <v>0.04</v>
      </c>
      <c r="J599" s="115">
        <v>4.2000000000000003E-2</v>
      </c>
      <c r="K599" s="115">
        <v>4.2999999999999997E-2</v>
      </c>
      <c r="L599" s="115">
        <v>4.3999999999999997E-2</v>
      </c>
      <c r="M599" s="115">
        <v>4.3999999999999997E-2</v>
      </c>
      <c r="N599" s="115">
        <v>4.2999999999999997E-2</v>
      </c>
      <c r="O599" s="115">
        <v>4.2999999999999997E-2</v>
      </c>
      <c r="P599" s="115">
        <v>4.2000000000000003E-2</v>
      </c>
      <c r="Q599" s="115">
        <v>4.1000000000000002E-2</v>
      </c>
      <c r="R599" s="115">
        <v>4.1000000000000002E-2</v>
      </c>
      <c r="S599" s="115">
        <v>4.5999999999999999E-2</v>
      </c>
      <c r="T599" s="115">
        <v>4.2000000000000003E-2</v>
      </c>
      <c r="U599" s="115">
        <v>4.2000000000000003E-2</v>
      </c>
      <c r="V599" s="115">
        <v>4.2000000000000003E-2</v>
      </c>
      <c r="W599" s="115">
        <v>4.2000000000000003E-2</v>
      </c>
      <c r="X599" s="115">
        <v>4.1000000000000002E-2</v>
      </c>
      <c r="Y599" s="115">
        <v>4.1000000000000002E-2</v>
      </c>
      <c r="Z599" s="115">
        <v>4.1000000000000002E-2</v>
      </c>
      <c r="AA599" s="115">
        <v>0.04</v>
      </c>
      <c r="AB599" s="115">
        <v>0.04</v>
      </c>
      <c r="AC599" s="115">
        <v>3.9E-2</v>
      </c>
      <c r="AD599" s="43"/>
      <c r="AE599" s="43"/>
      <c r="AF599" s="43"/>
      <c r="AG599" s="43"/>
      <c r="AH599" s="43"/>
      <c r="AI599" s="43"/>
    </row>
    <row r="600" spans="1:35" x14ac:dyDescent="0.25">
      <c r="A600" s="115" t="s">
        <v>950</v>
      </c>
      <c r="B600" s="115"/>
      <c r="C600" s="115">
        <v>2.1999999999999999E-2</v>
      </c>
      <c r="D600" s="115">
        <v>2.3E-2</v>
      </c>
      <c r="E600" s="115">
        <v>2.5000000000000001E-2</v>
      </c>
      <c r="F600" s="115">
        <v>2.7E-2</v>
      </c>
      <c r="G600" s="115">
        <v>2.8000000000000001E-2</v>
      </c>
      <c r="H600" s="115">
        <v>2.9000000000000001E-2</v>
      </c>
      <c r="I600" s="115">
        <v>0.03</v>
      </c>
      <c r="J600" s="115">
        <v>3.1E-2</v>
      </c>
      <c r="K600" s="115">
        <v>3.2000000000000001E-2</v>
      </c>
      <c r="L600" s="115">
        <v>3.3000000000000002E-2</v>
      </c>
      <c r="M600" s="115">
        <v>3.3000000000000002E-2</v>
      </c>
      <c r="N600" s="115">
        <v>3.2000000000000001E-2</v>
      </c>
      <c r="O600" s="115">
        <v>3.2000000000000001E-2</v>
      </c>
      <c r="P600" s="115">
        <v>3.1E-2</v>
      </c>
      <c r="Q600" s="115">
        <v>3.1E-2</v>
      </c>
      <c r="R600" s="115">
        <v>3.1E-2</v>
      </c>
      <c r="S600" s="115">
        <v>3.4000000000000002E-2</v>
      </c>
      <c r="T600" s="115">
        <v>3.1E-2</v>
      </c>
      <c r="U600" s="115">
        <v>3.1E-2</v>
      </c>
      <c r="V600" s="115">
        <v>3.1E-2</v>
      </c>
      <c r="W600" s="115">
        <v>3.1E-2</v>
      </c>
      <c r="X600" s="115">
        <v>0.03</v>
      </c>
      <c r="Y600" s="115">
        <v>0.03</v>
      </c>
      <c r="Z600" s="115">
        <v>0.03</v>
      </c>
      <c r="AA600" s="115">
        <v>2.9000000000000001E-2</v>
      </c>
      <c r="AB600" s="115">
        <v>2.9000000000000001E-2</v>
      </c>
      <c r="AC600" s="115">
        <v>2.8000000000000001E-2</v>
      </c>
      <c r="AD600" s="43"/>
      <c r="AE600" s="43"/>
      <c r="AF600" s="43"/>
      <c r="AG600" s="43"/>
      <c r="AH600" s="43"/>
      <c r="AI600" s="43"/>
    </row>
    <row r="601" spans="1:35" x14ac:dyDescent="0.25">
      <c r="A601" s="115" t="s">
        <v>951</v>
      </c>
      <c r="B601" s="115"/>
      <c r="C601" s="115">
        <v>1.7000000000000001E-2</v>
      </c>
      <c r="D601" s="115">
        <v>1.7999999999999999E-2</v>
      </c>
      <c r="E601" s="115">
        <v>1.9E-2</v>
      </c>
      <c r="F601" s="115">
        <v>0.02</v>
      </c>
      <c r="G601" s="115">
        <v>2.1000000000000001E-2</v>
      </c>
      <c r="H601" s="115">
        <v>2.1999999999999999E-2</v>
      </c>
      <c r="I601" s="115">
        <v>2.1999999999999999E-2</v>
      </c>
      <c r="J601" s="115">
        <v>2.3E-2</v>
      </c>
      <c r="K601" s="115">
        <v>2.4E-2</v>
      </c>
      <c r="L601" s="115">
        <v>2.4E-2</v>
      </c>
      <c r="M601" s="115">
        <v>2.4E-2</v>
      </c>
      <c r="N601" s="115">
        <v>2.4E-2</v>
      </c>
      <c r="O601" s="115">
        <v>2.3E-2</v>
      </c>
      <c r="P601" s="115">
        <v>2.3E-2</v>
      </c>
      <c r="Q601" s="115">
        <v>2.3E-2</v>
      </c>
      <c r="R601" s="115">
        <v>2.3E-2</v>
      </c>
      <c r="S601" s="115">
        <v>2.5000000000000001E-2</v>
      </c>
      <c r="T601" s="115">
        <v>2.3E-2</v>
      </c>
      <c r="U601" s="115">
        <v>2.3E-2</v>
      </c>
      <c r="V601" s="115">
        <v>2.3E-2</v>
      </c>
      <c r="W601" s="115">
        <v>2.3E-2</v>
      </c>
      <c r="X601" s="115">
        <v>2.3E-2</v>
      </c>
      <c r="Y601" s="115">
        <v>2.1999999999999999E-2</v>
      </c>
      <c r="Z601" s="115">
        <v>2.1999999999999999E-2</v>
      </c>
      <c r="AA601" s="115">
        <v>2.1999999999999999E-2</v>
      </c>
      <c r="AB601" s="115">
        <v>2.1999999999999999E-2</v>
      </c>
      <c r="AC601" s="115">
        <v>2.1000000000000001E-2</v>
      </c>
      <c r="AD601" s="43"/>
      <c r="AE601" s="43"/>
      <c r="AF601" s="43"/>
      <c r="AG601" s="43"/>
      <c r="AH601" s="43"/>
      <c r="AI601" s="43"/>
    </row>
    <row r="602" spans="1:35" x14ac:dyDescent="0.25">
      <c r="A602" s="115" t="s">
        <v>952</v>
      </c>
      <c r="B602" s="115"/>
      <c r="C602" s="115">
        <v>1.2E-2</v>
      </c>
      <c r="D602" s="115">
        <v>1.2E-2</v>
      </c>
      <c r="E602" s="115">
        <v>1.2999999999999999E-2</v>
      </c>
      <c r="F602" s="115">
        <v>1.2999999999999999E-2</v>
      </c>
      <c r="G602" s="115">
        <v>1.4E-2</v>
      </c>
      <c r="H602" s="115">
        <v>1.4E-2</v>
      </c>
      <c r="I602" s="115">
        <v>1.4E-2</v>
      </c>
      <c r="J602" s="115">
        <v>1.4999999999999999E-2</v>
      </c>
      <c r="K602" s="115">
        <v>1.4999999999999999E-2</v>
      </c>
      <c r="L602" s="115">
        <v>1.4999999999999999E-2</v>
      </c>
      <c r="M602" s="115">
        <v>1.4999999999999999E-2</v>
      </c>
      <c r="N602" s="115">
        <v>1.4999999999999999E-2</v>
      </c>
      <c r="O602" s="115">
        <v>1.4E-2</v>
      </c>
      <c r="P602" s="115">
        <v>1.4E-2</v>
      </c>
      <c r="Q602" s="115">
        <v>1.4E-2</v>
      </c>
      <c r="R602" s="115">
        <v>1.4E-2</v>
      </c>
      <c r="S602" s="115">
        <v>1.4999999999999999E-2</v>
      </c>
      <c r="T602" s="115">
        <v>1.4E-2</v>
      </c>
      <c r="U602" s="115">
        <v>1.4E-2</v>
      </c>
      <c r="V602" s="115">
        <v>1.4E-2</v>
      </c>
      <c r="W602" s="115">
        <v>1.2999999999999999E-2</v>
      </c>
      <c r="X602" s="115">
        <v>1.2999999999999999E-2</v>
      </c>
      <c r="Y602" s="115">
        <v>1.2999999999999999E-2</v>
      </c>
      <c r="Z602" s="115">
        <v>1.2999999999999999E-2</v>
      </c>
      <c r="AA602" s="115">
        <v>1.2E-2</v>
      </c>
      <c r="AB602" s="115">
        <v>1.2E-2</v>
      </c>
      <c r="AC602" s="115">
        <v>1.2E-2</v>
      </c>
      <c r="AD602" s="43"/>
      <c r="AE602" s="43"/>
      <c r="AF602" s="43"/>
      <c r="AG602" s="43"/>
      <c r="AH602" s="43"/>
      <c r="AI602" s="43"/>
    </row>
    <row r="603" spans="1:35" x14ac:dyDescent="0.25">
      <c r="A603" s="115" t="s">
        <v>953</v>
      </c>
      <c r="B603" s="115"/>
      <c r="C603" s="115">
        <v>9.4E-2</v>
      </c>
      <c r="D603" s="115">
        <v>9.8000000000000004E-2</v>
      </c>
      <c r="E603" s="115">
        <v>0.10299999999999999</v>
      </c>
      <c r="F603" s="115">
        <v>0.11</v>
      </c>
      <c r="G603" s="115">
        <v>0.114</v>
      </c>
      <c r="H603" s="115">
        <v>0.11899999999999999</v>
      </c>
      <c r="I603" s="115">
        <v>0.125</v>
      </c>
      <c r="J603" s="115">
        <v>0.13</v>
      </c>
      <c r="K603" s="115">
        <v>0.13600000000000001</v>
      </c>
      <c r="L603" s="115">
        <v>0.14099999999999999</v>
      </c>
      <c r="M603" s="115">
        <v>0.14199999999999999</v>
      </c>
      <c r="N603" s="115">
        <v>0.14199999999999999</v>
      </c>
      <c r="O603" s="115">
        <v>0.14099999999999999</v>
      </c>
      <c r="P603" s="115">
        <v>0.14000000000000001</v>
      </c>
      <c r="Q603" s="115">
        <v>0.13800000000000001</v>
      </c>
      <c r="R603" s="115">
        <v>0.13600000000000001</v>
      </c>
      <c r="S603" s="115">
        <v>0.14599999999999999</v>
      </c>
      <c r="T603" s="115">
        <v>0.13200000000000001</v>
      </c>
      <c r="U603" s="115">
        <v>0.129</v>
      </c>
      <c r="V603" s="115">
        <v>0.127</v>
      </c>
      <c r="W603" s="115">
        <v>0.126</v>
      </c>
      <c r="X603" s="115">
        <v>0.124</v>
      </c>
      <c r="Y603" s="115">
        <v>0.123</v>
      </c>
      <c r="Z603" s="115">
        <v>0.122</v>
      </c>
      <c r="AA603" s="115">
        <v>0.121</v>
      </c>
      <c r="AB603" s="115">
        <v>0.12</v>
      </c>
      <c r="AC603" s="115">
        <v>0.11799999999999999</v>
      </c>
      <c r="AD603" s="43"/>
      <c r="AE603" s="43"/>
      <c r="AF603" s="43"/>
      <c r="AG603" s="43"/>
      <c r="AH603" s="43"/>
      <c r="AI603" s="43"/>
    </row>
    <row r="604" spans="1:35" x14ac:dyDescent="0.25">
      <c r="A604" s="115" t="s">
        <v>954</v>
      </c>
      <c r="B604" s="115"/>
      <c r="C604" s="115">
        <v>6.2E-2</v>
      </c>
      <c r="D604" s="115">
        <v>6.4000000000000001E-2</v>
      </c>
      <c r="E604" s="115">
        <v>6.7000000000000004E-2</v>
      </c>
      <c r="F604" s="115">
        <v>7.0999999999999994E-2</v>
      </c>
      <c r="G604" s="115">
        <v>7.3999999999999996E-2</v>
      </c>
      <c r="H604" s="115">
        <v>7.5999999999999998E-2</v>
      </c>
      <c r="I604" s="115">
        <v>7.9000000000000001E-2</v>
      </c>
      <c r="J604" s="115">
        <v>8.2000000000000003E-2</v>
      </c>
      <c r="K604" s="115">
        <v>8.5000000000000006E-2</v>
      </c>
      <c r="L604" s="115">
        <v>8.6999999999999994E-2</v>
      </c>
      <c r="M604" s="115">
        <v>8.6999999999999994E-2</v>
      </c>
      <c r="N604" s="115">
        <v>8.5999999999999993E-2</v>
      </c>
      <c r="O604" s="115">
        <v>8.5000000000000006E-2</v>
      </c>
      <c r="P604" s="115">
        <v>8.4000000000000005E-2</v>
      </c>
      <c r="Q604" s="115">
        <v>8.3000000000000004E-2</v>
      </c>
      <c r="R604" s="115">
        <v>8.1000000000000003E-2</v>
      </c>
      <c r="S604" s="115">
        <v>8.5999999999999993E-2</v>
      </c>
      <c r="T604" s="115">
        <v>7.8E-2</v>
      </c>
      <c r="U604" s="115">
        <v>7.5999999999999998E-2</v>
      </c>
      <c r="V604" s="115">
        <v>7.4999999999999997E-2</v>
      </c>
      <c r="W604" s="115">
        <v>7.3999999999999996E-2</v>
      </c>
      <c r="X604" s="115">
        <v>7.2999999999999995E-2</v>
      </c>
      <c r="Y604" s="115">
        <v>7.2999999999999995E-2</v>
      </c>
      <c r="Z604" s="115">
        <v>7.1999999999999995E-2</v>
      </c>
      <c r="AA604" s="115">
        <v>7.1999999999999995E-2</v>
      </c>
      <c r="AB604" s="115">
        <v>7.0999999999999994E-2</v>
      </c>
      <c r="AC604" s="115">
        <v>7.0000000000000007E-2</v>
      </c>
      <c r="AD604" s="43"/>
      <c r="AE604" s="43"/>
      <c r="AF604" s="43"/>
      <c r="AG604" s="43"/>
      <c r="AH604" s="43"/>
      <c r="AI604" s="43"/>
    </row>
    <row r="605" spans="1:35" x14ac:dyDescent="0.25">
      <c r="A605" s="115" t="s">
        <v>955</v>
      </c>
      <c r="B605" s="115"/>
      <c r="C605" s="115">
        <v>4.5999999999999999E-2</v>
      </c>
      <c r="D605" s="115">
        <v>4.8000000000000001E-2</v>
      </c>
      <c r="E605" s="115">
        <v>0.05</v>
      </c>
      <c r="F605" s="115">
        <v>5.2999999999999999E-2</v>
      </c>
      <c r="G605" s="115">
        <v>5.3999999999999999E-2</v>
      </c>
      <c r="H605" s="115">
        <v>5.6000000000000001E-2</v>
      </c>
      <c r="I605" s="115">
        <v>5.8000000000000003E-2</v>
      </c>
      <c r="J605" s="115">
        <v>0.06</v>
      </c>
      <c r="K605" s="115">
        <v>6.2E-2</v>
      </c>
      <c r="L605" s="115">
        <v>6.3E-2</v>
      </c>
      <c r="M605" s="115">
        <v>6.2E-2</v>
      </c>
      <c r="N605" s="115">
        <v>6.0999999999999999E-2</v>
      </c>
      <c r="O605" s="115">
        <v>0.06</v>
      </c>
      <c r="P605" s="115">
        <v>5.8999999999999997E-2</v>
      </c>
      <c r="Q605" s="115">
        <v>5.7000000000000002E-2</v>
      </c>
      <c r="R605" s="115">
        <v>5.6000000000000001E-2</v>
      </c>
      <c r="S605" s="115">
        <v>5.8999999999999997E-2</v>
      </c>
      <c r="T605" s="115">
        <v>5.3999999999999999E-2</v>
      </c>
      <c r="U605" s="115">
        <v>5.2999999999999999E-2</v>
      </c>
      <c r="V605" s="115">
        <v>5.0999999999999997E-2</v>
      </c>
      <c r="W605" s="115">
        <v>5.0999999999999997E-2</v>
      </c>
      <c r="X605" s="115">
        <v>5.0999999999999997E-2</v>
      </c>
      <c r="Y605" s="115">
        <v>0.05</v>
      </c>
      <c r="Z605" s="115">
        <v>0.05</v>
      </c>
      <c r="AA605" s="115">
        <v>0.05</v>
      </c>
      <c r="AB605" s="115">
        <v>0.05</v>
      </c>
      <c r="AC605" s="115">
        <v>4.9000000000000002E-2</v>
      </c>
      <c r="AD605" s="43"/>
      <c r="AE605" s="43"/>
      <c r="AF605" s="43"/>
      <c r="AG605" s="43"/>
      <c r="AH605" s="43"/>
      <c r="AI605" s="43"/>
    </row>
    <row r="606" spans="1:35" x14ac:dyDescent="0.25">
      <c r="A606" s="115" t="s">
        <v>956</v>
      </c>
      <c r="B606" s="115"/>
      <c r="C606" s="115">
        <v>3.5000000000000003E-2</v>
      </c>
      <c r="D606" s="115">
        <v>3.5999999999999997E-2</v>
      </c>
      <c r="E606" s="115">
        <v>3.7999999999999999E-2</v>
      </c>
      <c r="F606" s="115">
        <v>0.04</v>
      </c>
      <c r="G606" s="115">
        <v>4.1000000000000002E-2</v>
      </c>
      <c r="H606" s="115">
        <v>4.2000000000000003E-2</v>
      </c>
      <c r="I606" s="115">
        <v>4.3999999999999997E-2</v>
      </c>
      <c r="J606" s="115">
        <v>4.4999999999999998E-2</v>
      </c>
      <c r="K606" s="115">
        <v>4.5999999999999999E-2</v>
      </c>
      <c r="L606" s="115">
        <v>4.7E-2</v>
      </c>
      <c r="M606" s="115">
        <v>4.7E-2</v>
      </c>
      <c r="N606" s="115">
        <v>4.5999999999999999E-2</v>
      </c>
      <c r="O606" s="115">
        <v>4.4999999999999998E-2</v>
      </c>
      <c r="P606" s="115">
        <v>4.3999999999999997E-2</v>
      </c>
      <c r="Q606" s="115">
        <v>4.2999999999999997E-2</v>
      </c>
      <c r="R606" s="115">
        <v>4.2000000000000003E-2</v>
      </c>
      <c r="S606" s="115">
        <v>4.3999999999999997E-2</v>
      </c>
      <c r="T606" s="115">
        <v>4.1000000000000002E-2</v>
      </c>
      <c r="U606" s="115">
        <v>0.04</v>
      </c>
      <c r="V606" s="115">
        <v>3.9E-2</v>
      </c>
      <c r="W606" s="115">
        <v>3.9E-2</v>
      </c>
      <c r="X606" s="115">
        <v>3.7999999999999999E-2</v>
      </c>
      <c r="Y606" s="115">
        <v>3.7999999999999999E-2</v>
      </c>
      <c r="Z606" s="115">
        <v>3.7999999999999999E-2</v>
      </c>
      <c r="AA606" s="115">
        <v>3.7999999999999999E-2</v>
      </c>
      <c r="AB606" s="115">
        <v>3.6999999999999998E-2</v>
      </c>
      <c r="AC606" s="115">
        <v>3.6999999999999998E-2</v>
      </c>
      <c r="AD606" s="43"/>
      <c r="AE606" s="43"/>
      <c r="AF606" s="43"/>
      <c r="AG606" s="43"/>
      <c r="AH606" s="43"/>
      <c r="AI606" s="43"/>
    </row>
    <row r="607" spans="1:35" x14ac:dyDescent="0.25">
      <c r="A607" s="115" t="s">
        <v>957</v>
      </c>
      <c r="B607" s="115"/>
      <c r="C607" s="115">
        <v>2.1999999999999999E-2</v>
      </c>
      <c r="D607" s="115">
        <v>2.1999999999999999E-2</v>
      </c>
      <c r="E607" s="115">
        <v>2.3E-2</v>
      </c>
      <c r="F607" s="115">
        <v>2.4E-2</v>
      </c>
      <c r="G607" s="115">
        <v>2.5000000000000001E-2</v>
      </c>
      <c r="H607" s="115">
        <v>2.5000000000000001E-2</v>
      </c>
      <c r="I607" s="115">
        <v>2.5999999999999999E-2</v>
      </c>
      <c r="J607" s="115">
        <v>2.7E-2</v>
      </c>
      <c r="K607" s="115">
        <v>2.7E-2</v>
      </c>
      <c r="L607" s="115">
        <v>2.8000000000000001E-2</v>
      </c>
      <c r="M607" s="115">
        <v>2.7E-2</v>
      </c>
      <c r="N607" s="115">
        <v>2.7E-2</v>
      </c>
      <c r="O607" s="115">
        <v>2.5999999999999999E-2</v>
      </c>
      <c r="P607" s="115">
        <v>2.5999999999999999E-2</v>
      </c>
      <c r="Q607" s="115">
        <v>2.5000000000000001E-2</v>
      </c>
      <c r="R607" s="115">
        <v>2.5000000000000001E-2</v>
      </c>
      <c r="S607" s="115">
        <v>2.5999999999999999E-2</v>
      </c>
      <c r="T607" s="115">
        <v>2.4E-2</v>
      </c>
      <c r="U607" s="115">
        <v>2.3E-2</v>
      </c>
      <c r="V607" s="115">
        <v>2.1999999999999999E-2</v>
      </c>
      <c r="W607" s="115">
        <v>2.1999999999999999E-2</v>
      </c>
      <c r="X607" s="115">
        <v>2.1999999999999999E-2</v>
      </c>
      <c r="Y607" s="115">
        <v>2.1999999999999999E-2</v>
      </c>
      <c r="Z607" s="115">
        <v>2.1999999999999999E-2</v>
      </c>
      <c r="AA607" s="115">
        <v>2.1999999999999999E-2</v>
      </c>
      <c r="AB607" s="115">
        <v>2.1000000000000001E-2</v>
      </c>
      <c r="AC607" s="115">
        <v>2.1000000000000001E-2</v>
      </c>
      <c r="AD607" s="43"/>
      <c r="AE607" s="43"/>
      <c r="AF607" s="43"/>
      <c r="AG607" s="43"/>
      <c r="AH607" s="43"/>
      <c r="AI607" s="43"/>
    </row>
    <row r="608" spans="1:35" x14ac:dyDescent="0.25">
      <c r="A608" s="115" t="s">
        <v>958</v>
      </c>
      <c r="B608" s="115"/>
      <c r="C608" s="115">
        <v>8.7999999999999995E-2</v>
      </c>
      <c r="D608" s="115">
        <v>9.2999999999999999E-2</v>
      </c>
      <c r="E608" s="115">
        <v>0.10299999999999999</v>
      </c>
      <c r="F608" s="115">
        <v>0.112</v>
      </c>
      <c r="G608" s="115">
        <v>0.11899999999999999</v>
      </c>
      <c r="H608" s="115">
        <v>0.125</v>
      </c>
      <c r="I608" s="115">
        <v>0.13</v>
      </c>
      <c r="J608" s="115">
        <v>0.13700000000000001</v>
      </c>
      <c r="K608" s="115">
        <v>0.14199999999999999</v>
      </c>
      <c r="L608" s="115">
        <v>0.14699999999999999</v>
      </c>
      <c r="M608" s="115">
        <v>0.14299999999999999</v>
      </c>
      <c r="N608" s="115">
        <v>0.14000000000000001</v>
      </c>
      <c r="O608" s="115">
        <v>0.13100000000000001</v>
      </c>
      <c r="P608" s="115">
        <v>0.127</v>
      </c>
      <c r="Q608" s="115">
        <v>0.124</v>
      </c>
      <c r="R608" s="115">
        <v>0.122</v>
      </c>
      <c r="S608" s="115">
        <v>0.128</v>
      </c>
      <c r="T608" s="115">
        <v>0.11899999999999999</v>
      </c>
      <c r="U608" s="115">
        <v>0.11600000000000001</v>
      </c>
      <c r="V608" s="115">
        <v>0.115</v>
      </c>
      <c r="W608" s="115">
        <v>0.114</v>
      </c>
      <c r="X608" s="115">
        <v>0.114</v>
      </c>
      <c r="Y608" s="115">
        <v>0.115</v>
      </c>
      <c r="Z608" s="115">
        <v>0.111</v>
      </c>
      <c r="AA608" s="115">
        <v>0.108</v>
      </c>
      <c r="AB608" s="115">
        <v>0.106</v>
      </c>
      <c r="AC608" s="115">
        <v>0.10199999999999999</v>
      </c>
      <c r="AD608" s="43"/>
      <c r="AE608" s="43"/>
      <c r="AF608" s="43"/>
      <c r="AG608" s="43"/>
      <c r="AH608" s="43"/>
      <c r="AI608" s="43"/>
    </row>
    <row r="609" spans="1:35" x14ac:dyDescent="0.25">
      <c r="A609" s="115" t="s">
        <v>959</v>
      </c>
      <c r="B609" s="115"/>
      <c r="C609" s="115">
        <v>5.5E-2</v>
      </c>
      <c r="D609" s="115">
        <v>5.7000000000000002E-2</v>
      </c>
      <c r="E609" s="115">
        <v>6.2E-2</v>
      </c>
      <c r="F609" s="115">
        <v>6.8000000000000005E-2</v>
      </c>
      <c r="G609" s="115">
        <v>7.0999999999999994E-2</v>
      </c>
      <c r="H609" s="115">
        <v>7.3999999999999996E-2</v>
      </c>
      <c r="I609" s="115">
        <v>7.6999999999999999E-2</v>
      </c>
      <c r="J609" s="115">
        <v>8.1000000000000003E-2</v>
      </c>
      <c r="K609" s="115">
        <v>8.4000000000000005E-2</v>
      </c>
      <c r="L609" s="115">
        <v>8.6999999999999994E-2</v>
      </c>
      <c r="M609" s="115">
        <v>8.5000000000000006E-2</v>
      </c>
      <c r="N609" s="115">
        <v>8.4000000000000005E-2</v>
      </c>
      <c r="O609" s="115">
        <v>7.9000000000000001E-2</v>
      </c>
      <c r="P609" s="115">
        <v>7.6999999999999999E-2</v>
      </c>
      <c r="Q609" s="115">
        <v>7.5999999999999998E-2</v>
      </c>
      <c r="R609" s="115">
        <v>7.4999999999999997E-2</v>
      </c>
      <c r="S609" s="115">
        <v>7.9000000000000001E-2</v>
      </c>
      <c r="T609" s="115">
        <v>7.2999999999999995E-2</v>
      </c>
      <c r="U609" s="115">
        <v>7.0999999999999994E-2</v>
      </c>
      <c r="V609" s="115">
        <v>7.0000000000000007E-2</v>
      </c>
      <c r="W609" s="115">
        <v>7.0000000000000007E-2</v>
      </c>
      <c r="X609" s="115">
        <v>7.0000000000000007E-2</v>
      </c>
      <c r="Y609" s="115">
        <v>7.0000000000000007E-2</v>
      </c>
      <c r="Z609" s="115">
        <v>6.8000000000000005E-2</v>
      </c>
      <c r="AA609" s="115">
        <v>6.6000000000000003E-2</v>
      </c>
      <c r="AB609" s="115">
        <v>6.5000000000000002E-2</v>
      </c>
      <c r="AC609" s="115">
        <v>6.3E-2</v>
      </c>
      <c r="AD609" s="43"/>
      <c r="AE609" s="43"/>
      <c r="AF609" s="43"/>
      <c r="AG609" s="43"/>
      <c r="AH609" s="43"/>
      <c r="AI609" s="43"/>
    </row>
    <row r="610" spans="1:35" x14ac:dyDescent="0.25">
      <c r="A610" s="115" t="s">
        <v>960</v>
      </c>
      <c r="B610" s="115"/>
      <c r="C610" s="115">
        <v>4.1000000000000002E-2</v>
      </c>
      <c r="D610" s="115">
        <v>4.2999999999999997E-2</v>
      </c>
      <c r="E610" s="115">
        <v>4.5999999999999999E-2</v>
      </c>
      <c r="F610" s="115">
        <v>0.05</v>
      </c>
      <c r="G610" s="115">
        <v>5.1999999999999998E-2</v>
      </c>
      <c r="H610" s="115">
        <v>5.3999999999999999E-2</v>
      </c>
      <c r="I610" s="115">
        <v>5.6000000000000001E-2</v>
      </c>
      <c r="J610" s="115">
        <v>5.8000000000000003E-2</v>
      </c>
      <c r="K610" s="115">
        <v>0.06</v>
      </c>
      <c r="L610" s="115">
        <v>6.2E-2</v>
      </c>
      <c r="M610" s="115">
        <v>6.0999999999999999E-2</v>
      </c>
      <c r="N610" s="115">
        <v>5.8999999999999997E-2</v>
      </c>
      <c r="O610" s="115">
        <v>5.6000000000000001E-2</v>
      </c>
      <c r="P610" s="115">
        <v>5.5E-2</v>
      </c>
      <c r="Q610" s="115">
        <v>5.5E-2</v>
      </c>
      <c r="R610" s="115">
        <v>5.3999999999999999E-2</v>
      </c>
      <c r="S610" s="115">
        <v>5.7000000000000002E-2</v>
      </c>
      <c r="T610" s="115">
        <v>5.2999999999999999E-2</v>
      </c>
      <c r="U610" s="115">
        <v>5.1999999999999998E-2</v>
      </c>
      <c r="V610" s="115">
        <v>5.0999999999999997E-2</v>
      </c>
      <c r="W610" s="115">
        <v>5.0999999999999997E-2</v>
      </c>
      <c r="X610" s="115">
        <v>5.0999999999999997E-2</v>
      </c>
      <c r="Y610" s="115">
        <v>5.0999999999999997E-2</v>
      </c>
      <c r="Z610" s="115">
        <v>0.05</v>
      </c>
      <c r="AA610" s="115">
        <v>4.8000000000000001E-2</v>
      </c>
      <c r="AB610" s="115">
        <v>4.7E-2</v>
      </c>
      <c r="AC610" s="115">
        <v>4.5999999999999999E-2</v>
      </c>
      <c r="AD610" s="43"/>
      <c r="AE610" s="43"/>
      <c r="AF610" s="43"/>
      <c r="AG610" s="43"/>
      <c r="AH610" s="43"/>
      <c r="AI610" s="43"/>
    </row>
    <row r="611" spans="1:35" x14ac:dyDescent="0.25">
      <c r="A611" s="115" t="s">
        <v>961</v>
      </c>
      <c r="B611" s="115"/>
      <c r="C611" s="115">
        <v>3.1E-2</v>
      </c>
      <c r="D611" s="115">
        <v>3.2000000000000001E-2</v>
      </c>
      <c r="E611" s="115">
        <v>3.4000000000000002E-2</v>
      </c>
      <c r="F611" s="115">
        <v>3.5999999999999997E-2</v>
      </c>
      <c r="G611" s="115">
        <v>3.7999999999999999E-2</v>
      </c>
      <c r="H611" s="115">
        <v>3.9E-2</v>
      </c>
      <c r="I611" s="115">
        <v>0.04</v>
      </c>
      <c r="J611" s="115">
        <v>4.2000000000000003E-2</v>
      </c>
      <c r="K611" s="115">
        <v>4.2999999999999997E-2</v>
      </c>
      <c r="L611" s="115">
        <v>4.3999999999999997E-2</v>
      </c>
      <c r="M611" s="115">
        <v>4.2999999999999997E-2</v>
      </c>
      <c r="N611" s="115">
        <v>4.2999999999999997E-2</v>
      </c>
      <c r="O611" s="115">
        <v>4.1000000000000002E-2</v>
      </c>
      <c r="P611" s="115">
        <v>0.04</v>
      </c>
      <c r="Q611" s="115">
        <v>0.04</v>
      </c>
      <c r="R611" s="115">
        <v>3.9E-2</v>
      </c>
      <c r="S611" s="115">
        <v>4.2000000000000003E-2</v>
      </c>
      <c r="T611" s="115">
        <v>3.9E-2</v>
      </c>
      <c r="U611" s="115">
        <v>3.7999999999999999E-2</v>
      </c>
      <c r="V611" s="115">
        <v>3.7999999999999999E-2</v>
      </c>
      <c r="W611" s="115">
        <v>3.7999999999999999E-2</v>
      </c>
      <c r="X611" s="115">
        <v>3.7999999999999999E-2</v>
      </c>
      <c r="Y611" s="115">
        <v>3.7999999999999999E-2</v>
      </c>
      <c r="Z611" s="115">
        <v>3.6999999999999998E-2</v>
      </c>
      <c r="AA611" s="115">
        <v>3.5999999999999997E-2</v>
      </c>
      <c r="AB611" s="115">
        <v>3.5000000000000003E-2</v>
      </c>
      <c r="AC611" s="115">
        <v>3.4000000000000002E-2</v>
      </c>
      <c r="AD611" s="43"/>
      <c r="AE611" s="43"/>
      <c r="AF611" s="43"/>
      <c r="AG611" s="43"/>
      <c r="AH611" s="43"/>
      <c r="AI611" s="43"/>
    </row>
    <row r="612" spans="1:35" x14ac:dyDescent="0.25">
      <c r="A612" s="115" t="s">
        <v>962</v>
      </c>
      <c r="B612" s="115"/>
      <c r="C612" s="115">
        <v>1.7999999999999999E-2</v>
      </c>
      <c r="D612" s="115">
        <v>1.9E-2</v>
      </c>
      <c r="E612" s="115">
        <v>0.02</v>
      </c>
      <c r="F612" s="115">
        <v>2.1000000000000001E-2</v>
      </c>
      <c r="G612" s="115">
        <v>2.1999999999999999E-2</v>
      </c>
      <c r="H612" s="115">
        <v>2.3E-2</v>
      </c>
      <c r="I612" s="115">
        <v>2.3E-2</v>
      </c>
      <c r="J612" s="115">
        <v>2.4E-2</v>
      </c>
      <c r="K612" s="115">
        <v>2.5000000000000001E-2</v>
      </c>
      <c r="L612" s="115">
        <v>2.5000000000000001E-2</v>
      </c>
      <c r="M612" s="115">
        <v>2.5000000000000001E-2</v>
      </c>
      <c r="N612" s="115">
        <v>2.4E-2</v>
      </c>
      <c r="O612" s="115">
        <v>2.3E-2</v>
      </c>
      <c r="P612" s="115">
        <v>2.3E-2</v>
      </c>
      <c r="Q612" s="115">
        <v>2.3E-2</v>
      </c>
      <c r="R612" s="115">
        <v>2.3E-2</v>
      </c>
      <c r="S612" s="115">
        <v>2.4E-2</v>
      </c>
      <c r="T612" s="115">
        <v>2.1999999999999999E-2</v>
      </c>
      <c r="U612" s="115">
        <v>2.1999999999999999E-2</v>
      </c>
      <c r="V612" s="115">
        <v>2.1000000000000001E-2</v>
      </c>
      <c r="W612" s="115">
        <v>2.1000000000000001E-2</v>
      </c>
      <c r="X612" s="115">
        <v>2.1000000000000001E-2</v>
      </c>
      <c r="Y612" s="115">
        <v>2.1000000000000001E-2</v>
      </c>
      <c r="Z612" s="115">
        <v>2.1000000000000001E-2</v>
      </c>
      <c r="AA612" s="115">
        <v>0.02</v>
      </c>
      <c r="AB612" s="115">
        <v>0.02</v>
      </c>
      <c r="AC612" s="115">
        <v>0.02</v>
      </c>
      <c r="AD612" s="43"/>
      <c r="AE612" s="43"/>
      <c r="AF612" s="43"/>
      <c r="AG612" s="43"/>
      <c r="AH612" s="43"/>
      <c r="AI612" s="43"/>
    </row>
    <row r="613" spans="1:35" x14ac:dyDescent="0.25">
      <c r="A613" s="115" t="s">
        <v>963</v>
      </c>
      <c r="B613" s="115"/>
      <c r="C613" s="115">
        <v>6.9000000000000006E-2</v>
      </c>
      <c r="D613" s="115">
        <v>7.4999999999999997E-2</v>
      </c>
      <c r="E613" s="115">
        <v>8.2000000000000003E-2</v>
      </c>
      <c r="F613" s="115">
        <v>9.2999999999999999E-2</v>
      </c>
      <c r="G613" s="115">
        <v>0.10100000000000001</v>
      </c>
      <c r="H613" s="115">
        <v>0.108</v>
      </c>
      <c r="I613" s="115">
        <v>0.11600000000000001</v>
      </c>
      <c r="J613" s="115">
        <v>0.125</v>
      </c>
      <c r="K613" s="115">
        <v>0.13400000000000001</v>
      </c>
      <c r="L613" s="115">
        <v>0.14399999999999999</v>
      </c>
      <c r="M613" s="115">
        <v>0.14899999999999999</v>
      </c>
      <c r="N613" s="115">
        <v>0.152</v>
      </c>
      <c r="O613" s="115">
        <v>0.154</v>
      </c>
      <c r="P613" s="115">
        <v>0.154</v>
      </c>
      <c r="Q613" s="115">
        <v>0.153</v>
      </c>
      <c r="R613" s="115">
        <v>0.153</v>
      </c>
      <c r="S613" s="115">
        <v>0.16400000000000001</v>
      </c>
      <c r="T613" s="115">
        <v>0.152</v>
      </c>
      <c r="U613" s="115">
        <v>0.15</v>
      </c>
      <c r="V613" s="115">
        <v>0.14299999999999999</v>
      </c>
      <c r="W613" s="115">
        <v>0.13600000000000001</v>
      </c>
      <c r="X613" s="115">
        <v>0.13</v>
      </c>
      <c r="Y613" s="115">
        <v>0.124</v>
      </c>
      <c r="Z613" s="115">
        <v>0.11899999999999999</v>
      </c>
      <c r="AA613" s="115">
        <v>0.113</v>
      </c>
      <c r="AB613" s="115">
        <v>0.109</v>
      </c>
      <c r="AC613" s="115">
        <v>0.10299999999999999</v>
      </c>
      <c r="AD613" s="43"/>
      <c r="AE613" s="43"/>
      <c r="AF613" s="43"/>
      <c r="AG613" s="43"/>
      <c r="AH613" s="43"/>
      <c r="AI613" s="43"/>
    </row>
    <row r="614" spans="1:35" x14ac:dyDescent="0.25">
      <c r="A614" s="115" t="s">
        <v>964</v>
      </c>
      <c r="B614" s="115"/>
      <c r="C614" s="115">
        <v>4.4999999999999998E-2</v>
      </c>
      <c r="D614" s="115">
        <v>4.8000000000000001E-2</v>
      </c>
      <c r="E614" s="115">
        <v>5.1999999999999998E-2</v>
      </c>
      <c r="F614" s="115">
        <v>5.8000000000000003E-2</v>
      </c>
      <c r="G614" s="115">
        <v>6.3E-2</v>
      </c>
      <c r="H614" s="115">
        <v>6.7000000000000004E-2</v>
      </c>
      <c r="I614" s="115">
        <v>7.1999999999999995E-2</v>
      </c>
      <c r="J614" s="115">
        <v>7.6999999999999999E-2</v>
      </c>
      <c r="K614" s="115">
        <v>8.2000000000000003E-2</v>
      </c>
      <c r="L614" s="115">
        <v>8.6999999999999994E-2</v>
      </c>
      <c r="M614" s="115">
        <v>0.09</v>
      </c>
      <c r="N614" s="115">
        <v>9.1999999999999998E-2</v>
      </c>
      <c r="O614" s="115">
        <v>9.4E-2</v>
      </c>
      <c r="P614" s="115">
        <v>9.4E-2</v>
      </c>
      <c r="Q614" s="115">
        <v>9.4E-2</v>
      </c>
      <c r="R614" s="115">
        <v>9.4E-2</v>
      </c>
      <c r="S614" s="115">
        <v>0.10100000000000001</v>
      </c>
      <c r="T614" s="115">
        <v>9.4E-2</v>
      </c>
      <c r="U614" s="115">
        <v>9.1999999999999998E-2</v>
      </c>
      <c r="V614" s="115">
        <v>8.8999999999999996E-2</v>
      </c>
      <c r="W614" s="115">
        <v>8.5000000000000006E-2</v>
      </c>
      <c r="X614" s="115">
        <v>8.1000000000000003E-2</v>
      </c>
      <c r="Y614" s="115">
        <v>7.6999999999999999E-2</v>
      </c>
      <c r="Z614" s="115">
        <v>7.3999999999999996E-2</v>
      </c>
      <c r="AA614" s="115">
        <v>7.0999999999999994E-2</v>
      </c>
      <c r="AB614" s="115">
        <v>6.8000000000000005E-2</v>
      </c>
      <c r="AC614" s="115">
        <v>6.4000000000000001E-2</v>
      </c>
      <c r="AD614" s="43"/>
      <c r="AE614" s="43"/>
      <c r="AF614" s="43"/>
      <c r="AG614" s="43"/>
      <c r="AH614" s="43"/>
      <c r="AI614" s="43"/>
    </row>
    <row r="615" spans="1:35" x14ac:dyDescent="0.25">
      <c r="A615" s="115" t="s">
        <v>965</v>
      </c>
      <c r="B615" s="115"/>
      <c r="C615" s="115">
        <v>3.5000000000000003E-2</v>
      </c>
      <c r="D615" s="115">
        <v>3.7999999999999999E-2</v>
      </c>
      <c r="E615" s="115">
        <v>4.1000000000000002E-2</v>
      </c>
      <c r="F615" s="115">
        <v>4.5999999999999999E-2</v>
      </c>
      <c r="G615" s="115">
        <v>4.9000000000000002E-2</v>
      </c>
      <c r="H615" s="115">
        <v>5.1999999999999998E-2</v>
      </c>
      <c r="I615" s="115">
        <v>5.6000000000000001E-2</v>
      </c>
      <c r="J615" s="115">
        <v>5.8999999999999997E-2</v>
      </c>
      <c r="K615" s="115">
        <v>6.3E-2</v>
      </c>
      <c r="L615" s="115">
        <v>6.7000000000000004E-2</v>
      </c>
      <c r="M615" s="115">
        <v>6.9000000000000006E-2</v>
      </c>
      <c r="N615" s="115">
        <v>7.0000000000000007E-2</v>
      </c>
      <c r="O615" s="115">
        <v>7.0999999999999994E-2</v>
      </c>
      <c r="P615" s="115">
        <v>7.0000000000000007E-2</v>
      </c>
      <c r="Q615" s="115">
        <v>7.0000000000000007E-2</v>
      </c>
      <c r="R615" s="115">
        <v>7.0000000000000007E-2</v>
      </c>
      <c r="S615" s="115">
        <v>7.4999999999999997E-2</v>
      </c>
      <c r="T615" s="115">
        <v>6.9000000000000006E-2</v>
      </c>
      <c r="U615" s="115">
        <v>6.7000000000000004E-2</v>
      </c>
      <c r="V615" s="115">
        <v>6.4000000000000001E-2</v>
      </c>
      <c r="W615" s="115">
        <v>6.0999999999999999E-2</v>
      </c>
      <c r="X615" s="115">
        <v>5.8999999999999997E-2</v>
      </c>
      <c r="Y615" s="115">
        <v>5.6000000000000001E-2</v>
      </c>
      <c r="Z615" s="115">
        <v>5.3999999999999999E-2</v>
      </c>
      <c r="AA615" s="115">
        <v>5.1999999999999998E-2</v>
      </c>
      <c r="AB615" s="115">
        <v>0.05</v>
      </c>
      <c r="AC615" s="115">
        <v>4.8000000000000001E-2</v>
      </c>
      <c r="AD615" s="43"/>
      <c r="AE615" s="43"/>
      <c r="AF615" s="43"/>
      <c r="AG615" s="43"/>
      <c r="AH615" s="43"/>
      <c r="AI615" s="43"/>
    </row>
    <row r="616" spans="1:35" x14ac:dyDescent="0.25">
      <c r="A616" s="115" t="s">
        <v>966</v>
      </c>
      <c r="B616" s="115"/>
      <c r="C616" s="115">
        <v>2.7E-2</v>
      </c>
      <c r="D616" s="115">
        <v>2.8000000000000001E-2</v>
      </c>
      <c r="E616" s="115">
        <v>3.1E-2</v>
      </c>
      <c r="F616" s="115">
        <v>3.4000000000000002E-2</v>
      </c>
      <c r="G616" s="115">
        <v>3.5999999999999997E-2</v>
      </c>
      <c r="H616" s="115">
        <v>3.9E-2</v>
      </c>
      <c r="I616" s="115">
        <v>4.1000000000000002E-2</v>
      </c>
      <c r="J616" s="115">
        <v>4.2999999999999997E-2</v>
      </c>
      <c r="K616" s="115">
        <v>4.5999999999999999E-2</v>
      </c>
      <c r="L616" s="115">
        <v>4.9000000000000002E-2</v>
      </c>
      <c r="M616" s="115">
        <v>0.05</v>
      </c>
      <c r="N616" s="115">
        <v>5.0999999999999997E-2</v>
      </c>
      <c r="O616" s="115">
        <v>5.0999999999999997E-2</v>
      </c>
      <c r="P616" s="115">
        <v>5.0999999999999997E-2</v>
      </c>
      <c r="Q616" s="115">
        <v>5.0999999999999997E-2</v>
      </c>
      <c r="R616" s="115">
        <v>5.0999999999999997E-2</v>
      </c>
      <c r="S616" s="115">
        <v>5.5E-2</v>
      </c>
      <c r="T616" s="115">
        <v>5.0999999999999997E-2</v>
      </c>
      <c r="U616" s="115">
        <v>0.05</v>
      </c>
      <c r="V616" s="115">
        <v>4.8000000000000001E-2</v>
      </c>
      <c r="W616" s="115">
        <v>4.5999999999999999E-2</v>
      </c>
      <c r="X616" s="115">
        <v>4.3999999999999997E-2</v>
      </c>
      <c r="Y616" s="115">
        <v>4.2000000000000003E-2</v>
      </c>
      <c r="Z616" s="115">
        <v>0.04</v>
      </c>
      <c r="AA616" s="115">
        <v>3.9E-2</v>
      </c>
      <c r="AB616" s="115">
        <v>3.6999999999999998E-2</v>
      </c>
      <c r="AC616" s="115">
        <v>3.5000000000000003E-2</v>
      </c>
      <c r="AD616" s="43"/>
      <c r="AE616" s="43"/>
      <c r="AF616" s="43"/>
      <c r="AG616" s="43"/>
      <c r="AH616" s="43"/>
      <c r="AI616" s="43"/>
    </row>
    <row r="617" spans="1:35" x14ac:dyDescent="0.25">
      <c r="A617" s="115" t="s">
        <v>967</v>
      </c>
      <c r="B617" s="115"/>
      <c r="C617" s="115">
        <v>1.7000000000000001E-2</v>
      </c>
      <c r="D617" s="115">
        <v>1.7000000000000001E-2</v>
      </c>
      <c r="E617" s="115">
        <v>1.7999999999999999E-2</v>
      </c>
      <c r="F617" s="115">
        <v>0.02</v>
      </c>
      <c r="G617" s="115">
        <v>2.1000000000000001E-2</v>
      </c>
      <c r="H617" s="115">
        <v>2.1999999999999999E-2</v>
      </c>
      <c r="I617" s="115">
        <v>2.3E-2</v>
      </c>
      <c r="J617" s="115">
        <v>2.5000000000000001E-2</v>
      </c>
      <c r="K617" s="115">
        <v>2.5999999999999999E-2</v>
      </c>
      <c r="L617" s="115">
        <v>2.8000000000000001E-2</v>
      </c>
      <c r="M617" s="115">
        <v>2.8000000000000001E-2</v>
      </c>
      <c r="N617" s="115">
        <v>2.9000000000000001E-2</v>
      </c>
      <c r="O617" s="115">
        <v>2.9000000000000001E-2</v>
      </c>
      <c r="P617" s="115">
        <v>2.9000000000000001E-2</v>
      </c>
      <c r="Q617" s="115">
        <v>2.9000000000000001E-2</v>
      </c>
      <c r="R617" s="115">
        <v>2.9000000000000001E-2</v>
      </c>
      <c r="S617" s="115">
        <v>3.1E-2</v>
      </c>
      <c r="T617" s="115">
        <v>2.9000000000000001E-2</v>
      </c>
      <c r="U617" s="115">
        <v>2.8000000000000001E-2</v>
      </c>
      <c r="V617" s="115">
        <v>2.7E-2</v>
      </c>
      <c r="W617" s="115">
        <v>2.5999999999999999E-2</v>
      </c>
      <c r="X617" s="115">
        <v>2.5000000000000001E-2</v>
      </c>
      <c r="Y617" s="115">
        <v>2.4E-2</v>
      </c>
      <c r="Z617" s="115">
        <v>2.3E-2</v>
      </c>
      <c r="AA617" s="115">
        <v>2.1999999999999999E-2</v>
      </c>
      <c r="AB617" s="115">
        <v>2.1000000000000001E-2</v>
      </c>
      <c r="AC617" s="115">
        <v>0.02</v>
      </c>
      <c r="AD617" s="43"/>
      <c r="AE617" s="43"/>
      <c r="AF617" s="43"/>
      <c r="AG617" s="43"/>
      <c r="AH617" s="43"/>
      <c r="AI617" s="43"/>
    </row>
    <row r="618" spans="1:35" x14ac:dyDescent="0.25">
      <c r="A618" s="115" t="s">
        <v>908</v>
      </c>
      <c r="B618" s="115"/>
      <c r="C618" s="115">
        <v>0.113</v>
      </c>
      <c r="D618" s="115">
        <v>0.115</v>
      </c>
      <c r="E618" s="115">
        <v>0.11700000000000001</v>
      </c>
      <c r="F618" s="115">
        <v>0.123</v>
      </c>
      <c r="G618" s="115">
        <v>0.124</v>
      </c>
      <c r="H618" s="115">
        <v>0.124</v>
      </c>
      <c r="I618" s="115">
        <v>0.122</v>
      </c>
      <c r="J618" s="115">
        <v>0.123</v>
      </c>
      <c r="K618" s="115">
        <v>0.122</v>
      </c>
      <c r="L618" s="115">
        <v>0.122</v>
      </c>
      <c r="M618" s="115">
        <v>0.11899999999999999</v>
      </c>
      <c r="N618" s="115">
        <v>0.115</v>
      </c>
      <c r="O618" s="115">
        <v>0.112</v>
      </c>
      <c r="P618" s="115">
        <v>0.11</v>
      </c>
      <c r="Q618" s="115">
        <v>0.108</v>
      </c>
      <c r="R618" s="115">
        <v>0.107</v>
      </c>
      <c r="S618" s="115">
        <v>0.129</v>
      </c>
      <c r="T618" s="115">
        <v>0.105</v>
      </c>
      <c r="U618" s="115">
        <v>0.104</v>
      </c>
      <c r="V618" s="115">
        <v>0.10299999999999999</v>
      </c>
      <c r="W618" s="115">
        <v>0.10199999999999999</v>
      </c>
      <c r="X618" s="115">
        <v>0.10100000000000001</v>
      </c>
      <c r="Y618" s="115">
        <v>9.9000000000000005E-2</v>
      </c>
      <c r="Z618" s="115">
        <v>9.7000000000000003E-2</v>
      </c>
      <c r="AA618" s="115">
        <v>9.5000000000000001E-2</v>
      </c>
      <c r="AB618" s="115">
        <v>9.4E-2</v>
      </c>
      <c r="AC618" s="115">
        <v>9.0999999999999998E-2</v>
      </c>
      <c r="AD618" s="43"/>
      <c r="AE618" s="43"/>
      <c r="AF618" s="43"/>
      <c r="AG618" s="43"/>
      <c r="AH618" s="43"/>
      <c r="AI618" s="43"/>
    </row>
    <row r="619" spans="1:35" x14ac:dyDescent="0.25">
      <c r="A619" s="115" t="s">
        <v>909</v>
      </c>
      <c r="B619" s="115"/>
      <c r="C619" s="115">
        <v>6.2E-2</v>
      </c>
      <c r="D619" s="115">
        <v>6.3E-2</v>
      </c>
      <c r="E619" s="115">
        <v>6.5000000000000002E-2</v>
      </c>
      <c r="F619" s="115">
        <v>6.8000000000000005E-2</v>
      </c>
      <c r="G619" s="115">
        <v>6.9000000000000006E-2</v>
      </c>
      <c r="H619" s="115">
        <v>6.9000000000000006E-2</v>
      </c>
      <c r="I619" s="115">
        <v>6.9000000000000006E-2</v>
      </c>
      <c r="J619" s="115">
        <v>6.9000000000000006E-2</v>
      </c>
      <c r="K619" s="115">
        <v>6.9000000000000006E-2</v>
      </c>
      <c r="L619" s="115">
        <v>6.9000000000000006E-2</v>
      </c>
      <c r="M619" s="115">
        <v>6.7000000000000004E-2</v>
      </c>
      <c r="N619" s="115">
        <v>6.5000000000000002E-2</v>
      </c>
      <c r="O619" s="115">
        <v>6.3E-2</v>
      </c>
      <c r="P619" s="115">
        <v>6.0999999999999999E-2</v>
      </c>
      <c r="Q619" s="115">
        <v>0.06</v>
      </c>
      <c r="R619" s="115">
        <v>5.8999999999999997E-2</v>
      </c>
      <c r="S619" s="115">
        <v>7.0999999999999994E-2</v>
      </c>
      <c r="T619" s="115">
        <v>5.8000000000000003E-2</v>
      </c>
      <c r="U619" s="115">
        <v>5.8000000000000003E-2</v>
      </c>
      <c r="V619" s="115">
        <v>5.7000000000000002E-2</v>
      </c>
      <c r="W619" s="115">
        <v>5.7000000000000002E-2</v>
      </c>
      <c r="X619" s="115">
        <v>5.6000000000000001E-2</v>
      </c>
      <c r="Y619" s="115">
        <v>5.5E-2</v>
      </c>
      <c r="Z619" s="115">
        <v>5.3999999999999999E-2</v>
      </c>
      <c r="AA619" s="115">
        <v>5.2999999999999999E-2</v>
      </c>
      <c r="AB619" s="115">
        <v>5.1999999999999998E-2</v>
      </c>
      <c r="AC619" s="115">
        <v>5.0999999999999997E-2</v>
      </c>
      <c r="AD619" s="43"/>
      <c r="AE619" s="43"/>
      <c r="AF619" s="43"/>
      <c r="AG619" s="43"/>
      <c r="AH619" s="43"/>
      <c r="AI619" s="43"/>
    </row>
    <row r="620" spans="1:35" x14ac:dyDescent="0.25">
      <c r="A620" s="115" t="s">
        <v>910</v>
      </c>
      <c r="B620" s="115"/>
      <c r="C620" s="115">
        <v>4.3999999999999997E-2</v>
      </c>
      <c r="D620" s="115">
        <v>4.4999999999999998E-2</v>
      </c>
      <c r="E620" s="115">
        <v>4.5999999999999999E-2</v>
      </c>
      <c r="F620" s="115">
        <v>4.8000000000000001E-2</v>
      </c>
      <c r="G620" s="115">
        <v>4.8000000000000001E-2</v>
      </c>
      <c r="H620" s="115">
        <v>4.8000000000000001E-2</v>
      </c>
      <c r="I620" s="115">
        <v>4.8000000000000001E-2</v>
      </c>
      <c r="J620" s="115">
        <v>4.9000000000000002E-2</v>
      </c>
      <c r="K620" s="115">
        <v>4.8000000000000001E-2</v>
      </c>
      <c r="L620" s="115">
        <v>4.8000000000000001E-2</v>
      </c>
      <c r="M620" s="115">
        <v>4.7E-2</v>
      </c>
      <c r="N620" s="115">
        <v>4.4999999999999998E-2</v>
      </c>
      <c r="O620" s="115">
        <v>4.2999999999999997E-2</v>
      </c>
      <c r="P620" s="115">
        <v>4.2000000000000003E-2</v>
      </c>
      <c r="Q620" s="115">
        <v>4.1000000000000002E-2</v>
      </c>
      <c r="R620" s="115">
        <v>0.04</v>
      </c>
      <c r="S620" s="115">
        <v>4.7E-2</v>
      </c>
      <c r="T620" s="115">
        <v>3.9E-2</v>
      </c>
      <c r="U620" s="115">
        <v>3.9E-2</v>
      </c>
      <c r="V620" s="115">
        <v>3.7999999999999999E-2</v>
      </c>
      <c r="W620" s="115">
        <v>3.7999999999999999E-2</v>
      </c>
      <c r="X620" s="115">
        <v>3.6999999999999998E-2</v>
      </c>
      <c r="Y620" s="115">
        <v>3.6999999999999998E-2</v>
      </c>
      <c r="Z620" s="115">
        <v>3.5999999999999997E-2</v>
      </c>
      <c r="AA620" s="115">
        <v>3.5000000000000003E-2</v>
      </c>
      <c r="AB620" s="115">
        <v>3.5000000000000003E-2</v>
      </c>
      <c r="AC620" s="115">
        <v>3.4000000000000002E-2</v>
      </c>
      <c r="AD620" s="43"/>
      <c r="AE620" s="43"/>
      <c r="AF620" s="43"/>
      <c r="AG620" s="43"/>
      <c r="AH620" s="43"/>
      <c r="AI620" s="43"/>
    </row>
    <row r="621" spans="1:35" x14ac:dyDescent="0.25">
      <c r="A621" s="115" t="s">
        <v>911</v>
      </c>
      <c r="B621" s="115"/>
      <c r="C621" s="115">
        <v>3.1E-2</v>
      </c>
      <c r="D621" s="115">
        <v>3.1E-2</v>
      </c>
      <c r="E621" s="115">
        <v>3.2000000000000001E-2</v>
      </c>
      <c r="F621" s="115">
        <v>3.4000000000000002E-2</v>
      </c>
      <c r="G621" s="115">
        <v>3.4000000000000002E-2</v>
      </c>
      <c r="H621" s="115">
        <v>3.4000000000000002E-2</v>
      </c>
      <c r="I621" s="115">
        <v>3.4000000000000002E-2</v>
      </c>
      <c r="J621" s="115">
        <v>3.4000000000000002E-2</v>
      </c>
      <c r="K621" s="115">
        <v>3.4000000000000002E-2</v>
      </c>
      <c r="L621" s="115">
        <v>3.4000000000000002E-2</v>
      </c>
      <c r="M621" s="115">
        <v>3.3000000000000002E-2</v>
      </c>
      <c r="N621" s="115">
        <v>3.2000000000000001E-2</v>
      </c>
      <c r="O621" s="115">
        <v>3.1E-2</v>
      </c>
      <c r="P621" s="115">
        <v>0.03</v>
      </c>
      <c r="Q621" s="115">
        <v>2.9000000000000001E-2</v>
      </c>
      <c r="R621" s="115">
        <v>2.9000000000000001E-2</v>
      </c>
      <c r="S621" s="115">
        <v>3.4000000000000002E-2</v>
      </c>
      <c r="T621" s="115">
        <v>2.8000000000000001E-2</v>
      </c>
      <c r="U621" s="115">
        <v>2.8000000000000001E-2</v>
      </c>
      <c r="V621" s="115">
        <v>2.7E-2</v>
      </c>
      <c r="W621" s="115">
        <v>2.7E-2</v>
      </c>
      <c r="X621" s="115">
        <v>2.7E-2</v>
      </c>
      <c r="Y621" s="115">
        <v>2.5999999999999999E-2</v>
      </c>
      <c r="Z621" s="115">
        <v>2.5999999999999999E-2</v>
      </c>
      <c r="AA621" s="115">
        <v>2.5000000000000001E-2</v>
      </c>
      <c r="AB621" s="115">
        <v>2.5000000000000001E-2</v>
      </c>
      <c r="AC621" s="115">
        <v>2.4E-2</v>
      </c>
      <c r="AD621" s="43"/>
      <c r="AE621" s="43"/>
      <c r="AF621" s="43"/>
      <c r="AG621" s="43"/>
      <c r="AH621" s="43"/>
      <c r="AI621" s="43"/>
    </row>
    <row r="622" spans="1:35" x14ac:dyDescent="0.25">
      <c r="A622" s="115" t="s">
        <v>912</v>
      </c>
      <c r="B622" s="115"/>
      <c r="C622" s="115">
        <v>1.7000000000000001E-2</v>
      </c>
      <c r="D622" s="115">
        <v>1.7999999999999999E-2</v>
      </c>
      <c r="E622" s="115">
        <v>1.7999999999999999E-2</v>
      </c>
      <c r="F622" s="115">
        <v>1.9E-2</v>
      </c>
      <c r="G622" s="115">
        <v>1.9E-2</v>
      </c>
      <c r="H622" s="115">
        <v>1.9E-2</v>
      </c>
      <c r="I622" s="115">
        <v>1.9E-2</v>
      </c>
      <c r="J622" s="115">
        <v>1.9E-2</v>
      </c>
      <c r="K622" s="115">
        <v>1.9E-2</v>
      </c>
      <c r="L622" s="115">
        <v>1.9E-2</v>
      </c>
      <c r="M622" s="115">
        <v>1.7999999999999999E-2</v>
      </c>
      <c r="N622" s="115">
        <v>1.7000000000000001E-2</v>
      </c>
      <c r="O622" s="115">
        <v>1.7000000000000001E-2</v>
      </c>
      <c r="P622" s="115">
        <v>1.6E-2</v>
      </c>
      <c r="Q622" s="115">
        <v>1.6E-2</v>
      </c>
      <c r="R622" s="115">
        <v>1.4999999999999999E-2</v>
      </c>
      <c r="S622" s="115">
        <v>1.7000000000000001E-2</v>
      </c>
      <c r="T622" s="115">
        <v>1.4999999999999999E-2</v>
      </c>
      <c r="U622" s="115">
        <v>1.4999999999999999E-2</v>
      </c>
      <c r="V622" s="115">
        <v>1.4E-2</v>
      </c>
      <c r="W622" s="115">
        <v>1.4E-2</v>
      </c>
      <c r="X622" s="115">
        <v>1.4E-2</v>
      </c>
      <c r="Y622" s="115">
        <v>1.4E-2</v>
      </c>
      <c r="Z622" s="115">
        <v>1.4E-2</v>
      </c>
      <c r="AA622" s="115">
        <v>1.2999999999999999E-2</v>
      </c>
      <c r="AB622" s="115">
        <v>1.2999999999999999E-2</v>
      </c>
      <c r="AC622" s="115">
        <v>1.2999999999999999E-2</v>
      </c>
      <c r="AD622" s="43"/>
      <c r="AE622" s="43"/>
      <c r="AF622" s="43"/>
      <c r="AG622" s="43"/>
      <c r="AH622" s="43"/>
      <c r="AI622" s="43"/>
    </row>
    <row r="623" spans="1:35" x14ac:dyDescent="0.25">
      <c r="A623" s="115" t="s">
        <v>913</v>
      </c>
      <c r="B623" s="115"/>
      <c r="C623" s="115">
        <v>7.8E-2</v>
      </c>
      <c r="D623" s="115">
        <v>0.08</v>
      </c>
      <c r="E623" s="115">
        <v>8.2000000000000003E-2</v>
      </c>
      <c r="F623" s="115">
        <v>8.5000000000000006E-2</v>
      </c>
      <c r="G623" s="115">
        <v>8.5999999999999993E-2</v>
      </c>
      <c r="H623" s="115">
        <v>8.5999999999999993E-2</v>
      </c>
      <c r="I623" s="115">
        <v>8.5999999999999993E-2</v>
      </c>
      <c r="J623" s="115">
        <v>8.6999999999999994E-2</v>
      </c>
      <c r="K623" s="115">
        <v>8.5999999999999993E-2</v>
      </c>
      <c r="L623" s="115">
        <v>8.5999999999999993E-2</v>
      </c>
      <c r="M623" s="115">
        <v>8.3000000000000004E-2</v>
      </c>
      <c r="N623" s="115">
        <v>7.9000000000000001E-2</v>
      </c>
      <c r="O623" s="115">
        <v>7.5999999999999998E-2</v>
      </c>
      <c r="P623" s="115">
        <v>7.3999999999999996E-2</v>
      </c>
      <c r="Q623" s="115">
        <v>7.1999999999999995E-2</v>
      </c>
      <c r="R623" s="115">
        <v>7.1999999999999995E-2</v>
      </c>
      <c r="S623" s="115">
        <v>0.08</v>
      </c>
      <c r="T623" s="115">
        <v>7.0000000000000007E-2</v>
      </c>
      <c r="U623" s="115">
        <v>7.0000000000000007E-2</v>
      </c>
      <c r="V623" s="115">
        <v>6.9000000000000006E-2</v>
      </c>
      <c r="W623" s="115">
        <v>6.8000000000000005E-2</v>
      </c>
      <c r="X623" s="115">
        <v>6.8000000000000005E-2</v>
      </c>
      <c r="Y623" s="115">
        <v>6.7000000000000004E-2</v>
      </c>
      <c r="Z623" s="115">
        <v>6.5000000000000002E-2</v>
      </c>
      <c r="AA623" s="115">
        <v>6.4000000000000001E-2</v>
      </c>
      <c r="AB623" s="115">
        <v>6.2E-2</v>
      </c>
      <c r="AC623" s="115">
        <v>0.06</v>
      </c>
      <c r="AD623" s="43"/>
      <c r="AE623" s="43"/>
      <c r="AF623" s="43"/>
      <c r="AG623" s="43"/>
      <c r="AH623" s="43"/>
      <c r="AI623" s="43"/>
    </row>
    <row r="624" spans="1:35" x14ac:dyDescent="0.25">
      <c r="A624" s="115" t="s">
        <v>914</v>
      </c>
      <c r="B624" s="115"/>
      <c r="C624" s="115">
        <v>4.3999999999999997E-2</v>
      </c>
      <c r="D624" s="115">
        <v>4.4999999999999998E-2</v>
      </c>
      <c r="E624" s="115">
        <v>4.5999999999999999E-2</v>
      </c>
      <c r="F624" s="115">
        <v>4.8000000000000001E-2</v>
      </c>
      <c r="G624" s="115">
        <v>4.9000000000000002E-2</v>
      </c>
      <c r="H624" s="115">
        <v>4.9000000000000002E-2</v>
      </c>
      <c r="I624" s="115">
        <v>4.9000000000000002E-2</v>
      </c>
      <c r="J624" s="115">
        <v>0.05</v>
      </c>
      <c r="K624" s="115">
        <v>4.9000000000000002E-2</v>
      </c>
      <c r="L624" s="115">
        <v>4.9000000000000002E-2</v>
      </c>
      <c r="M624" s="115">
        <v>4.7E-2</v>
      </c>
      <c r="N624" s="115">
        <v>4.4999999999999998E-2</v>
      </c>
      <c r="O624" s="115">
        <v>4.3999999999999997E-2</v>
      </c>
      <c r="P624" s="115">
        <v>4.2999999999999997E-2</v>
      </c>
      <c r="Q624" s="115">
        <v>4.2000000000000003E-2</v>
      </c>
      <c r="R624" s="115">
        <v>4.2000000000000003E-2</v>
      </c>
      <c r="S624" s="115">
        <v>4.7E-2</v>
      </c>
      <c r="T624" s="115">
        <v>4.1000000000000002E-2</v>
      </c>
      <c r="U624" s="115">
        <v>4.1000000000000002E-2</v>
      </c>
      <c r="V624" s="115">
        <v>4.1000000000000002E-2</v>
      </c>
      <c r="W624" s="115">
        <v>4.1000000000000002E-2</v>
      </c>
      <c r="X624" s="115">
        <v>0.04</v>
      </c>
      <c r="Y624" s="115">
        <v>0.04</v>
      </c>
      <c r="Z624" s="115">
        <v>3.9E-2</v>
      </c>
      <c r="AA624" s="115">
        <v>3.7999999999999999E-2</v>
      </c>
      <c r="AB624" s="115">
        <v>3.6999999999999998E-2</v>
      </c>
      <c r="AC624" s="115">
        <v>3.5999999999999997E-2</v>
      </c>
      <c r="AD624" s="43"/>
      <c r="AE624" s="43"/>
      <c r="AF624" s="43"/>
      <c r="AG624" s="43"/>
      <c r="AH624" s="43"/>
      <c r="AI624" s="43"/>
    </row>
    <row r="625" spans="1:35" x14ac:dyDescent="0.25">
      <c r="A625" s="115" t="s">
        <v>915</v>
      </c>
      <c r="B625" s="115"/>
      <c r="C625" s="115">
        <v>0.03</v>
      </c>
      <c r="D625" s="115">
        <v>3.1E-2</v>
      </c>
      <c r="E625" s="115">
        <v>3.1E-2</v>
      </c>
      <c r="F625" s="115">
        <v>3.3000000000000002E-2</v>
      </c>
      <c r="G625" s="115">
        <v>3.4000000000000002E-2</v>
      </c>
      <c r="H625" s="115">
        <v>3.4000000000000002E-2</v>
      </c>
      <c r="I625" s="115">
        <v>3.4000000000000002E-2</v>
      </c>
      <c r="J625" s="115">
        <v>3.4000000000000002E-2</v>
      </c>
      <c r="K625" s="115">
        <v>3.4000000000000002E-2</v>
      </c>
      <c r="L625" s="115">
        <v>3.4000000000000002E-2</v>
      </c>
      <c r="M625" s="115">
        <v>3.3000000000000002E-2</v>
      </c>
      <c r="N625" s="115">
        <v>3.1E-2</v>
      </c>
      <c r="O625" s="115">
        <v>0.03</v>
      </c>
      <c r="P625" s="115">
        <v>2.9000000000000001E-2</v>
      </c>
      <c r="Q625" s="115">
        <v>2.9000000000000001E-2</v>
      </c>
      <c r="R625" s="115">
        <v>2.9000000000000001E-2</v>
      </c>
      <c r="S625" s="115">
        <v>3.3000000000000002E-2</v>
      </c>
      <c r="T625" s="115">
        <v>2.9000000000000001E-2</v>
      </c>
      <c r="U625" s="115">
        <v>2.8000000000000001E-2</v>
      </c>
      <c r="V625" s="115">
        <v>2.8000000000000001E-2</v>
      </c>
      <c r="W625" s="115">
        <v>2.8000000000000001E-2</v>
      </c>
      <c r="X625" s="115">
        <v>2.8000000000000001E-2</v>
      </c>
      <c r="Y625" s="115">
        <v>2.8000000000000001E-2</v>
      </c>
      <c r="Z625" s="115">
        <v>2.7E-2</v>
      </c>
      <c r="AA625" s="115">
        <v>2.5999999999999999E-2</v>
      </c>
      <c r="AB625" s="115">
        <v>2.5000000000000001E-2</v>
      </c>
      <c r="AC625" s="115">
        <v>2.5000000000000001E-2</v>
      </c>
      <c r="AD625" s="43"/>
      <c r="AE625" s="43"/>
      <c r="AF625" s="43"/>
      <c r="AG625" s="43"/>
      <c r="AH625" s="43"/>
      <c r="AI625" s="43"/>
    </row>
    <row r="626" spans="1:35" x14ac:dyDescent="0.25">
      <c r="A626" s="115" t="s">
        <v>916</v>
      </c>
      <c r="B626" s="115"/>
      <c r="C626" s="115">
        <v>2.1999999999999999E-2</v>
      </c>
      <c r="D626" s="115">
        <v>2.1999999999999999E-2</v>
      </c>
      <c r="E626" s="115">
        <v>2.3E-2</v>
      </c>
      <c r="F626" s="115">
        <v>2.4E-2</v>
      </c>
      <c r="G626" s="115">
        <v>2.5000000000000001E-2</v>
      </c>
      <c r="H626" s="115">
        <v>2.5000000000000001E-2</v>
      </c>
      <c r="I626" s="115">
        <v>2.5000000000000001E-2</v>
      </c>
      <c r="J626" s="115">
        <v>2.5000000000000001E-2</v>
      </c>
      <c r="K626" s="115">
        <v>2.5000000000000001E-2</v>
      </c>
      <c r="L626" s="115">
        <v>2.5000000000000001E-2</v>
      </c>
      <c r="M626" s="115">
        <v>2.4E-2</v>
      </c>
      <c r="N626" s="115">
        <v>2.3E-2</v>
      </c>
      <c r="O626" s="115">
        <v>2.1999999999999999E-2</v>
      </c>
      <c r="P626" s="115">
        <v>2.1000000000000001E-2</v>
      </c>
      <c r="Q626" s="115">
        <v>2.1000000000000001E-2</v>
      </c>
      <c r="R626" s="115">
        <v>2.1000000000000001E-2</v>
      </c>
      <c r="S626" s="115">
        <v>2.4E-2</v>
      </c>
      <c r="T626" s="115">
        <v>2.1000000000000001E-2</v>
      </c>
      <c r="U626" s="115">
        <v>2.1000000000000001E-2</v>
      </c>
      <c r="V626" s="115">
        <v>0.02</v>
      </c>
      <c r="W626" s="115">
        <v>0.02</v>
      </c>
      <c r="X626" s="115">
        <v>0.02</v>
      </c>
      <c r="Y626" s="115">
        <v>0.02</v>
      </c>
      <c r="Z626" s="115">
        <v>1.9E-2</v>
      </c>
      <c r="AA626" s="115">
        <v>1.9E-2</v>
      </c>
      <c r="AB626" s="115">
        <v>1.7999999999999999E-2</v>
      </c>
      <c r="AC626" s="115">
        <v>1.7999999999999999E-2</v>
      </c>
      <c r="AD626" s="43"/>
      <c r="AE626" s="43"/>
      <c r="AF626" s="43"/>
      <c r="AG626" s="43"/>
      <c r="AH626" s="43"/>
      <c r="AI626" s="43"/>
    </row>
    <row r="627" spans="1:35" x14ac:dyDescent="0.25">
      <c r="A627" s="115" t="s">
        <v>917</v>
      </c>
      <c r="B627" s="115"/>
      <c r="C627" s="115">
        <v>1.2E-2</v>
      </c>
      <c r="D627" s="115">
        <v>1.2999999999999999E-2</v>
      </c>
      <c r="E627" s="115">
        <v>1.2999999999999999E-2</v>
      </c>
      <c r="F627" s="115">
        <v>1.4E-2</v>
      </c>
      <c r="G627" s="115">
        <v>1.4E-2</v>
      </c>
      <c r="H627" s="115">
        <v>1.4E-2</v>
      </c>
      <c r="I627" s="115">
        <v>1.4E-2</v>
      </c>
      <c r="J627" s="115">
        <v>1.4E-2</v>
      </c>
      <c r="K627" s="115">
        <v>1.4E-2</v>
      </c>
      <c r="L627" s="115">
        <v>1.4E-2</v>
      </c>
      <c r="M627" s="115">
        <v>1.2999999999999999E-2</v>
      </c>
      <c r="N627" s="115">
        <v>1.2999999999999999E-2</v>
      </c>
      <c r="O627" s="115">
        <v>1.2E-2</v>
      </c>
      <c r="P627" s="115">
        <v>1.2E-2</v>
      </c>
      <c r="Q627" s="115">
        <v>1.2E-2</v>
      </c>
      <c r="R627" s="115">
        <v>1.2E-2</v>
      </c>
      <c r="S627" s="115">
        <v>1.2999999999999999E-2</v>
      </c>
      <c r="T627" s="115">
        <v>1.0999999999999999E-2</v>
      </c>
      <c r="U627" s="115">
        <v>1.0999999999999999E-2</v>
      </c>
      <c r="V627" s="115">
        <v>1.0999999999999999E-2</v>
      </c>
      <c r="W627" s="115">
        <v>1.0999999999999999E-2</v>
      </c>
      <c r="X627" s="115">
        <v>1.0999999999999999E-2</v>
      </c>
      <c r="Y627" s="115">
        <v>1.0999999999999999E-2</v>
      </c>
      <c r="Z627" s="115">
        <v>1.0999999999999999E-2</v>
      </c>
      <c r="AA627" s="115">
        <v>0.01</v>
      </c>
      <c r="AB627" s="115">
        <v>0.01</v>
      </c>
      <c r="AC627" s="115">
        <v>0.01</v>
      </c>
      <c r="AD627" s="43"/>
      <c r="AE627" s="43"/>
      <c r="AF627" s="43"/>
      <c r="AG627" s="43"/>
      <c r="AH627" s="43"/>
      <c r="AI627" s="43"/>
    </row>
    <row r="628" spans="1:35" x14ac:dyDescent="0.25">
      <c r="A628" s="115" t="s">
        <v>918</v>
      </c>
      <c r="B628" s="115"/>
      <c r="C628" s="115">
        <v>6.0999999999999999E-2</v>
      </c>
      <c r="D628" s="115">
        <v>6.3E-2</v>
      </c>
      <c r="E628" s="115">
        <v>6.6000000000000003E-2</v>
      </c>
      <c r="F628" s="115">
        <v>7.1999999999999995E-2</v>
      </c>
      <c r="G628" s="115">
        <v>7.4999999999999997E-2</v>
      </c>
      <c r="H628" s="115">
        <v>7.6999999999999999E-2</v>
      </c>
      <c r="I628" s="115">
        <v>7.8E-2</v>
      </c>
      <c r="J628" s="115">
        <v>0.08</v>
      </c>
      <c r="K628" s="115">
        <v>8.2000000000000003E-2</v>
      </c>
      <c r="L628" s="115">
        <v>8.3000000000000004E-2</v>
      </c>
      <c r="M628" s="115">
        <v>8.2000000000000003E-2</v>
      </c>
      <c r="N628" s="115">
        <v>8.1000000000000003E-2</v>
      </c>
      <c r="O628" s="115">
        <v>0.08</v>
      </c>
      <c r="P628" s="115">
        <v>7.8E-2</v>
      </c>
      <c r="Q628" s="115">
        <v>7.6999999999999999E-2</v>
      </c>
      <c r="R628" s="115">
        <v>7.5999999999999998E-2</v>
      </c>
      <c r="S628" s="115">
        <v>8.7999999999999995E-2</v>
      </c>
      <c r="T628" s="115">
        <v>7.6999999999999999E-2</v>
      </c>
      <c r="U628" s="115">
        <v>7.6999999999999999E-2</v>
      </c>
      <c r="V628" s="115">
        <v>7.5999999999999998E-2</v>
      </c>
      <c r="W628" s="115">
        <v>7.4999999999999997E-2</v>
      </c>
      <c r="X628" s="115">
        <v>7.3999999999999996E-2</v>
      </c>
      <c r="Y628" s="115">
        <v>7.2999999999999995E-2</v>
      </c>
      <c r="Z628" s="115">
        <v>7.1999999999999995E-2</v>
      </c>
      <c r="AA628" s="115">
        <v>7.0999999999999994E-2</v>
      </c>
      <c r="AB628" s="115">
        <v>7.0000000000000007E-2</v>
      </c>
      <c r="AC628" s="115">
        <v>6.8000000000000005E-2</v>
      </c>
      <c r="AD628" s="43"/>
      <c r="AE628" s="43"/>
      <c r="AF628" s="43"/>
      <c r="AG628" s="43"/>
      <c r="AH628" s="43"/>
      <c r="AI628" s="43"/>
    </row>
    <row r="629" spans="1:35" x14ac:dyDescent="0.25">
      <c r="A629" s="115" t="s">
        <v>919</v>
      </c>
      <c r="B629" s="115"/>
      <c r="C629" s="115">
        <v>3.5999999999999997E-2</v>
      </c>
      <c r="D629" s="115">
        <v>3.6999999999999998E-2</v>
      </c>
      <c r="E629" s="115">
        <v>3.9E-2</v>
      </c>
      <c r="F629" s="115">
        <v>4.2000000000000003E-2</v>
      </c>
      <c r="G629" s="115">
        <v>4.3999999999999997E-2</v>
      </c>
      <c r="H629" s="115">
        <v>4.4999999999999998E-2</v>
      </c>
      <c r="I629" s="115">
        <v>4.4999999999999998E-2</v>
      </c>
      <c r="J629" s="115">
        <v>4.7E-2</v>
      </c>
      <c r="K629" s="115">
        <v>4.7E-2</v>
      </c>
      <c r="L629" s="115">
        <v>4.8000000000000001E-2</v>
      </c>
      <c r="M629" s="115">
        <v>4.8000000000000001E-2</v>
      </c>
      <c r="N629" s="115">
        <v>4.7E-2</v>
      </c>
      <c r="O629" s="115">
        <v>4.5999999999999999E-2</v>
      </c>
      <c r="P629" s="115">
        <v>4.4999999999999998E-2</v>
      </c>
      <c r="Q629" s="115">
        <v>4.4999999999999998E-2</v>
      </c>
      <c r="R629" s="115">
        <v>4.3999999999999997E-2</v>
      </c>
      <c r="S629" s="115">
        <v>5.0999999999999997E-2</v>
      </c>
      <c r="T629" s="115">
        <v>4.4999999999999998E-2</v>
      </c>
      <c r="U629" s="115">
        <v>4.4999999999999998E-2</v>
      </c>
      <c r="V629" s="115">
        <v>4.4999999999999998E-2</v>
      </c>
      <c r="W629" s="115">
        <v>4.3999999999999997E-2</v>
      </c>
      <c r="X629" s="115">
        <v>4.3999999999999997E-2</v>
      </c>
      <c r="Y629" s="115">
        <v>4.2999999999999997E-2</v>
      </c>
      <c r="Z629" s="115">
        <v>4.2999999999999997E-2</v>
      </c>
      <c r="AA629" s="115">
        <v>4.2000000000000003E-2</v>
      </c>
      <c r="AB629" s="115">
        <v>4.2000000000000003E-2</v>
      </c>
      <c r="AC629" s="115">
        <v>4.1000000000000002E-2</v>
      </c>
      <c r="AD629" s="43"/>
      <c r="AE629" s="43"/>
      <c r="AF629" s="43"/>
      <c r="AG629" s="43"/>
      <c r="AH629" s="43"/>
      <c r="AI629" s="43"/>
    </row>
    <row r="630" spans="1:35" x14ac:dyDescent="0.25">
      <c r="A630" s="115" t="s">
        <v>920</v>
      </c>
      <c r="B630" s="115"/>
      <c r="C630" s="115">
        <v>2.5000000000000001E-2</v>
      </c>
      <c r="D630" s="115">
        <v>2.5999999999999999E-2</v>
      </c>
      <c r="E630" s="115">
        <v>2.8000000000000001E-2</v>
      </c>
      <c r="F630" s="115">
        <v>0.03</v>
      </c>
      <c r="G630" s="115">
        <v>3.1E-2</v>
      </c>
      <c r="H630" s="115">
        <v>3.2000000000000001E-2</v>
      </c>
      <c r="I630" s="115">
        <v>3.2000000000000001E-2</v>
      </c>
      <c r="J630" s="115">
        <v>3.3000000000000002E-2</v>
      </c>
      <c r="K630" s="115">
        <v>3.4000000000000002E-2</v>
      </c>
      <c r="L630" s="115">
        <v>3.5000000000000003E-2</v>
      </c>
      <c r="M630" s="115">
        <v>3.4000000000000002E-2</v>
      </c>
      <c r="N630" s="115">
        <v>3.4000000000000002E-2</v>
      </c>
      <c r="O630" s="115">
        <v>3.3000000000000002E-2</v>
      </c>
      <c r="P630" s="115">
        <v>3.2000000000000001E-2</v>
      </c>
      <c r="Q630" s="115">
        <v>3.2000000000000001E-2</v>
      </c>
      <c r="R630" s="115">
        <v>3.1E-2</v>
      </c>
      <c r="S630" s="115">
        <v>3.5999999999999997E-2</v>
      </c>
      <c r="T630" s="115">
        <v>3.2000000000000001E-2</v>
      </c>
      <c r="U630" s="115">
        <v>3.2000000000000001E-2</v>
      </c>
      <c r="V630" s="115">
        <v>3.2000000000000001E-2</v>
      </c>
      <c r="W630" s="115">
        <v>3.1E-2</v>
      </c>
      <c r="X630" s="115">
        <v>3.1E-2</v>
      </c>
      <c r="Y630" s="115">
        <v>0.03</v>
      </c>
      <c r="Z630" s="115">
        <v>0.03</v>
      </c>
      <c r="AA630" s="115">
        <v>0.03</v>
      </c>
      <c r="AB630" s="115">
        <v>2.9000000000000001E-2</v>
      </c>
      <c r="AC630" s="115">
        <v>2.8000000000000001E-2</v>
      </c>
      <c r="AD630" s="43"/>
      <c r="AE630" s="43"/>
      <c r="AF630" s="43"/>
      <c r="AG630" s="43"/>
      <c r="AH630" s="43"/>
      <c r="AI630" s="43"/>
    </row>
    <row r="631" spans="1:35" x14ac:dyDescent="0.25">
      <c r="A631" s="115" t="s">
        <v>921</v>
      </c>
      <c r="B631" s="115"/>
      <c r="C631" s="115">
        <v>1.7999999999999999E-2</v>
      </c>
      <c r="D631" s="115">
        <v>1.9E-2</v>
      </c>
      <c r="E631" s="115">
        <v>0.02</v>
      </c>
      <c r="F631" s="115">
        <v>2.1000000000000001E-2</v>
      </c>
      <c r="G631" s="115">
        <v>2.1999999999999999E-2</v>
      </c>
      <c r="H631" s="115">
        <v>2.3E-2</v>
      </c>
      <c r="I631" s="115">
        <v>2.3E-2</v>
      </c>
      <c r="J631" s="115">
        <v>2.4E-2</v>
      </c>
      <c r="K631" s="115">
        <v>2.4E-2</v>
      </c>
      <c r="L631" s="115">
        <v>2.5000000000000001E-2</v>
      </c>
      <c r="M631" s="115">
        <v>2.4E-2</v>
      </c>
      <c r="N631" s="115">
        <v>2.4E-2</v>
      </c>
      <c r="O631" s="115">
        <v>2.3E-2</v>
      </c>
      <c r="P631" s="115">
        <v>2.3E-2</v>
      </c>
      <c r="Q631" s="115">
        <v>2.3E-2</v>
      </c>
      <c r="R631" s="115">
        <v>2.1999999999999999E-2</v>
      </c>
      <c r="S631" s="115">
        <v>2.5999999999999999E-2</v>
      </c>
      <c r="T631" s="115">
        <v>2.3E-2</v>
      </c>
      <c r="U631" s="115">
        <v>2.3E-2</v>
      </c>
      <c r="V631" s="115">
        <v>2.3E-2</v>
      </c>
      <c r="W631" s="115">
        <v>2.1999999999999999E-2</v>
      </c>
      <c r="X631" s="115">
        <v>2.1999999999999999E-2</v>
      </c>
      <c r="Y631" s="115">
        <v>2.1999999999999999E-2</v>
      </c>
      <c r="Z631" s="115">
        <v>2.1999999999999999E-2</v>
      </c>
      <c r="AA631" s="115">
        <v>2.1000000000000001E-2</v>
      </c>
      <c r="AB631" s="115">
        <v>2.1000000000000001E-2</v>
      </c>
      <c r="AC631" s="115">
        <v>0.02</v>
      </c>
      <c r="AD631" s="43"/>
      <c r="AE631" s="43"/>
      <c r="AF631" s="43"/>
      <c r="AG631" s="43"/>
      <c r="AH631" s="43"/>
      <c r="AI631" s="43"/>
    </row>
    <row r="632" spans="1:35" x14ac:dyDescent="0.25">
      <c r="A632" s="115" t="s">
        <v>922</v>
      </c>
      <c r="B632" s="115"/>
      <c r="C632" s="115">
        <v>1.0999999999999999E-2</v>
      </c>
      <c r="D632" s="115">
        <v>1.0999999999999999E-2</v>
      </c>
      <c r="E632" s="115">
        <v>1.2E-2</v>
      </c>
      <c r="F632" s="115">
        <v>1.2999999999999999E-2</v>
      </c>
      <c r="G632" s="115">
        <v>1.2999999999999999E-2</v>
      </c>
      <c r="H632" s="115">
        <v>1.2999999999999999E-2</v>
      </c>
      <c r="I632" s="115">
        <v>1.4E-2</v>
      </c>
      <c r="J632" s="115">
        <v>1.4E-2</v>
      </c>
      <c r="K632" s="115">
        <v>1.4E-2</v>
      </c>
      <c r="L632" s="115">
        <v>1.4E-2</v>
      </c>
      <c r="M632" s="115">
        <v>1.4E-2</v>
      </c>
      <c r="N632" s="115">
        <v>1.4E-2</v>
      </c>
      <c r="O632" s="115">
        <v>1.2999999999999999E-2</v>
      </c>
      <c r="P632" s="115">
        <v>1.2999999999999999E-2</v>
      </c>
      <c r="Q632" s="115">
        <v>1.2999999999999999E-2</v>
      </c>
      <c r="R632" s="115">
        <v>1.2999999999999999E-2</v>
      </c>
      <c r="S632" s="115">
        <v>1.4E-2</v>
      </c>
      <c r="T632" s="115">
        <v>1.2999999999999999E-2</v>
      </c>
      <c r="U632" s="115">
        <v>1.2E-2</v>
      </c>
      <c r="V632" s="115">
        <v>1.2E-2</v>
      </c>
      <c r="W632" s="115">
        <v>1.2E-2</v>
      </c>
      <c r="X632" s="115">
        <v>1.2E-2</v>
      </c>
      <c r="Y632" s="115">
        <v>1.2E-2</v>
      </c>
      <c r="Z632" s="115">
        <v>1.0999999999999999E-2</v>
      </c>
      <c r="AA632" s="115">
        <v>1.0999999999999999E-2</v>
      </c>
      <c r="AB632" s="115">
        <v>1.0999999999999999E-2</v>
      </c>
      <c r="AC632" s="115">
        <v>1.0999999999999999E-2</v>
      </c>
      <c r="AD632" s="43"/>
      <c r="AE632" s="43"/>
      <c r="AF632" s="43"/>
      <c r="AG632" s="43"/>
      <c r="AH632" s="43"/>
      <c r="AI632" s="43"/>
    </row>
    <row r="633" spans="1:35" x14ac:dyDescent="0.25">
      <c r="A633" s="115" t="s">
        <v>923</v>
      </c>
      <c r="B633" s="115"/>
      <c r="C633" s="115">
        <v>0.17499999999999999</v>
      </c>
      <c r="D633" s="115">
        <v>0.17599999999999999</v>
      </c>
      <c r="E633" s="115">
        <v>0.18</v>
      </c>
      <c r="F633" s="115">
        <v>0.19</v>
      </c>
      <c r="G633" s="115">
        <v>0.193</v>
      </c>
      <c r="H633" s="115">
        <v>0.19700000000000001</v>
      </c>
      <c r="I633" s="115">
        <v>0.20100000000000001</v>
      </c>
      <c r="J633" s="115">
        <v>0.20499999999999999</v>
      </c>
      <c r="K633" s="115">
        <v>0.20899999999999999</v>
      </c>
      <c r="L633" s="115">
        <v>0.21199999999999999</v>
      </c>
      <c r="M633" s="115">
        <v>0.21199999999999999</v>
      </c>
      <c r="N633" s="115">
        <v>0.21</v>
      </c>
      <c r="O633" s="115">
        <v>0.20799999999999999</v>
      </c>
      <c r="P633" s="115">
        <v>0.20499999999999999</v>
      </c>
      <c r="Q633" s="115">
        <v>0.20200000000000001</v>
      </c>
      <c r="R633" s="115">
        <v>0.19900000000000001</v>
      </c>
      <c r="S633" s="115">
        <v>0.23</v>
      </c>
      <c r="T633" s="115">
        <v>0.191</v>
      </c>
      <c r="U633" s="115">
        <v>0.187</v>
      </c>
      <c r="V633" s="115">
        <v>0.183</v>
      </c>
      <c r="W633" s="115">
        <v>0.18099999999999999</v>
      </c>
      <c r="X633" s="115">
        <v>0.17899999999999999</v>
      </c>
      <c r="Y633" s="115">
        <v>0.17699999999999999</v>
      </c>
      <c r="Z633" s="115">
        <v>0.17499999999999999</v>
      </c>
      <c r="AA633" s="115">
        <v>0.17299999999999999</v>
      </c>
      <c r="AB633" s="115">
        <v>0.17100000000000001</v>
      </c>
      <c r="AC633" s="115">
        <v>0.16900000000000001</v>
      </c>
      <c r="AD633" s="43"/>
      <c r="AE633" s="43"/>
      <c r="AF633" s="43"/>
      <c r="AG633" s="43"/>
      <c r="AH633" s="43"/>
      <c r="AI633" s="43"/>
    </row>
    <row r="634" spans="1:35" x14ac:dyDescent="0.25">
      <c r="A634" s="115" t="s">
        <v>924</v>
      </c>
      <c r="B634" s="115"/>
      <c r="C634" s="115">
        <v>0.10100000000000001</v>
      </c>
      <c r="D634" s="115">
        <v>0.10199999999999999</v>
      </c>
      <c r="E634" s="115">
        <v>0.104</v>
      </c>
      <c r="F634" s="115">
        <v>0.109</v>
      </c>
      <c r="G634" s="115">
        <v>0.11</v>
      </c>
      <c r="H634" s="115">
        <v>0.112</v>
      </c>
      <c r="I634" s="115">
        <v>0.114</v>
      </c>
      <c r="J634" s="115">
        <v>0.11600000000000001</v>
      </c>
      <c r="K634" s="115">
        <v>0.11799999999999999</v>
      </c>
      <c r="L634" s="115">
        <v>0.11899999999999999</v>
      </c>
      <c r="M634" s="115">
        <v>0.11799999999999999</v>
      </c>
      <c r="N634" s="115">
        <v>0.11600000000000001</v>
      </c>
      <c r="O634" s="115">
        <v>0.114</v>
      </c>
      <c r="P634" s="115">
        <v>0.112</v>
      </c>
      <c r="Q634" s="115">
        <v>0.109</v>
      </c>
      <c r="R634" s="115">
        <v>0.107</v>
      </c>
      <c r="S634" s="115">
        <v>0.12</v>
      </c>
      <c r="T634" s="115">
        <v>0.10199999999999999</v>
      </c>
      <c r="U634" s="115">
        <v>0.1</v>
      </c>
      <c r="V634" s="115">
        <v>9.7000000000000003E-2</v>
      </c>
      <c r="W634" s="115">
        <v>9.7000000000000003E-2</v>
      </c>
      <c r="X634" s="115">
        <v>9.5000000000000001E-2</v>
      </c>
      <c r="Y634" s="115">
        <v>9.4E-2</v>
      </c>
      <c r="Z634" s="115">
        <v>9.4E-2</v>
      </c>
      <c r="AA634" s="115">
        <v>9.2999999999999999E-2</v>
      </c>
      <c r="AB634" s="115">
        <v>9.1999999999999998E-2</v>
      </c>
      <c r="AC634" s="115">
        <v>9.0999999999999998E-2</v>
      </c>
      <c r="AD634" s="43"/>
      <c r="AE634" s="43"/>
      <c r="AF634" s="43"/>
      <c r="AG634" s="43"/>
      <c r="AH634" s="43"/>
      <c r="AI634" s="43"/>
    </row>
    <row r="635" spans="1:35" x14ac:dyDescent="0.25">
      <c r="A635" s="115" t="s">
        <v>925</v>
      </c>
      <c r="B635" s="115"/>
      <c r="C635" s="115">
        <v>6.7000000000000004E-2</v>
      </c>
      <c r="D635" s="115">
        <v>6.8000000000000005E-2</v>
      </c>
      <c r="E635" s="115">
        <v>6.9000000000000006E-2</v>
      </c>
      <c r="F635" s="115">
        <v>7.2999999999999995E-2</v>
      </c>
      <c r="G635" s="115">
        <v>7.3999999999999996E-2</v>
      </c>
      <c r="H635" s="115">
        <v>7.4999999999999997E-2</v>
      </c>
      <c r="I635" s="115">
        <v>7.5999999999999998E-2</v>
      </c>
      <c r="J635" s="115">
        <v>7.6999999999999999E-2</v>
      </c>
      <c r="K635" s="115">
        <v>7.8E-2</v>
      </c>
      <c r="L635" s="115">
        <v>7.9000000000000001E-2</v>
      </c>
      <c r="M635" s="115">
        <v>7.6999999999999999E-2</v>
      </c>
      <c r="N635" s="115">
        <v>7.4999999999999997E-2</v>
      </c>
      <c r="O635" s="115">
        <v>7.3999999999999996E-2</v>
      </c>
      <c r="P635" s="115">
        <v>7.1999999999999995E-2</v>
      </c>
      <c r="Q635" s="115">
        <v>7.0000000000000007E-2</v>
      </c>
      <c r="R635" s="115">
        <v>6.8000000000000005E-2</v>
      </c>
      <c r="S635" s="115">
        <v>7.3999999999999996E-2</v>
      </c>
      <c r="T635" s="115">
        <v>6.5000000000000002E-2</v>
      </c>
      <c r="U635" s="115">
        <v>6.3E-2</v>
      </c>
      <c r="V635" s="115">
        <v>6.2E-2</v>
      </c>
      <c r="W635" s="115">
        <v>6.0999999999999999E-2</v>
      </c>
      <c r="X635" s="115">
        <v>6.0999999999999999E-2</v>
      </c>
      <c r="Y635" s="115">
        <v>0.06</v>
      </c>
      <c r="Z635" s="115">
        <v>0.06</v>
      </c>
      <c r="AA635" s="115">
        <v>5.8999999999999997E-2</v>
      </c>
      <c r="AB635" s="115">
        <v>5.8999999999999997E-2</v>
      </c>
      <c r="AC635" s="115">
        <v>5.8000000000000003E-2</v>
      </c>
      <c r="AD635" s="43"/>
      <c r="AE635" s="43"/>
      <c r="AF635" s="43"/>
      <c r="AG635" s="43"/>
      <c r="AH635" s="43"/>
      <c r="AI635" s="43"/>
    </row>
    <row r="636" spans="1:35" x14ac:dyDescent="0.25">
      <c r="A636" s="115" t="s">
        <v>926</v>
      </c>
      <c r="B636" s="115"/>
      <c r="C636" s="115">
        <v>4.7E-2</v>
      </c>
      <c r="D636" s="115">
        <v>4.8000000000000001E-2</v>
      </c>
      <c r="E636" s="115">
        <v>4.9000000000000002E-2</v>
      </c>
      <c r="F636" s="115">
        <v>5.0999999999999997E-2</v>
      </c>
      <c r="G636" s="115">
        <v>5.1999999999999998E-2</v>
      </c>
      <c r="H636" s="115">
        <v>5.2999999999999999E-2</v>
      </c>
      <c r="I636" s="115">
        <v>5.3999999999999999E-2</v>
      </c>
      <c r="J636" s="115">
        <v>5.5E-2</v>
      </c>
      <c r="K636" s="115">
        <v>5.6000000000000001E-2</v>
      </c>
      <c r="L636" s="115">
        <v>5.6000000000000001E-2</v>
      </c>
      <c r="M636" s="115">
        <v>5.5E-2</v>
      </c>
      <c r="N636" s="115">
        <v>5.3999999999999999E-2</v>
      </c>
      <c r="O636" s="115">
        <v>5.2999999999999999E-2</v>
      </c>
      <c r="P636" s="115">
        <v>5.1999999999999998E-2</v>
      </c>
      <c r="Q636" s="115">
        <v>0.05</v>
      </c>
      <c r="R636" s="115">
        <v>4.9000000000000002E-2</v>
      </c>
      <c r="S636" s="115">
        <v>5.3999999999999999E-2</v>
      </c>
      <c r="T636" s="115">
        <v>4.7E-2</v>
      </c>
      <c r="U636" s="115">
        <v>4.4999999999999998E-2</v>
      </c>
      <c r="V636" s="115">
        <v>4.3999999999999997E-2</v>
      </c>
      <c r="W636" s="115">
        <v>4.3999999999999997E-2</v>
      </c>
      <c r="X636" s="115">
        <v>4.3999999999999997E-2</v>
      </c>
      <c r="Y636" s="115">
        <v>4.2999999999999997E-2</v>
      </c>
      <c r="Z636" s="115">
        <v>4.2999999999999997E-2</v>
      </c>
      <c r="AA636" s="115">
        <v>4.2999999999999997E-2</v>
      </c>
      <c r="AB636" s="115">
        <v>4.2000000000000003E-2</v>
      </c>
      <c r="AC636" s="115">
        <v>4.2000000000000003E-2</v>
      </c>
      <c r="AD636" s="43"/>
      <c r="AE636" s="43"/>
      <c r="AF636" s="43"/>
      <c r="AG636" s="43"/>
      <c r="AH636" s="43"/>
      <c r="AI636" s="43"/>
    </row>
    <row r="637" spans="1:35" x14ac:dyDescent="0.25">
      <c r="A637" s="115" t="s">
        <v>927</v>
      </c>
      <c r="B637" s="115"/>
      <c r="C637" s="115">
        <v>2.5000000000000001E-2</v>
      </c>
      <c r="D637" s="115">
        <v>2.5000000000000001E-2</v>
      </c>
      <c r="E637" s="115">
        <v>2.5999999999999999E-2</v>
      </c>
      <c r="F637" s="115">
        <v>2.7E-2</v>
      </c>
      <c r="G637" s="115">
        <v>2.8000000000000001E-2</v>
      </c>
      <c r="H637" s="115">
        <v>2.8000000000000001E-2</v>
      </c>
      <c r="I637" s="115">
        <v>2.9000000000000001E-2</v>
      </c>
      <c r="J637" s="115">
        <v>2.9000000000000001E-2</v>
      </c>
      <c r="K637" s="115">
        <v>0.03</v>
      </c>
      <c r="L637" s="115">
        <v>0.03</v>
      </c>
      <c r="M637" s="115">
        <v>2.9000000000000001E-2</v>
      </c>
      <c r="N637" s="115">
        <v>2.8000000000000001E-2</v>
      </c>
      <c r="O637" s="115">
        <v>2.8000000000000001E-2</v>
      </c>
      <c r="P637" s="115">
        <v>2.7E-2</v>
      </c>
      <c r="Q637" s="115">
        <v>2.5999999999999999E-2</v>
      </c>
      <c r="R637" s="115">
        <v>2.5999999999999999E-2</v>
      </c>
      <c r="S637" s="115">
        <v>2.8000000000000001E-2</v>
      </c>
      <c r="T637" s="115">
        <v>2.4E-2</v>
      </c>
      <c r="U637" s="115">
        <v>2.4E-2</v>
      </c>
      <c r="V637" s="115">
        <v>2.3E-2</v>
      </c>
      <c r="W637" s="115">
        <v>2.3E-2</v>
      </c>
      <c r="X637" s="115">
        <v>2.1999999999999999E-2</v>
      </c>
      <c r="Y637" s="115">
        <v>2.1999999999999999E-2</v>
      </c>
      <c r="Z637" s="115">
        <v>2.1999999999999999E-2</v>
      </c>
      <c r="AA637" s="115">
        <v>2.1999999999999999E-2</v>
      </c>
      <c r="AB637" s="115">
        <v>2.1999999999999999E-2</v>
      </c>
      <c r="AC637" s="115">
        <v>2.1000000000000001E-2</v>
      </c>
      <c r="AD637" s="43"/>
      <c r="AE637" s="43"/>
      <c r="AF637" s="43"/>
      <c r="AG637" s="43"/>
      <c r="AH637" s="43"/>
      <c r="AI637" s="43"/>
    </row>
    <row r="638" spans="1:35" x14ac:dyDescent="0.25">
      <c r="A638" s="115" t="s">
        <v>928</v>
      </c>
      <c r="B638" s="115"/>
      <c r="C638" s="115">
        <v>0.151</v>
      </c>
      <c r="D638" s="115">
        <v>0.152</v>
      </c>
      <c r="E638" s="115">
        <v>0.157</v>
      </c>
      <c r="F638" s="115">
        <v>0.16500000000000001</v>
      </c>
      <c r="G638" s="115">
        <v>0.16800000000000001</v>
      </c>
      <c r="H638" s="115">
        <v>0.17100000000000001</v>
      </c>
      <c r="I638" s="115">
        <v>0.17399999999999999</v>
      </c>
      <c r="J638" s="115">
        <v>0.17899999999999999</v>
      </c>
      <c r="K638" s="115">
        <v>0.182</v>
      </c>
      <c r="L638" s="115">
        <v>0.185</v>
      </c>
      <c r="M638" s="115">
        <v>0.18099999999999999</v>
      </c>
      <c r="N638" s="115">
        <v>0.17599999999999999</v>
      </c>
      <c r="O638" s="115">
        <v>0.16600000000000001</v>
      </c>
      <c r="P638" s="115">
        <v>0.161</v>
      </c>
      <c r="Q638" s="115">
        <v>0.157</v>
      </c>
      <c r="R638" s="115">
        <v>0.153</v>
      </c>
      <c r="S638" s="115">
        <v>0.16700000000000001</v>
      </c>
      <c r="T638" s="115">
        <v>0.14699999999999999</v>
      </c>
      <c r="U638" s="115">
        <v>0.14399999999999999</v>
      </c>
      <c r="V638" s="115">
        <v>0.14199999999999999</v>
      </c>
      <c r="W638" s="115">
        <v>0.14099999999999999</v>
      </c>
      <c r="X638" s="115">
        <v>0.14000000000000001</v>
      </c>
      <c r="Y638" s="115">
        <v>0.14000000000000001</v>
      </c>
      <c r="Z638" s="115">
        <v>0.13700000000000001</v>
      </c>
      <c r="AA638" s="115">
        <v>0.13300000000000001</v>
      </c>
      <c r="AB638" s="115">
        <v>0.13</v>
      </c>
      <c r="AC638" s="115">
        <v>0.127</v>
      </c>
      <c r="AD638" s="43"/>
      <c r="AE638" s="43"/>
      <c r="AF638" s="43"/>
      <c r="AG638" s="43"/>
      <c r="AH638" s="43"/>
      <c r="AI638" s="43"/>
    </row>
    <row r="639" spans="1:35" x14ac:dyDescent="0.25">
      <c r="A639" s="115" t="s">
        <v>929</v>
      </c>
      <c r="B639" s="115"/>
      <c r="C639" s="115">
        <v>8.3000000000000004E-2</v>
      </c>
      <c r="D639" s="115">
        <v>8.4000000000000005E-2</v>
      </c>
      <c r="E639" s="115">
        <v>8.6999999999999994E-2</v>
      </c>
      <c r="F639" s="115">
        <v>9.0999999999999998E-2</v>
      </c>
      <c r="G639" s="115">
        <v>9.4E-2</v>
      </c>
      <c r="H639" s="115">
        <v>9.5000000000000001E-2</v>
      </c>
      <c r="I639" s="115">
        <v>9.7000000000000003E-2</v>
      </c>
      <c r="J639" s="115">
        <v>0.1</v>
      </c>
      <c r="K639" s="115">
        <v>0.10199999999999999</v>
      </c>
      <c r="L639" s="115">
        <v>0.104</v>
      </c>
      <c r="M639" s="115">
        <v>0.10199999999999999</v>
      </c>
      <c r="N639" s="115">
        <v>0.1</v>
      </c>
      <c r="O639" s="115">
        <v>9.4E-2</v>
      </c>
      <c r="P639" s="115">
        <v>9.1999999999999998E-2</v>
      </c>
      <c r="Q639" s="115">
        <v>0.09</v>
      </c>
      <c r="R639" s="115">
        <v>8.7999999999999995E-2</v>
      </c>
      <c r="S639" s="115">
        <v>9.6000000000000002E-2</v>
      </c>
      <c r="T639" s="115">
        <v>8.5000000000000006E-2</v>
      </c>
      <c r="U639" s="115">
        <v>8.3000000000000004E-2</v>
      </c>
      <c r="V639" s="115">
        <v>8.2000000000000003E-2</v>
      </c>
      <c r="W639" s="115">
        <v>8.1000000000000003E-2</v>
      </c>
      <c r="X639" s="115">
        <v>8.1000000000000003E-2</v>
      </c>
      <c r="Y639" s="115">
        <v>8.1000000000000003E-2</v>
      </c>
      <c r="Z639" s="115">
        <v>7.9000000000000001E-2</v>
      </c>
      <c r="AA639" s="115">
        <v>7.6999999999999999E-2</v>
      </c>
      <c r="AB639" s="115">
        <v>7.4999999999999997E-2</v>
      </c>
      <c r="AC639" s="115">
        <v>7.2999999999999995E-2</v>
      </c>
      <c r="AD639" s="43"/>
      <c r="AE639" s="43"/>
      <c r="AF639" s="43"/>
      <c r="AG639" s="43"/>
      <c r="AH639" s="43"/>
      <c r="AI639" s="43"/>
    </row>
    <row r="640" spans="1:35" x14ac:dyDescent="0.25">
      <c r="A640" s="115" t="s">
        <v>930</v>
      </c>
      <c r="B640" s="115"/>
      <c r="C640" s="115">
        <v>5.8000000000000003E-2</v>
      </c>
      <c r="D640" s="115">
        <v>5.8000000000000003E-2</v>
      </c>
      <c r="E640" s="115">
        <v>0.06</v>
      </c>
      <c r="F640" s="115">
        <v>6.3E-2</v>
      </c>
      <c r="G640" s="115">
        <v>6.5000000000000002E-2</v>
      </c>
      <c r="H640" s="115">
        <v>6.6000000000000003E-2</v>
      </c>
      <c r="I640" s="115">
        <v>6.7000000000000004E-2</v>
      </c>
      <c r="J640" s="115">
        <v>6.9000000000000006E-2</v>
      </c>
      <c r="K640" s="115">
        <v>7.0000000000000007E-2</v>
      </c>
      <c r="L640" s="115">
        <v>7.1999999999999995E-2</v>
      </c>
      <c r="M640" s="115">
        <v>7.0000000000000007E-2</v>
      </c>
      <c r="N640" s="115">
        <v>6.8000000000000005E-2</v>
      </c>
      <c r="O640" s="115">
        <v>6.5000000000000002E-2</v>
      </c>
      <c r="P640" s="115">
        <v>6.3E-2</v>
      </c>
      <c r="Q640" s="115">
        <v>6.2E-2</v>
      </c>
      <c r="R640" s="115">
        <v>6.0999999999999999E-2</v>
      </c>
      <c r="S640" s="115">
        <v>6.7000000000000004E-2</v>
      </c>
      <c r="T640" s="115">
        <v>5.8999999999999997E-2</v>
      </c>
      <c r="U640" s="115">
        <v>5.8000000000000003E-2</v>
      </c>
      <c r="V640" s="115">
        <v>5.7000000000000002E-2</v>
      </c>
      <c r="W640" s="115">
        <v>5.7000000000000002E-2</v>
      </c>
      <c r="X640" s="115">
        <v>5.7000000000000002E-2</v>
      </c>
      <c r="Y640" s="115">
        <v>5.7000000000000002E-2</v>
      </c>
      <c r="Z640" s="115">
        <v>5.5E-2</v>
      </c>
      <c r="AA640" s="115">
        <v>5.3999999999999999E-2</v>
      </c>
      <c r="AB640" s="115">
        <v>5.2999999999999999E-2</v>
      </c>
      <c r="AC640" s="115">
        <v>5.0999999999999997E-2</v>
      </c>
      <c r="AD640" s="43"/>
      <c r="AE640" s="43"/>
      <c r="AF640" s="43"/>
      <c r="AG640" s="43"/>
      <c r="AH640" s="43"/>
      <c r="AI640" s="43"/>
    </row>
    <row r="641" spans="1:35" x14ac:dyDescent="0.25">
      <c r="A641" s="115" t="s">
        <v>931</v>
      </c>
      <c r="B641" s="115"/>
      <c r="C641" s="115">
        <v>3.9E-2</v>
      </c>
      <c r="D641" s="115">
        <v>0.04</v>
      </c>
      <c r="E641" s="115">
        <v>4.1000000000000002E-2</v>
      </c>
      <c r="F641" s="115">
        <v>4.2999999999999997E-2</v>
      </c>
      <c r="G641" s="115">
        <v>4.3999999999999997E-2</v>
      </c>
      <c r="H641" s="115">
        <v>4.4999999999999998E-2</v>
      </c>
      <c r="I641" s="115">
        <v>4.5999999999999999E-2</v>
      </c>
      <c r="J641" s="115">
        <v>4.7E-2</v>
      </c>
      <c r="K641" s="115">
        <v>4.8000000000000001E-2</v>
      </c>
      <c r="L641" s="115">
        <v>4.9000000000000002E-2</v>
      </c>
      <c r="M641" s="115">
        <v>4.8000000000000001E-2</v>
      </c>
      <c r="N641" s="115">
        <v>4.7E-2</v>
      </c>
      <c r="O641" s="115">
        <v>4.4999999999999998E-2</v>
      </c>
      <c r="P641" s="115">
        <v>4.3999999999999997E-2</v>
      </c>
      <c r="Q641" s="115">
        <v>4.3999999999999997E-2</v>
      </c>
      <c r="R641" s="115">
        <v>4.2999999999999997E-2</v>
      </c>
      <c r="S641" s="115">
        <v>4.8000000000000001E-2</v>
      </c>
      <c r="T641" s="115">
        <v>4.2000000000000003E-2</v>
      </c>
      <c r="U641" s="115">
        <v>4.1000000000000002E-2</v>
      </c>
      <c r="V641" s="115">
        <v>0.04</v>
      </c>
      <c r="W641" s="115">
        <v>0.04</v>
      </c>
      <c r="X641" s="115">
        <v>0.04</v>
      </c>
      <c r="Y641" s="115">
        <v>0.04</v>
      </c>
      <c r="Z641" s="115">
        <v>3.9E-2</v>
      </c>
      <c r="AA641" s="115">
        <v>3.7999999999999999E-2</v>
      </c>
      <c r="AB641" s="115">
        <v>3.6999999999999998E-2</v>
      </c>
      <c r="AC641" s="115">
        <v>3.5999999999999997E-2</v>
      </c>
      <c r="AD641" s="43"/>
      <c r="AE641" s="43"/>
      <c r="AF641" s="43"/>
      <c r="AG641" s="43"/>
      <c r="AH641" s="43"/>
      <c r="AI641" s="43"/>
    </row>
    <row r="642" spans="1:35" x14ac:dyDescent="0.25">
      <c r="A642" s="115" t="s">
        <v>932</v>
      </c>
      <c r="B642" s="115"/>
      <c r="C642" s="115">
        <v>0.02</v>
      </c>
      <c r="D642" s="115">
        <v>2.1000000000000001E-2</v>
      </c>
      <c r="E642" s="115">
        <v>2.1000000000000001E-2</v>
      </c>
      <c r="F642" s="115">
        <v>2.1999999999999999E-2</v>
      </c>
      <c r="G642" s="115">
        <v>2.3E-2</v>
      </c>
      <c r="H642" s="115">
        <v>2.4E-2</v>
      </c>
      <c r="I642" s="115">
        <v>2.4E-2</v>
      </c>
      <c r="J642" s="115">
        <v>2.5000000000000001E-2</v>
      </c>
      <c r="K642" s="115">
        <v>2.5000000000000001E-2</v>
      </c>
      <c r="L642" s="115">
        <v>2.5999999999999999E-2</v>
      </c>
      <c r="M642" s="115">
        <v>2.5000000000000001E-2</v>
      </c>
      <c r="N642" s="115">
        <v>2.5000000000000001E-2</v>
      </c>
      <c r="O642" s="115">
        <v>2.4E-2</v>
      </c>
      <c r="P642" s="115">
        <v>2.3E-2</v>
      </c>
      <c r="Q642" s="115">
        <v>2.3E-2</v>
      </c>
      <c r="R642" s="115">
        <v>2.3E-2</v>
      </c>
      <c r="S642" s="115">
        <v>2.5000000000000001E-2</v>
      </c>
      <c r="T642" s="115">
        <v>2.1999999999999999E-2</v>
      </c>
      <c r="U642" s="115">
        <v>2.1000000000000001E-2</v>
      </c>
      <c r="V642" s="115">
        <v>2.1000000000000001E-2</v>
      </c>
      <c r="W642" s="115">
        <v>2.1000000000000001E-2</v>
      </c>
      <c r="X642" s="115">
        <v>2.1000000000000001E-2</v>
      </c>
      <c r="Y642" s="115">
        <v>2.1000000000000001E-2</v>
      </c>
      <c r="Z642" s="115">
        <v>2.1000000000000001E-2</v>
      </c>
      <c r="AA642" s="115">
        <v>0.02</v>
      </c>
      <c r="AB642" s="115">
        <v>0.02</v>
      </c>
      <c r="AC642" s="115">
        <v>1.9E-2</v>
      </c>
      <c r="AD642" s="43"/>
      <c r="AE642" s="43"/>
      <c r="AF642" s="43"/>
      <c r="AG642" s="43"/>
      <c r="AH642" s="43"/>
      <c r="AI642" s="43"/>
    </row>
    <row r="643" spans="1:35" x14ac:dyDescent="0.25">
      <c r="A643" s="115" t="s">
        <v>933</v>
      </c>
      <c r="B643" s="115"/>
      <c r="C643" s="115">
        <v>0.109</v>
      </c>
      <c r="D643" s="115">
        <v>0.112</v>
      </c>
      <c r="E643" s="115">
        <v>0.11899999999999999</v>
      </c>
      <c r="F643" s="115">
        <v>0.13</v>
      </c>
      <c r="G643" s="115">
        <v>0.13700000000000001</v>
      </c>
      <c r="H643" s="115">
        <v>0.14399999999999999</v>
      </c>
      <c r="I643" s="115">
        <v>0.151</v>
      </c>
      <c r="J643" s="115">
        <v>0.159</v>
      </c>
      <c r="K643" s="115">
        <v>0.16700000000000001</v>
      </c>
      <c r="L643" s="115">
        <v>0.17599999999999999</v>
      </c>
      <c r="M643" s="115">
        <v>0.18</v>
      </c>
      <c r="N643" s="115">
        <v>0.18099999999999999</v>
      </c>
      <c r="O643" s="115">
        <v>0.182</v>
      </c>
      <c r="P643" s="115">
        <v>0.18099999999999999</v>
      </c>
      <c r="Q643" s="115">
        <v>0.18</v>
      </c>
      <c r="R643" s="115">
        <v>0.17899999999999999</v>
      </c>
      <c r="S643" s="115">
        <v>0.20200000000000001</v>
      </c>
      <c r="T643" s="115">
        <v>0.17599999999999999</v>
      </c>
      <c r="U643" s="115">
        <v>0.17199999999999999</v>
      </c>
      <c r="V643" s="115">
        <v>0.16500000000000001</v>
      </c>
      <c r="W643" s="115">
        <v>0.158</v>
      </c>
      <c r="X643" s="115">
        <v>0.152</v>
      </c>
      <c r="Y643" s="115">
        <v>0.14599999999999999</v>
      </c>
      <c r="Z643" s="115">
        <v>0.14000000000000001</v>
      </c>
      <c r="AA643" s="115">
        <v>0.13500000000000001</v>
      </c>
      <c r="AB643" s="115">
        <v>0.13</v>
      </c>
      <c r="AC643" s="115">
        <v>0.124</v>
      </c>
      <c r="AD643" s="43"/>
      <c r="AE643" s="43"/>
      <c r="AF643" s="43"/>
      <c r="AG643" s="43"/>
      <c r="AH643" s="43"/>
      <c r="AI643" s="43"/>
    </row>
    <row r="644" spans="1:35" x14ac:dyDescent="0.25">
      <c r="A644" s="115" t="s">
        <v>934</v>
      </c>
      <c r="B644" s="115"/>
      <c r="C644" s="115">
        <v>6.3E-2</v>
      </c>
      <c r="D644" s="115">
        <v>6.5000000000000002E-2</v>
      </c>
      <c r="E644" s="115">
        <v>6.9000000000000006E-2</v>
      </c>
      <c r="F644" s="115">
        <v>7.4999999999999997E-2</v>
      </c>
      <c r="G644" s="115">
        <v>7.9000000000000001E-2</v>
      </c>
      <c r="H644" s="115">
        <v>8.3000000000000004E-2</v>
      </c>
      <c r="I644" s="115">
        <v>8.6999999999999994E-2</v>
      </c>
      <c r="J644" s="115">
        <v>9.1999999999999998E-2</v>
      </c>
      <c r="K644" s="115">
        <v>9.7000000000000003E-2</v>
      </c>
      <c r="L644" s="115">
        <v>0.10199999999999999</v>
      </c>
      <c r="M644" s="115">
        <v>0.104</v>
      </c>
      <c r="N644" s="115">
        <v>0.106</v>
      </c>
      <c r="O644" s="115">
        <v>0.107</v>
      </c>
      <c r="P644" s="115">
        <v>0.106</v>
      </c>
      <c r="Q644" s="115">
        <v>0.106</v>
      </c>
      <c r="R644" s="115">
        <v>0.105</v>
      </c>
      <c r="S644" s="115">
        <v>0.11899999999999999</v>
      </c>
      <c r="T644" s="115">
        <v>0.104</v>
      </c>
      <c r="U644" s="115">
        <v>0.10199999999999999</v>
      </c>
      <c r="V644" s="115">
        <v>9.8000000000000004E-2</v>
      </c>
      <c r="W644" s="115">
        <v>9.4E-2</v>
      </c>
      <c r="X644" s="115">
        <v>9.0999999999999998E-2</v>
      </c>
      <c r="Y644" s="115">
        <v>8.6999999999999994E-2</v>
      </c>
      <c r="Z644" s="115">
        <v>8.3000000000000004E-2</v>
      </c>
      <c r="AA644" s="115">
        <v>0.08</v>
      </c>
      <c r="AB644" s="115">
        <v>7.6999999999999999E-2</v>
      </c>
      <c r="AC644" s="115">
        <v>7.2999999999999995E-2</v>
      </c>
      <c r="AD644" s="43"/>
      <c r="AE644" s="43"/>
      <c r="AF644" s="43"/>
      <c r="AG644" s="43"/>
      <c r="AH644" s="43"/>
      <c r="AI644" s="43"/>
    </row>
    <row r="645" spans="1:35" x14ac:dyDescent="0.25">
      <c r="A645" s="115" t="s">
        <v>935</v>
      </c>
      <c r="B645" s="115"/>
      <c r="C645" s="115">
        <v>4.5999999999999999E-2</v>
      </c>
      <c r="D645" s="115">
        <v>4.8000000000000001E-2</v>
      </c>
      <c r="E645" s="115">
        <v>5.0999999999999997E-2</v>
      </c>
      <c r="F645" s="115">
        <v>5.5E-2</v>
      </c>
      <c r="G645" s="115">
        <v>5.8000000000000003E-2</v>
      </c>
      <c r="H645" s="115">
        <v>6.0999999999999999E-2</v>
      </c>
      <c r="I645" s="115">
        <v>6.4000000000000001E-2</v>
      </c>
      <c r="J645" s="115">
        <v>6.8000000000000005E-2</v>
      </c>
      <c r="K645" s="115">
        <v>7.0999999999999994E-2</v>
      </c>
      <c r="L645" s="115">
        <v>7.4999999999999997E-2</v>
      </c>
      <c r="M645" s="115">
        <v>7.6999999999999999E-2</v>
      </c>
      <c r="N645" s="115">
        <v>7.6999999999999999E-2</v>
      </c>
      <c r="O645" s="115">
        <v>7.6999999999999999E-2</v>
      </c>
      <c r="P645" s="115">
        <v>7.6999999999999999E-2</v>
      </c>
      <c r="Q645" s="115">
        <v>7.5999999999999998E-2</v>
      </c>
      <c r="R645" s="115">
        <v>7.5999999999999998E-2</v>
      </c>
      <c r="S645" s="115">
        <v>8.5000000000000006E-2</v>
      </c>
      <c r="T645" s="115">
        <v>7.3999999999999996E-2</v>
      </c>
      <c r="U645" s="115">
        <v>7.1999999999999995E-2</v>
      </c>
      <c r="V645" s="115">
        <v>6.9000000000000006E-2</v>
      </c>
      <c r="W645" s="115">
        <v>6.6000000000000003E-2</v>
      </c>
      <c r="X645" s="115">
        <v>6.4000000000000001E-2</v>
      </c>
      <c r="Y645" s="115">
        <v>6.0999999999999999E-2</v>
      </c>
      <c r="Z645" s="115">
        <v>5.8999999999999997E-2</v>
      </c>
      <c r="AA645" s="115">
        <v>5.7000000000000002E-2</v>
      </c>
      <c r="AB645" s="115">
        <v>5.5E-2</v>
      </c>
      <c r="AC645" s="115">
        <v>5.1999999999999998E-2</v>
      </c>
      <c r="AD645" s="43"/>
      <c r="AE645" s="43"/>
      <c r="AF645" s="43"/>
      <c r="AG645" s="43"/>
      <c r="AH645" s="43"/>
      <c r="AI645" s="43"/>
    </row>
    <row r="646" spans="1:35" x14ac:dyDescent="0.25">
      <c r="A646" s="115" t="s">
        <v>936</v>
      </c>
      <c r="B646" s="115"/>
      <c r="C646" s="115">
        <v>3.2000000000000001E-2</v>
      </c>
      <c r="D646" s="115">
        <v>3.3000000000000002E-2</v>
      </c>
      <c r="E646" s="115">
        <v>3.5000000000000003E-2</v>
      </c>
      <c r="F646" s="115">
        <v>3.9E-2</v>
      </c>
      <c r="G646" s="115">
        <v>4.1000000000000002E-2</v>
      </c>
      <c r="H646" s="115">
        <v>4.2999999999999997E-2</v>
      </c>
      <c r="I646" s="115">
        <v>4.4999999999999998E-2</v>
      </c>
      <c r="J646" s="115">
        <v>4.8000000000000001E-2</v>
      </c>
      <c r="K646" s="115">
        <v>0.05</v>
      </c>
      <c r="L646" s="115">
        <v>5.2999999999999999E-2</v>
      </c>
      <c r="M646" s="115">
        <v>5.3999999999999999E-2</v>
      </c>
      <c r="N646" s="115">
        <v>5.3999999999999999E-2</v>
      </c>
      <c r="O646" s="115">
        <v>5.5E-2</v>
      </c>
      <c r="P646" s="115">
        <v>5.3999999999999999E-2</v>
      </c>
      <c r="Q646" s="115">
        <v>5.3999999999999999E-2</v>
      </c>
      <c r="R646" s="115">
        <v>5.3999999999999999E-2</v>
      </c>
      <c r="S646" s="115">
        <v>0.06</v>
      </c>
      <c r="T646" s="115">
        <v>5.2999999999999999E-2</v>
      </c>
      <c r="U646" s="115">
        <v>5.1999999999999998E-2</v>
      </c>
      <c r="V646" s="115">
        <v>0.05</v>
      </c>
      <c r="W646" s="115">
        <v>4.8000000000000001E-2</v>
      </c>
      <c r="X646" s="115">
        <v>4.5999999999999999E-2</v>
      </c>
      <c r="Y646" s="115">
        <v>4.3999999999999997E-2</v>
      </c>
      <c r="Z646" s="115">
        <v>4.2000000000000003E-2</v>
      </c>
      <c r="AA646" s="115">
        <v>4.1000000000000002E-2</v>
      </c>
      <c r="AB646" s="115">
        <v>3.9E-2</v>
      </c>
      <c r="AC646" s="115">
        <v>3.6999999999999998E-2</v>
      </c>
      <c r="AD646" s="43"/>
      <c r="AE646" s="43"/>
      <c r="AF646" s="43"/>
      <c r="AG646" s="43"/>
      <c r="AH646" s="43"/>
      <c r="AI646" s="43"/>
    </row>
    <row r="647" spans="1:35" x14ac:dyDescent="0.25">
      <c r="A647" s="115" t="s">
        <v>937</v>
      </c>
      <c r="B647" s="115"/>
      <c r="C647" s="115">
        <v>1.7000000000000001E-2</v>
      </c>
      <c r="D647" s="115">
        <v>1.7999999999999999E-2</v>
      </c>
      <c r="E647" s="115">
        <v>1.9E-2</v>
      </c>
      <c r="F647" s="115">
        <v>0.02</v>
      </c>
      <c r="G647" s="115">
        <v>2.1999999999999999E-2</v>
      </c>
      <c r="H647" s="115">
        <v>2.3E-2</v>
      </c>
      <c r="I647" s="115">
        <v>2.4E-2</v>
      </c>
      <c r="J647" s="115">
        <v>2.5000000000000001E-2</v>
      </c>
      <c r="K647" s="115">
        <v>2.5999999999999999E-2</v>
      </c>
      <c r="L647" s="115">
        <v>2.8000000000000001E-2</v>
      </c>
      <c r="M647" s="115">
        <v>2.8000000000000001E-2</v>
      </c>
      <c r="N647" s="115">
        <v>2.9000000000000001E-2</v>
      </c>
      <c r="O647" s="115">
        <v>2.9000000000000001E-2</v>
      </c>
      <c r="P647" s="115">
        <v>2.9000000000000001E-2</v>
      </c>
      <c r="Q647" s="115">
        <v>2.9000000000000001E-2</v>
      </c>
      <c r="R647" s="115">
        <v>2.9000000000000001E-2</v>
      </c>
      <c r="S647" s="115">
        <v>3.2000000000000001E-2</v>
      </c>
      <c r="T647" s="115">
        <v>2.8000000000000001E-2</v>
      </c>
      <c r="U647" s="115">
        <v>2.8000000000000001E-2</v>
      </c>
      <c r="V647" s="115">
        <v>2.7E-2</v>
      </c>
      <c r="W647" s="115">
        <v>2.5000000000000001E-2</v>
      </c>
      <c r="X647" s="115">
        <v>2.4E-2</v>
      </c>
      <c r="Y647" s="115">
        <v>2.3E-2</v>
      </c>
      <c r="Z647" s="115">
        <v>2.1999999999999999E-2</v>
      </c>
      <c r="AA647" s="115">
        <v>2.1999999999999999E-2</v>
      </c>
      <c r="AB647" s="115">
        <v>2.1000000000000001E-2</v>
      </c>
      <c r="AC647" s="115">
        <v>0.02</v>
      </c>
      <c r="AD647" s="43"/>
      <c r="AE647" s="43"/>
      <c r="AF647" s="43"/>
      <c r="AG647" s="43"/>
      <c r="AH647" s="43"/>
      <c r="AI647" s="43"/>
    </row>
    <row r="648" spans="1:35" x14ac:dyDescent="0.25">
      <c r="A648" s="115" t="s">
        <v>227</v>
      </c>
      <c r="B648" s="115"/>
      <c r="C648" s="115">
        <v>0.91800000000000004</v>
      </c>
      <c r="D648" s="115">
        <v>0.57099999999999995</v>
      </c>
      <c r="E648" s="115">
        <v>0.80400000000000005</v>
      </c>
      <c r="F648" s="115">
        <v>0.83299999999999996</v>
      </c>
      <c r="G648" s="115">
        <v>0.93700000000000006</v>
      </c>
      <c r="H648" s="115">
        <v>1.0629999999999999</v>
      </c>
      <c r="I648" s="115">
        <v>1.2729999999999999</v>
      </c>
      <c r="J648" s="115">
        <v>1.167</v>
      </c>
      <c r="K648" s="115">
        <v>1.3180000000000001</v>
      </c>
      <c r="L648" s="115">
        <v>1.226</v>
      </c>
      <c r="M648" s="115">
        <v>1.1220000000000001</v>
      </c>
      <c r="N648" s="115">
        <v>1.0289999999999999</v>
      </c>
      <c r="O648" s="115">
        <v>0.84</v>
      </c>
      <c r="P648" s="115">
        <v>0.81</v>
      </c>
      <c r="Q648" s="115">
        <v>0.72799999999999998</v>
      </c>
      <c r="R648" s="115">
        <v>0.61299999999999999</v>
      </c>
      <c r="S648" s="115">
        <v>0.82</v>
      </c>
      <c r="T648" s="115">
        <v>0.55900000000000005</v>
      </c>
      <c r="U648" s="115">
        <v>0.53200000000000003</v>
      </c>
      <c r="V648" s="115">
        <v>0.47399999999999998</v>
      </c>
      <c r="W648" s="115">
        <v>0.33500000000000002</v>
      </c>
      <c r="X648" s="115">
        <v>0.314</v>
      </c>
      <c r="Y648" s="115">
        <v>0.32</v>
      </c>
      <c r="Z648" s="115">
        <v>0.28499999999999998</v>
      </c>
      <c r="AA648" s="115">
        <v>0.27300000000000002</v>
      </c>
      <c r="AB648" s="115">
        <v>0.26300000000000001</v>
      </c>
      <c r="AC648" s="115">
        <v>0.252</v>
      </c>
      <c r="AD648" s="43"/>
      <c r="AE648" s="43"/>
      <c r="AF648" s="43"/>
      <c r="AG648" s="43"/>
      <c r="AH648" s="43"/>
      <c r="AI648" s="43"/>
    </row>
    <row r="649" spans="1:35" x14ac:dyDescent="0.25">
      <c r="A649" s="115" t="s">
        <v>226</v>
      </c>
      <c r="B649" s="115"/>
      <c r="C649" s="115">
        <v>0.57799999999999996</v>
      </c>
      <c r="D649" s="115">
        <v>0.377</v>
      </c>
      <c r="E649" s="115">
        <v>0.52800000000000002</v>
      </c>
      <c r="F649" s="115">
        <v>0.52900000000000003</v>
      </c>
      <c r="G649" s="115">
        <v>0.66200000000000003</v>
      </c>
      <c r="H649" s="115">
        <v>0.82</v>
      </c>
      <c r="I649" s="115">
        <v>0.97199999999999998</v>
      </c>
      <c r="J649" s="115">
        <v>0.77100000000000002</v>
      </c>
      <c r="K649" s="115">
        <v>0.94599999999999995</v>
      </c>
      <c r="L649" s="115">
        <v>0.89800000000000002</v>
      </c>
      <c r="M649" s="115">
        <v>0.83299999999999996</v>
      </c>
      <c r="N649" s="115">
        <v>0.77700000000000002</v>
      </c>
      <c r="O649" s="115">
        <v>0.57999999999999996</v>
      </c>
      <c r="P649" s="115">
        <v>0.48899999999999999</v>
      </c>
      <c r="Q649" s="115">
        <v>0.441</v>
      </c>
      <c r="R649" s="115">
        <v>0.35</v>
      </c>
      <c r="S649" s="115">
        <v>0.432</v>
      </c>
      <c r="T649" s="115">
        <v>0.31900000000000001</v>
      </c>
      <c r="U649" s="115">
        <v>0.312</v>
      </c>
      <c r="V649" s="115">
        <v>0.28299999999999997</v>
      </c>
      <c r="W649" s="115">
        <v>0.154</v>
      </c>
      <c r="X649" s="115">
        <v>0.14699999999999999</v>
      </c>
      <c r="Y649" s="115">
        <v>0.16600000000000001</v>
      </c>
      <c r="Z649" s="115">
        <v>0.14299999999999999</v>
      </c>
      <c r="AA649" s="115">
        <v>0.14099999999999999</v>
      </c>
      <c r="AB649" s="115">
        <v>0.14099999999999999</v>
      </c>
      <c r="AC649" s="115">
        <v>0.13900000000000001</v>
      </c>
      <c r="AD649" s="43"/>
      <c r="AE649" s="43"/>
      <c r="AF649" s="43"/>
      <c r="AG649" s="43"/>
      <c r="AH649" s="43"/>
      <c r="AI649" s="43"/>
    </row>
    <row r="650" spans="1:35" x14ac:dyDescent="0.25">
      <c r="A650" s="115" t="s">
        <v>233</v>
      </c>
      <c r="B650" s="115"/>
      <c r="C650" s="115">
        <v>0.372</v>
      </c>
      <c r="D650" s="115">
        <v>0.29899999999999999</v>
      </c>
      <c r="E650" s="115">
        <v>0.28599999999999998</v>
      </c>
      <c r="F650" s="115">
        <v>0.33300000000000002</v>
      </c>
      <c r="G650" s="115">
        <v>0.32200000000000001</v>
      </c>
      <c r="H650" s="115">
        <v>0.309</v>
      </c>
      <c r="I650" s="115">
        <v>0.29799999999999999</v>
      </c>
      <c r="J650" s="115">
        <v>0.33900000000000002</v>
      </c>
      <c r="K650" s="115">
        <v>0.32700000000000001</v>
      </c>
      <c r="L650" s="115">
        <v>0.34200000000000003</v>
      </c>
      <c r="M650" s="115">
        <v>0.36</v>
      </c>
      <c r="N650" s="115">
        <v>0.376</v>
      </c>
      <c r="O650" s="115">
        <v>0.27500000000000002</v>
      </c>
      <c r="P650" s="115">
        <v>0.28999999999999998</v>
      </c>
      <c r="Q650" s="115">
        <v>0.29599999999999999</v>
      </c>
      <c r="R650" s="115">
        <v>0.26300000000000001</v>
      </c>
      <c r="S650" s="115">
        <v>0.38600000000000001</v>
      </c>
      <c r="T650" s="115">
        <v>0.25600000000000001</v>
      </c>
      <c r="U650" s="115">
        <v>0.25</v>
      </c>
      <c r="V650" s="115">
        <v>0.224</v>
      </c>
      <c r="W650" s="115">
        <v>0.11</v>
      </c>
      <c r="X650" s="115">
        <v>0.104</v>
      </c>
      <c r="Y650" s="115">
        <v>0.121</v>
      </c>
      <c r="Z650" s="115">
        <v>0.1</v>
      </c>
      <c r="AA650" s="115">
        <v>9.9000000000000005E-2</v>
      </c>
      <c r="AB650" s="115">
        <v>9.9000000000000005E-2</v>
      </c>
      <c r="AC650" s="115">
        <v>9.8000000000000004E-2</v>
      </c>
      <c r="AD650" s="43"/>
      <c r="AE650" s="43"/>
      <c r="AF650" s="43"/>
      <c r="AG650" s="43"/>
      <c r="AH650" s="43"/>
      <c r="AI650" s="43"/>
    </row>
    <row r="651" spans="1:35" x14ac:dyDescent="0.25">
      <c r="A651" s="115" t="s">
        <v>234</v>
      </c>
      <c r="B651" s="115"/>
      <c r="C651" s="115">
        <v>0.108</v>
      </c>
      <c r="D651" s="115">
        <v>0</v>
      </c>
      <c r="E651" s="115">
        <v>0.16900000000000001</v>
      </c>
      <c r="F651" s="115">
        <v>0.121</v>
      </c>
      <c r="G651" s="115">
        <v>0.26900000000000002</v>
      </c>
      <c r="H651" s="115">
        <v>0.443</v>
      </c>
      <c r="I651" s="115">
        <v>0.60899999999999999</v>
      </c>
      <c r="J651" s="115">
        <v>0.36599999999999999</v>
      </c>
      <c r="K651" s="115">
        <v>0.55500000000000005</v>
      </c>
      <c r="L651" s="115">
        <v>0.49099999999999999</v>
      </c>
      <c r="M651" s="115">
        <v>0.40899999999999997</v>
      </c>
      <c r="N651" s="115">
        <v>0.33700000000000002</v>
      </c>
      <c r="O651" s="115">
        <v>0.27100000000000002</v>
      </c>
      <c r="P651" s="115">
        <v>0.16400000000000001</v>
      </c>
      <c r="Q651" s="115">
        <v>0.109</v>
      </c>
      <c r="R651" s="115">
        <v>5.6000000000000001E-2</v>
      </c>
      <c r="S651" s="115">
        <v>0</v>
      </c>
      <c r="T651" s="115">
        <v>3.2000000000000001E-2</v>
      </c>
      <c r="U651" s="115">
        <v>3.1E-2</v>
      </c>
      <c r="V651" s="115">
        <v>3.1E-2</v>
      </c>
      <c r="W651" s="115">
        <v>3.1E-2</v>
      </c>
      <c r="X651" s="115">
        <v>0.03</v>
      </c>
      <c r="Y651" s="115">
        <v>0.03</v>
      </c>
      <c r="Z651" s="115">
        <v>0.03</v>
      </c>
      <c r="AA651" s="115">
        <v>0.03</v>
      </c>
      <c r="AB651" s="115">
        <v>0.03</v>
      </c>
      <c r="AC651" s="115">
        <v>2.8000000000000001E-2</v>
      </c>
      <c r="AD651" s="43"/>
      <c r="AE651" s="43"/>
      <c r="AF651" s="43"/>
      <c r="AG651" s="43"/>
      <c r="AH651" s="43"/>
      <c r="AI651" s="43"/>
    </row>
    <row r="652" spans="1:35" x14ac:dyDescent="0.25">
      <c r="A652" s="115" t="s">
        <v>235</v>
      </c>
      <c r="B652" s="115"/>
      <c r="C652" s="115">
        <v>2.4E-2</v>
      </c>
      <c r="D652" s="115">
        <v>3.5000000000000003E-2</v>
      </c>
      <c r="E652" s="115">
        <v>0.03</v>
      </c>
      <c r="F652" s="115">
        <v>2.8000000000000001E-2</v>
      </c>
      <c r="G652" s="115">
        <v>2.4E-2</v>
      </c>
      <c r="H652" s="115">
        <v>2.1000000000000001E-2</v>
      </c>
      <c r="I652" s="115">
        <v>1.7999999999999999E-2</v>
      </c>
      <c r="J652" s="115">
        <v>1.7999999999999999E-2</v>
      </c>
      <c r="K652" s="115">
        <v>1.6E-2</v>
      </c>
      <c r="L652" s="115">
        <v>1.4999999999999999E-2</v>
      </c>
      <c r="M652" s="115">
        <v>1.4E-2</v>
      </c>
      <c r="N652" s="115">
        <v>1.4E-2</v>
      </c>
      <c r="O652" s="115">
        <v>0</v>
      </c>
      <c r="P652" s="115">
        <v>0</v>
      </c>
      <c r="Q652" s="115">
        <v>0</v>
      </c>
      <c r="R652" s="115">
        <v>0</v>
      </c>
      <c r="S652" s="115">
        <v>0</v>
      </c>
      <c r="T652" s="115">
        <v>0</v>
      </c>
      <c r="U652" s="115">
        <v>0</v>
      </c>
      <c r="V652" s="115">
        <v>0</v>
      </c>
      <c r="W652" s="115">
        <v>0</v>
      </c>
      <c r="X652" s="115">
        <v>0</v>
      </c>
      <c r="Y652" s="115">
        <v>0</v>
      </c>
      <c r="Z652" s="115">
        <v>0</v>
      </c>
      <c r="AA652" s="115">
        <v>0</v>
      </c>
      <c r="AB652" s="115">
        <v>0</v>
      </c>
      <c r="AC652" s="115">
        <v>0</v>
      </c>
      <c r="AD652" s="43"/>
      <c r="AE652" s="43"/>
      <c r="AF652" s="43"/>
      <c r="AG652" s="43"/>
      <c r="AH652" s="43"/>
      <c r="AI652" s="43"/>
    </row>
    <row r="653" spans="1:35" x14ac:dyDescent="0.25">
      <c r="A653" s="115" t="s">
        <v>236</v>
      </c>
      <c r="B653" s="115"/>
      <c r="C653" s="115">
        <v>0</v>
      </c>
      <c r="D653" s="115">
        <v>0</v>
      </c>
      <c r="E653" s="115">
        <v>0</v>
      </c>
      <c r="F653" s="115">
        <v>0</v>
      </c>
      <c r="G653" s="115">
        <v>0</v>
      </c>
      <c r="H653" s="115">
        <v>0</v>
      </c>
      <c r="I653" s="115">
        <v>0</v>
      </c>
      <c r="J653" s="115">
        <v>0</v>
      </c>
      <c r="K653" s="115">
        <v>0</v>
      </c>
      <c r="L653" s="115">
        <v>0</v>
      </c>
      <c r="M653" s="115">
        <v>0</v>
      </c>
      <c r="N653" s="115">
        <v>0</v>
      </c>
      <c r="O653" s="115">
        <v>0</v>
      </c>
      <c r="P653" s="115">
        <v>0</v>
      </c>
      <c r="Q653" s="115">
        <v>0</v>
      </c>
      <c r="R653" s="115">
        <v>0</v>
      </c>
      <c r="S653" s="115">
        <v>0</v>
      </c>
      <c r="T653" s="115">
        <v>0</v>
      </c>
      <c r="U653" s="115">
        <v>0</v>
      </c>
      <c r="V653" s="115">
        <v>0</v>
      </c>
      <c r="W653" s="115">
        <v>0</v>
      </c>
      <c r="X653" s="115">
        <v>0</v>
      </c>
      <c r="Y653" s="115">
        <v>0</v>
      </c>
      <c r="Z653" s="115">
        <v>0</v>
      </c>
      <c r="AA653" s="115">
        <v>0</v>
      </c>
      <c r="AB653" s="115">
        <v>0</v>
      </c>
      <c r="AC653" s="115">
        <v>0</v>
      </c>
      <c r="AD653" s="43"/>
      <c r="AE653" s="43"/>
      <c r="AF653" s="43"/>
      <c r="AG653" s="43"/>
      <c r="AH653" s="43"/>
      <c r="AI653" s="43"/>
    </row>
    <row r="654" spans="1:35" x14ac:dyDescent="0.25">
      <c r="A654" s="115" t="s">
        <v>237</v>
      </c>
      <c r="B654" s="115"/>
      <c r="C654" s="115">
        <v>7.2999999999999995E-2</v>
      </c>
      <c r="D654" s="115">
        <v>4.3999999999999997E-2</v>
      </c>
      <c r="E654" s="115">
        <v>4.2999999999999997E-2</v>
      </c>
      <c r="F654" s="115">
        <v>4.7E-2</v>
      </c>
      <c r="G654" s="115">
        <v>4.7E-2</v>
      </c>
      <c r="H654" s="115">
        <v>4.7E-2</v>
      </c>
      <c r="I654" s="115">
        <v>4.7E-2</v>
      </c>
      <c r="J654" s="115">
        <v>4.8000000000000001E-2</v>
      </c>
      <c r="K654" s="115">
        <v>4.9000000000000002E-2</v>
      </c>
      <c r="L654" s="115">
        <v>4.9000000000000002E-2</v>
      </c>
      <c r="M654" s="115">
        <v>0.05</v>
      </c>
      <c r="N654" s="115">
        <v>5.0999999999999997E-2</v>
      </c>
      <c r="O654" s="115">
        <v>3.4000000000000002E-2</v>
      </c>
      <c r="P654" s="115">
        <v>3.5000000000000003E-2</v>
      </c>
      <c r="Q654" s="115">
        <v>3.5999999999999997E-2</v>
      </c>
      <c r="R654" s="115">
        <v>3.2000000000000001E-2</v>
      </c>
      <c r="S654" s="115">
        <v>4.5999999999999999E-2</v>
      </c>
      <c r="T654" s="115">
        <v>3.1E-2</v>
      </c>
      <c r="U654" s="115">
        <v>3.1E-2</v>
      </c>
      <c r="V654" s="115">
        <v>2.8000000000000001E-2</v>
      </c>
      <c r="W654" s="115">
        <v>1.4E-2</v>
      </c>
      <c r="X654" s="115">
        <v>1.2999999999999999E-2</v>
      </c>
      <c r="Y654" s="115">
        <v>1.6E-2</v>
      </c>
      <c r="Z654" s="115">
        <v>1.2999999999999999E-2</v>
      </c>
      <c r="AA654" s="115">
        <v>1.2999999999999999E-2</v>
      </c>
      <c r="AB654" s="115">
        <v>1.2999999999999999E-2</v>
      </c>
      <c r="AC654" s="115">
        <v>1.2999999999999999E-2</v>
      </c>
      <c r="AD654" s="43"/>
      <c r="AE654" s="43"/>
      <c r="AF654" s="43"/>
      <c r="AG654" s="43"/>
      <c r="AH654" s="43"/>
      <c r="AI654" s="43"/>
    </row>
    <row r="655" spans="1:35" x14ac:dyDescent="0.25">
      <c r="A655" s="115" t="s">
        <v>221</v>
      </c>
      <c r="B655" s="115"/>
      <c r="C655" s="115">
        <v>0.34</v>
      </c>
      <c r="D655" s="115">
        <v>0.19400000000000001</v>
      </c>
      <c r="E655" s="115">
        <v>0.27600000000000002</v>
      </c>
      <c r="F655" s="115">
        <v>0.30499999999999999</v>
      </c>
      <c r="G655" s="115">
        <v>0.27500000000000002</v>
      </c>
      <c r="H655" s="115">
        <v>0.24299999999999999</v>
      </c>
      <c r="I655" s="115">
        <v>0.30099999999999999</v>
      </c>
      <c r="J655" s="115">
        <v>0.39500000000000002</v>
      </c>
      <c r="K655" s="115">
        <v>0.372</v>
      </c>
      <c r="L655" s="115">
        <v>0.32800000000000001</v>
      </c>
      <c r="M655" s="115">
        <v>0.28899999999999998</v>
      </c>
      <c r="N655" s="115">
        <v>0.252</v>
      </c>
      <c r="O655" s="115">
        <v>0.25900000000000001</v>
      </c>
      <c r="P655" s="115">
        <v>0.32100000000000001</v>
      </c>
      <c r="Q655" s="115">
        <v>0.28699999999999998</v>
      </c>
      <c r="R655" s="115">
        <v>0.26300000000000001</v>
      </c>
      <c r="S655" s="115">
        <v>0.38800000000000001</v>
      </c>
      <c r="T655" s="115">
        <v>0.24</v>
      </c>
      <c r="U655" s="115">
        <v>0.22</v>
      </c>
      <c r="V655" s="115">
        <v>0.19</v>
      </c>
      <c r="W655" s="115">
        <v>0.18099999999999999</v>
      </c>
      <c r="X655" s="115">
        <v>0.16700000000000001</v>
      </c>
      <c r="Y655" s="115">
        <v>0.154</v>
      </c>
      <c r="Z655" s="115">
        <v>0.14199999999999999</v>
      </c>
      <c r="AA655" s="115">
        <v>0.13100000000000001</v>
      </c>
      <c r="AB655" s="115">
        <v>0.121</v>
      </c>
      <c r="AC655" s="115">
        <v>0.112</v>
      </c>
      <c r="AD655" s="43"/>
      <c r="AE655" s="43"/>
      <c r="AF655" s="43"/>
      <c r="AG655" s="43"/>
      <c r="AH655" s="43"/>
      <c r="AI655" s="43"/>
    </row>
    <row r="656" spans="1:35" x14ac:dyDescent="0.25">
      <c r="A656" s="115" t="s">
        <v>228</v>
      </c>
      <c r="B656" s="115"/>
      <c r="C656" s="115">
        <v>0.108</v>
      </c>
      <c r="D656" s="115">
        <v>0.06</v>
      </c>
      <c r="E656" s="115">
        <v>8.5000000000000006E-2</v>
      </c>
      <c r="F656" s="115">
        <v>7.9000000000000001E-2</v>
      </c>
      <c r="G656" s="115">
        <v>6.6000000000000003E-2</v>
      </c>
      <c r="H656" s="115">
        <v>5.5E-2</v>
      </c>
      <c r="I656" s="115">
        <v>7.1999999999999995E-2</v>
      </c>
      <c r="J656" s="115">
        <v>0.08</v>
      </c>
      <c r="K656" s="115">
        <v>7.2999999999999995E-2</v>
      </c>
      <c r="L656" s="115">
        <v>6.4000000000000001E-2</v>
      </c>
      <c r="M656" s="115">
        <v>5.7000000000000002E-2</v>
      </c>
      <c r="N656" s="115">
        <v>4.8000000000000001E-2</v>
      </c>
      <c r="O656" s="115">
        <v>4.8000000000000001E-2</v>
      </c>
      <c r="P656" s="115">
        <v>6.6000000000000003E-2</v>
      </c>
      <c r="Q656" s="115">
        <v>5.7000000000000002E-2</v>
      </c>
      <c r="R656" s="115">
        <v>0.05</v>
      </c>
      <c r="S656" s="115">
        <v>5.1999999999999998E-2</v>
      </c>
      <c r="T656" s="115">
        <v>4.5999999999999999E-2</v>
      </c>
      <c r="U656" s="115">
        <v>4.1000000000000002E-2</v>
      </c>
      <c r="V656" s="115">
        <v>3.4000000000000002E-2</v>
      </c>
      <c r="W656" s="115">
        <v>3.2000000000000001E-2</v>
      </c>
      <c r="X656" s="115">
        <v>0.03</v>
      </c>
      <c r="Y656" s="115">
        <v>2.8000000000000001E-2</v>
      </c>
      <c r="Z656" s="115">
        <v>2.5999999999999999E-2</v>
      </c>
      <c r="AA656" s="115">
        <v>2.4E-2</v>
      </c>
      <c r="AB656" s="115">
        <v>2.3E-2</v>
      </c>
      <c r="AC656" s="115">
        <v>2.1999999999999999E-2</v>
      </c>
      <c r="AD656" s="43"/>
      <c r="AE656" s="43"/>
      <c r="AF656" s="43"/>
      <c r="AG656" s="43"/>
      <c r="AH656" s="43"/>
      <c r="AI656" s="43"/>
    </row>
    <row r="657" spans="1:35" x14ac:dyDescent="0.25">
      <c r="A657" s="115" t="s">
        <v>229</v>
      </c>
      <c r="B657" s="115"/>
      <c r="C657" s="115">
        <v>4.0000000000000001E-3</v>
      </c>
      <c r="D657" s="115">
        <v>6.0000000000000001E-3</v>
      </c>
      <c r="E657" s="115">
        <v>8.0000000000000002E-3</v>
      </c>
      <c r="F657" s="115">
        <v>0.01</v>
      </c>
      <c r="G657" s="115">
        <v>1.4E-2</v>
      </c>
      <c r="H657" s="115">
        <v>1.6E-2</v>
      </c>
      <c r="I657" s="115">
        <v>1.7999999999999999E-2</v>
      </c>
      <c r="J657" s="115">
        <v>4.2000000000000003E-2</v>
      </c>
      <c r="K657" s="115">
        <v>4.2999999999999997E-2</v>
      </c>
      <c r="L657" s="115">
        <v>4.4999999999999998E-2</v>
      </c>
      <c r="M657" s="115">
        <v>4.4999999999999998E-2</v>
      </c>
      <c r="N657" s="115">
        <v>4.5999999999999999E-2</v>
      </c>
      <c r="O657" s="115">
        <v>5.6000000000000001E-2</v>
      </c>
      <c r="P657" s="115">
        <v>7.2999999999999995E-2</v>
      </c>
      <c r="Q657" s="115">
        <v>7.0999999999999994E-2</v>
      </c>
      <c r="R657" s="115">
        <v>7.1999999999999995E-2</v>
      </c>
      <c r="S657" s="115">
        <v>7.3999999999999996E-2</v>
      </c>
      <c r="T657" s="115">
        <v>7.0999999999999994E-2</v>
      </c>
      <c r="U657" s="115">
        <v>6.8000000000000005E-2</v>
      </c>
      <c r="V657" s="115">
        <v>0.06</v>
      </c>
      <c r="W657" s="115">
        <v>5.8999999999999997E-2</v>
      </c>
      <c r="X657" s="115">
        <v>5.5E-2</v>
      </c>
      <c r="Y657" s="115">
        <v>5.0999999999999997E-2</v>
      </c>
      <c r="Z657" s="115">
        <v>4.8000000000000001E-2</v>
      </c>
      <c r="AA657" s="115">
        <v>4.4999999999999998E-2</v>
      </c>
      <c r="AB657" s="115">
        <v>4.2000000000000003E-2</v>
      </c>
      <c r="AC657" s="115">
        <v>3.9E-2</v>
      </c>
      <c r="AD657" s="43"/>
      <c r="AE657" s="43"/>
      <c r="AF657" s="43"/>
      <c r="AG657" s="43"/>
      <c r="AH657" s="43"/>
      <c r="AI657" s="43"/>
    </row>
    <row r="658" spans="1:35" x14ac:dyDescent="0.25">
      <c r="A658" s="115" t="s">
        <v>230</v>
      </c>
      <c r="B658" s="115"/>
      <c r="C658" s="115">
        <v>0.108</v>
      </c>
      <c r="D658" s="115">
        <v>7.0000000000000007E-2</v>
      </c>
      <c r="E658" s="115">
        <v>0.111</v>
      </c>
      <c r="F658" s="115">
        <v>0.12</v>
      </c>
      <c r="G658" s="115">
        <v>0.11700000000000001</v>
      </c>
      <c r="H658" s="115">
        <v>0.107</v>
      </c>
      <c r="I658" s="115">
        <v>0.14000000000000001</v>
      </c>
      <c r="J658" s="115">
        <v>0.20100000000000001</v>
      </c>
      <c r="K658" s="115">
        <v>0.193</v>
      </c>
      <c r="L658" s="115">
        <v>0.17100000000000001</v>
      </c>
      <c r="M658" s="115">
        <v>0.152</v>
      </c>
      <c r="N658" s="115">
        <v>0.13400000000000001</v>
      </c>
      <c r="O658" s="115">
        <v>0.13200000000000001</v>
      </c>
      <c r="P658" s="115">
        <v>0.156</v>
      </c>
      <c r="Q658" s="115">
        <v>0.13300000000000001</v>
      </c>
      <c r="R658" s="115">
        <v>0.11700000000000001</v>
      </c>
      <c r="S658" s="115">
        <v>0.22900000000000001</v>
      </c>
      <c r="T658" s="115">
        <v>9.2999999999999999E-2</v>
      </c>
      <c r="U658" s="115">
        <v>8.3000000000000004E-2</v>
      </c>
      <c r="V658" s="115">
        <v>6.9000000000000006E-2</v>
      </c>
      <c r="W658" s="115">
        <v>6.4000000000000001E-2</v>
      </c>
      <c r="X658" s="115">
        <v>5.8000000000000003E-2</v>
      </c>
      <c r="Y658" s="115">
        <v>5.1999999999999998E-2</v>
      </c>
      <c r="Z658" s="115">
        <v>4.7E-2</v>
      </c>
      <c r="AA658" s="115">
        <v>4.2999999999999997E-2</v>
      </c>
      <c r="AB658" s="115">
        <v>3.7999999999999999E-2</v>
      </c>
      <c r="AC658" s="115">
        <v>3.4000000000000002E-2</v>
      </c>
      <c r="AD658" s="43"/>
      <c r="AE658" s="43"/>
      <c r="AF658" s="43"/>
      <c r="AG658" s="43"/>
      <c r="AH658" s="43"/>
      <c r="AI658" s="43"/>
    </row>
    <row r="659" spans="1:35" x14ac:dyDescent="0.25">
      <c r="A659" s="115" t="s">
        <v>231</v>
      </c>
      <c r="B659" s="115"/>
      <c r="C659" s="115">
        <v>0.10100000000000001</v>
      </c>
      <c r="D659" s="115">
        <v>4.7E-2</v>
      </c>
      <c r="E659" s="115">
        <v>5.3999999999999999E-2</v>
      </c>
      <c r="F659" s="115">
        <v>7.5999999999999998E-2</v>
      </c>
      <c r="G659" s="115">
        <v>6.2E-2</v>
      </c>
      <c r="H659" s="115">
        <v>4.9000000000000002E-2</v>
      </c>
      <c r="I659" s="115">
        <v>4.2000000000000003E-2</v>
      </c>
      <c r="J659" s="115">
        <v>4.2000000000000003E-2</v>
      </c>
      <c r="K659" s="115">
        <v>3.4000000000000002E-2</v>
      </c>
      <c r="L659" s="115">
        <v>2.1000000000000001E-2</v>
      </c>
      <c r="M659" s="115">
        <v>0.01</v>
      </c>
      <c r="N659" s="115">
        <v>1E-3</v>
      </c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43"/>
      <c r="AE659" s="43"/>
      <c r="AF659" s="43"/>
      <c r="AG659" s="43"/>
      <c r="AH659" s="43"/>
      <c r="AI659" s="43"/>
    </row>
    <row r="660" spans="1:35" x14ac:dyDescent="0.25">
      <c r="A660" s="115" t="s">
        <v>232</v>
      </c>
      <c r="B660" s="115"/>
      <c r="C660" s="115">
        <v>0.02</v>
      </c>
      <c r="D660" s="115">
        <v>1.0999999999999999E-2</v>
      </c>
      <c r="E660" s="115">
        <v>1.7999999999999999E-2</v>
      </c>
      <c r="F660" s="115">
        <v>1.9E-2</v>
      </c>
      <c r="G660" s="115">
        <v>1.7000000000000001E-2</v>
      </c>
      <c r="H660" s="115">
        <v>1.6E-2</v>
      </c>
      <c r="I660" s="115">
        <v>2.8000000000000001E-2</v>
      </c>
      <c r="J660" s="115">
        <v>0.03</v>
      </c>
      <c r="K660" s="115">
        <v>2.8000000000000001E-2</v>
      </c>
      <c r="L660" s="115">
        <v>2.7E-2</v>
      </c>
      <c r="M660" s="115">
        <v>2.5000000000000001E-2</v>
      </c>
      <c r="N660" s="115">
        <v>2.3E-2</v>
      </c>
      <c r="O660" s="115">
        <v>2.3E-2</v>
      </c>
      <c r="P660" s="115">
        <v>2.7E-2</v>
      </c>
      <c r="Q660" s="115">
        <v>2.5000000000000001E-2</v>
      </c>
      <c r="R660" s="115">
        <v>2.4E-2</v>
      </c>
      <c r="S660" s="115">
        <v>3.2000000000000001E-2</v>
      </c>
      <c r="T660" s="115">
        <v>0.03</v>
      </c>
      <c r="U660" s="115">
        <v>2.9000000000000001E-2</v>
      </c>
      <c r="V660" s="115">
        <v>2.7E-2</v>
      </c>
      <c r="W660" s="115">
        <v>2.5000000000000001E-2</v>
      </c>
      <c r="X660" s="115">
        <v>2.4E-2</v>
      </c>
      <c r="Y660" s="115">
        <v>2.1999999999999999E-2</v>
      </c>
      <c r="Z660" s="115">
        <v>2.1000000000000001E-2</v>
      </c>
      <c r="AA660" s="115">
        <v>0.02</v>
      </c>
      <c r="AB660" s="115">
        <v>1.7999999999999999E-2</v>
      </c>
      <c r="AC660" s="115">
        <v>1.7000000000000001E-2</v>
      </c>
      <c r="AD660" s="43"/>
      <c r="AE660" s="43"/>
      <c r="AF660" s="43"/>
      <c r="AG660" s="43"/>
      <c r="AH660" s="43"/>
      <c r="AI660" s="43"/>
    </row>
    <row r="661" spans="1:35" x14ac:dyDescent="0.25">
      <c r="A661" s="115" t="s">
        <v>1144</v>
      </c>
      <c r="B661" s="115"/>
      <c r="C661" s="115">
        <v>0.95499999999999996</v>
      </c>
      <c r="D661" s="115">
        <v>0.77400000000000002</v>
      </c>
      <c r="E661" s="115">
        <v>0.81899999999999995</v>
      </c>
      <c r="F661" s="115">
        <v>0.86</v>
      </c>
      <c r="G661" s="115">
        <v>0.80400000000000005</v>
      </c>
      <c r="H661" s="115">
        <v>0.73899999999999999</v>
      </c>
      <c r="I661" s="115">
        <v>0.76300000000000001</v>
      </c>
      <c r="J661" s="115">
        <v>0.873</v>
      </c>
      <c r="K661" s="115">
        <v>0.81699999999999995</v>
      </c>
      <c r="L661" s="115">
        <v>0.80600000000000005</v>
      </c>
      <c r="M661" s="115">
        <v>0.80800000000000005</v>
      </c>
      <c r="N661" s="115">
        <v>0.79500000000000004</v>
      </c>
      <c r="O661" s="115">
        <v>0.73099999999999998</v>
      </c>
      <c r="P661" s="115">
        <v>0.84899999999999998</v>
      </c>
      <c r="Q661" s="115">
        <v>0.83499999999999996</v>
      </c>
      <c r="R661" s="115">
        <v>0.77700000000000002</v>
      </c>
      <c r="S661" s="115">
        <v>1.0049999999999999</v>
      </c>
      <c r="T661" s="115">
        <v>0.81699999999999995</v>
      </c>
      <c r="U661" s="115">
        <v>0.79500000000000004</v>
      </c>
      <c r="V661" s="115">
        <v>0.72099999999999997</v>
      </c>
      <c r="W661" s="115">
        <v>0.83799999999999997</v>
      </c>
      <c r="X661" s="115">
        <v>0.751</v>
      </c>
      <c r="Y661" s="115">
        <v>0.76500000000000001</v>
      </c>
      <c r="Z661" s="115">
        <v>0.73899999999999999</v>
      </c>
      <c r="AA661" s="115">
        <v>0.72699999999999998</v>
      </c>
      <c r="AB661" s="115">
        <v>0.71599999999999997</v>
      </c>
      <c r="AC661" s="115">
        <v>0.70499999999999996</v>
      </c>
      <c r="AD661" s="43"/>
      <c r="AE661" s="43"/>
      <c r="AF661" s="43"/>
      <c r="AG661" s="43"/>
      <c r="AH661" s="43"/>
      <c r="AI661" s="43"/>
    </row>
    <row r="662" spans="1:35" x14ac:dyDescent="0.25">
      <c r="A662" s="115" t="s">
        <v>1141</v>
      </c>
      <c r="B662" s="115"/>
      <c r="C662" s="115">
        <v>2408.6390000000001</v>
      </c>
      <c r="D662" s="115">
        <v>2239.1999999999998</v>
      </c>
      <c r="E662" s="115">
        <v>2424.4070000000002</v>
      </c>
      <c r="F662" s="115">
        <v>2469.5160000000001</v>
      </c>
      <c r="G662" s="115">
        <v>2478.0230000000001</v>
      </c>
      <c r="H662" s="115">
        <v>2452.7469999999998</v>
      </c>
      <c r="I662" s="115">
        <v>2495.2950000000001</v>
      </c>
      <c r="J662" s="115">
        <v>2716.5749999999998</v>
      </c>
      <c r="K662" s="115">
        <v>2661.049</v>
      </c>
      <c r="L662" s="115">
        <v>2631.1080000000002</v>
      </c>
      <c r="M662" s="115">
        <v>2643.1030000000001</v>
      </c>
      <c r="N662" s="115">
        <v>2606.1320000000001</v>
      </c>
      <c r="O662" s="115">
        <v>2355.701</v>
      </c>
      <c r="P662" s="115">
        <v>2776.498</v>
      </c>
      <c r="Q662" s="115">
        <v>2712.5360000000001</v>
      </c>
      <c r="R662" s="115">
        <v>2512.8119999999999</v>
      </c>
      <c r="S662" s="115">
        <v>2915.297</v>
      </c>
      <c r="T662" s="115">
        <v>2610.154</v>
      </c>
      <c r="U662" s="115">
        <v>2548.6309999999999</v>
      </c>
      <c r="V662" s="115">
        <v>2315.0419999999999</v>
      </c>
      <c r="W662" s="115">
        <v>2644.64</v>
      </c>
      <c r="X662" s="115">
        <v>2330.7950000000001</v>
      </c>
      <c r="Y662" s="115">
        <v>2525.2399999999998</v>
      </c>
      <c r="Z662" s="115">
        <v>2373.9720000000002</v>
      </c>
      <c r="AA662" s="115">
        <v>2446.471</v>
      </c>
      <c r="AB662" s="115">
        <v>2540.2069999999999</v>
      </c>
      <c r="AC662" s="115">
        <v>2621.2220000000002</v>
      </c>
      <c r="AD662" s="43"/>
      <c r="AE662" s="43"/>
      <c r="AF662" s="43"/>
      <c r="AG662" s="43"/>
      <c r="AH662" s="43"/>
      <c r="AI662" s="43"/>
    </row>
    <row r="663" spans="1:35" x14ac:dyDescent="0.25">
      <c r="A663" s="115" t="s">
        <v>1025</v>
      </c>
      <c r="B663" s="115"/>
      <c r="C663" s="115">
        <v>0.64</v>
      </c>
      <c r="D663" s="115">
        <v>0.59699999999999998</v>
      </c>
      <c r="E663" s="115">
        <v>0.55100000000000005</v>
      </c>
      <c r="F663" s="115">
        <v>0.56799999999999995</v>
      </c>
      <c r="G663" s="115">
        <v>0.53200000000000003</v>
      </c>
      <c r="H663" s="115">
        <v>0.49099999999999999</v>
      </c>
      <c r="I663" s="115">
        <v>0.45400000000000001</v>
      </c>
      <c r="J663" s="115">
        <v>0.50800000000000001</v>
      </c>
      <c r="K663" s="115">
        <v>0.46700000000000003</v>
      </c>
      <c r="L663" s="115">
        <v>0.48</v>
      </c>
      <c r="M663" s="115">
        <v>0.495</v>
      </c>
      <c r="N663" s="115">
        <v>0.50900000000000001</v>
      </c>
      <c r="O663" s="115">
        <v>0.441</v>
      </c>
      <c r="P663" s="115">
        <v>0.46400000000000002</v>
      </c>
      <c r="Q663" s="115">
        <v>0.47499999999999998</v>
      </c>
      <c r="R663" s="115">
        <v>0.432</v>
      </c>
      <c r="S663" s="115">
        <v>0.49099999999999999</v>
      </c>
      <c r="T663" s="115">
        <v>0.442</v>
      </c>
      <c r="U663" s="115">
        <v>0.438</v>
      </c>
      <c r="V663" s="115">
        <v>0.40699999999999997</v>
      </c>
      <c r="W663" s="115">
        <v>0.52700000000000002</v>
      </c>
      <c r="X663" s="115">
        <v>0.45300000000000001</v>
      </c>
      <c r="Y663" s="115">
        <v>0.48</v>
      </c>
      <c r="Z663" s="115">
        <v>0.46700000000000003</v>
      </c>
      <c r="AA663" s="115">
        <v>0.46600000000000003</v>
      </c>
      <c r="AB663" s="115">
        <v>0.46600000000000003</v>
      </c>
      <c r="AC663" s="115">
        <v>0.46400000000000002</v>
      </c>
      <c r="AD663" s="43"/>
      <c r="AE663" s="43"/>
      <c r="AF663" s="43"/>
      <c r="AG663" s="43"/>
      <c r="AH663" s="43"/>
      <c r="AI663" s="43"/>
    </row>
    <row r="664" spans="1:35" x14ac:dyDescent="0.25">
      <c r="A664" s="115" t="s">
        <v>1023</v>
      </c>
      <c r="B664" s="115"/>
      <c r="C664" s="115">
        <v>1807.7809999999999</v>
      </c>
      <c r="D664" s="115">
        <v>1803.9849999999999</v>
      </c>
      <c r="E664" s="115">
        <v>1800.184</v>
      </c>
      <c r="F664" s="115">
        <v>1796.364</v>
      </c>
      <c r="G664" s="115">
        <v>1792.5319999999999</v>
      </c>
      <c r="H664" s="115">
        <v>1788.694</v>
      </c>
      <c r="I664" s="115">
        <v>1784.8589999999999</v>
      </c>
      <c r="J664" s="115">
        <v>1782.0440000000001</v>
      </c>
      <c r="K664" s="115">
        <v>1780.3489999999999</v>
      </c>
      <c r="L664" s="115">
        <v>1778.3969999999999</v>
      </c>
      <c r="M664" s="115">
        <v>1776.2170000000001</v>
      </c>
      <c r="N664" s="115">
        <v>1774.856</v>
      </c>
      <c r="O664" s="115">
        <v>1527.6389999999999</v>
      </c>
      <c r="P664" s="115">
        <v>1526.558</v>
      </c>
      <c r="Q664" s="115">
        <v>1525.3510000000001</v>
      </c>
      <c r="R664" s="115">
        <v>1348.5229999999999</v>
      </c>
      <c r="S664" s="115">
        <v>1503.8879999999999</v>
      </c>
      <c r="T664" s="115">
        <v>1369.671</v>
      </c>
      <c r="U664" s="115">
        <v>1360.83</v>
      </c>
      <c r="V664" s="115">
        <v>1257.5429999999999</v>
      </c>
      <c r="W664" s="115">
        <v>1584.712</v>
      </c>
      <c r="X664" s="115">
        <v>1321.58</v>
      </c>
      <c r="Y664" s="115">
        <v>1563.2270000000001</v>
      </c>
      <c r="Z664" s="115">
        <v>1456.345</v>
      </c>
      <c r="AA664" s="115">
        <v>1569.6289999999999</v>
      </c>
      <c r="AB664" s="115">
        <v>1701.7059999999999</v>
      </c>
      <c r="AC664" s="115">
        <v>1817.36</v>
      </c>
      <c r="AD664" s="43"/>
      <c r="AE664" s="43"/>
      <c r="AF664" s="43"/>
      <c r="AG664" s="43"/>
      <c r="AH664" s="43"/>
      <c r="AI664" s="43"/>
    </row>
    <row r="665" spans="1:35" x14ac:dyDescent="0.25">
      <c r="A665" s="115" t="s">
        <v>1018</v>
      </c>
      <c r="B665" s="115"/>
      <c r="C665" s="115">
        <v>136.89699999999999</v>
      </c>
      <c r="D665" s="115">
        <v>136.96700000000001</v>
      </c>
      <c r="E665" s="115">
        <v>137.52099999999999</v>
      </c>
      <c r="F665" s="115">
        <v>138.37799999999999</v>
      </c>
      <c r="G665" s="115">
        <v>139.22900000000001</v>
      </c>
      <c r="H665" s="115">
        <v>140.28399999999999</v>
      </c>
      <c r="I665" s="115">
        <v>141.56100000000001</v>
      </c>
      <c r="J665" s="115">
        <v>143.18100000000001</v>
      </c>
      <c r="K665" s="115">
        <v>144.72300000000001</v>
      </c>
      <c r="L665" s="115">
        <v>146.535</v>
      </c>
      <c r="M665" s="115">
        <v>148.38900000000001</v>
      </c>
      <c r="N665" s="115">
        <v>150.35400000000001</v>
      </c>
      <c r="O665" s="115">
        <v>126.20699999999999</v>
      </c>
      <c r="P665" s="115">
        <v>127.66</v>
      </c>
      <c r="Q665" s="115">
        <v>129.07300000000001</v>
      </c>
      <c r="R665" s="115">
        <v>116.71</v>
      </c>
      <c r="S665" s="115">
        <v>130.08199999999999</v>
      </c>
      <c r="T665" s="115">
        <v>120.59099999999999</v>
      </c>
      <c r="U665" s="115">
        <v>120.968</v>
      </c>
      <c r="V665" s="115">
        <v>113.741</v>
      </c>
      <c r="W665" s="115">
        <v>121.104</v>
      </c>
      <c r="X665" s="115">
        <v>104.724</v>
      </c>
      <c r="Y665" s="115">
        <v>117.81100000000001</v>
      </c>
      <c r="Z665" s="115">
        <v>110.801</v>
      </c>
      <c r="AA665" s="115">
        <v>114.85</v>
      </c>
      <c r="AB665" s="115">
        <v>119.663</v>
      </c>
      <c r="AC665" s="115">
        <v>123.446</v>
      </c>
      <c r="AD665" s="43"/>
      <c r="AE665" s="43"/>
      <c r="AF665" s="43"/>
      <c r="AG665" s="43"/>
      <c r="AH665" s="43"/>
      <c r="AI665" s="43"/>
    </row>
    <row r="666" spans="1:35" x14ac:dyDescent="0.25">
      <c r="A666" s="115" t="s">
        <v>1019</v>
      </c>
      <c r="B666" s="115"/>
      <c r="C666" s="115">
        <v>199.01900000000001</v>
      </c>
      <c r="D666" s="115">
        <v>198.934</v>
      </c>
      <c r="E666" s="115">
        <v>199.22499999999999</v>
      </c>
      <c r="F666" s="115">
        <v>199.88900000000001</v>
      </c>
      <c r="G666" s="115">
        <v>200.34100000000001</v>
      </c>
      <c r="H666" s="115">
        <v>201.07599999999999</v>
      </c>
      <c r="I666" s="115">
        <v>202.155</v>
      </c>
      <c r="J666" s="115">
        <v>203.762</v>
      </c>
      <c r="K666" s="115">
        <v>204.96299999999999</v>
      </c>
      <c r="L666" s="115">
        <v>206.56</v>
      </c>
      <c r="M666" s="115">
        <v>208.02199999999999</v>
      </c>
      <c r="N666" s="115">
        <v>209.40899999999999</v>
      </c>
      <c r="O666" s="115">
        <v>172.53</v>
      </c>
      <c r="P666" s="115">
        <v>173.15</v>
      </c>
      <c r="Q666" s="115">
        <v>173.46</v>
      </c>
      <c r="R666" s="115">
        <v>155.66300000000001</v>
      </c>
      <c r="S666" s="115">
        <v>171.43600000000001</v>
      </c>
      <c r="T666" s="115">
        <v>157.38</v>
      </c>
      <c r="U666" s="115">
        <v>156.13399999999999</v>
      </c>
      <c r="V666" s="115">
        <v>145.34800000000001</v>
      </c>
      <c r="W666" s="115">
        <v>178.209</v>
      </c>
      <c r="X666" s="115">
        <v>154.69399999999999</v>
      </c>
      <c r="Y666" s="115">
        <v>169.21199999999999</v>
      </c>
      <c r="Z666" s="115">
        <v>162.33099999999999</v>
      </c>
      <c r="AA666" s="115">
        <v>166.066</v>
      </c>
      <c r="AB666" s="115">
        <v>170.56700000000001</v>
      </c>
      <c r="AC666" s="115">
        <v>173.875</v>
      </c>
      <c r="AD666" s="43"/>
      <c r="AE666" s="43"/>
      <c r="AF666" s="43"/>
      <c r="AG666" s="43"/>
      <c r="AH666" s="43"/>
      <c r="AI666" s="43"/>
    </row>
    <row r="667" spans="1:35" x14ac:dyDescent="0.25">
      <c r="A667" s="115" t="s">
        <v>1020</v>
      </c>
      <c r="B667" s="115"/>
      <c r="C667" s="115">
        <v>266.392</v>
      </c>
      <c r="D667" s="115">
        <v>265.69600000000003</v>
      </c>
      <c r="E667" s="115">
        <v>265.00599999999997</v>
      </c>
      <c r="F667" s="115">
        <v>264.798</v>
      </c>
      <c r="G667" s="115">
        <v>264.154</v>
      </c>
      <c r="H667" s="115">
        <v>263.84500000000003</v>
      </c>
      <c r="I667" s="115">
        <v>263.91800000000001</v>
      </c>
      <c r="J667" s="115">
        <v>264.553</v>
      </c>
      <c r="K667" s="115">
        <v>264.50599999999997</v>
      </c>
      <c r="L667" s="115">
        <v>264.84500000000003</v>
      </c>
      <c r="M667" s="115">
        <v>264.86</v>
      </c>
      <c r="N667" s="115">
        <v>264.63499999999999</v>
      </c>
      <c r="O667" s="115">
        <v>218.39699999999999</v>
      </c>
      <c r="P667" s="115">
        <v>217.452</v>
      </c>
      <c r="Q667" s="115">
        <v>215.994</v>
      </c>
      <c r="R667" s="115">
        <v>192.99199999999999</v>
      </c>
      <c r="S667" s="115">
        <v>210.04499999999999</v>
      </c>
      <c r="T667" s="115">
        <v>191.88</v>
      </c>
      <c r="U667" s="115">
        <v>188.994</v>
      </c>
      <c r="V667" s="115">
        <v>175.185</v>
      </c>
      <c r="W667" s="115">
        <v>240.98500000000001</v>
      </c>
      <c r="X667" s="115">
        <v>207.87700000000001</v>
      </c>
      <c r="Y667" s="115">
        <v>225.673</v>
      </c>
      <c r="Z667" s="115">
        <v>218.999</v>
      </c>
      <c r="AA667" s="115">
        <v>224.22800000000001</v>
      </c>
      <c r="AB667" s="115">
        <v>230.459</v>
      </c>
      <c r="AC667" s="115">
        <v>235.25299999999999</v>
      </c>
      <c r="AD667" s="43"/>
      <c r="AE667" s="43"/>
      <c r="AF667" s="43"/>
      <c r="AG667" s="43"/>
      <c r="AH667" s="43"/>
      <c r="AI667" s="43"/>
    </row>
    <row r="668" spans="1:35" x14ac:dyDescent="0.25">
      <c r="A668" s="115" t="s">
        <v>1021</v>
      </c>
      <c r="B668" s="115"/>
      <c r="C668" s="115">
        <v>345.86500000000001</v>
      </c>
      <c r="D668" s="115">
        <v>344.84</v>
      </c>
      <c r="E668" s="115">
        <v>343.76499999999999</v>
      </c>
      <c r="F668" s="115">
        <v>343.27800000000002</v>
      </c>
      <c r="G668" s="115">
        <v>342.38099999999997</v>
      </c>
      <c r="H668" s="115">
        <v>341.84800000000001</v>
      </c>
      <c r="I668" s="115">
        <v>341.68900000000002</v>
      </c>
      <c r="J668" s="115">
        <v>342.07900000000001</v>
      </c>
      <c r="K668" s="115">
        <v>341.86799999999999</v>
      </c>
      <c r="L668" s="115">
        <v>342.01499999999999</v>
      </c>
      <c r="M668" s="115">
        <v>341.84699999999998</v>
      </c>
      <c r="N668" s="115">
        <v>341.50900000000001</v>
      </c>
      <c r="O668" s="115">
        <v>289.13900000000001</v>
      </c>
      <c r="P668" s="115">
        <v>288.25400000000002</v>
      </c>
      <c r="Q668" s="115">
        <v>286.87099999999998</v>
      </c>
      <c r="R668" s="115">
        <v>255.20500000000001</v>
      </c>
      <c r="S668" s="115">
        <v>280.17099999999999</v>
      </c>
      <c r="T668" s="115">
        <v>255.50899999999999</v>
      </c>
      <c r="U668" s="115">
        <v>252.35599999999999</v>
      </c>
      <c r="V668" s="115">
        <v>233.56899999999999</v>
      </c>
      <c r="W668" s="115">
        <v>311.03500000000003</v>
      </c>
      <c r="X668" s="115">
        <v>265.572</v>
      </c>
      <c r="Y668" s="115">
        <v>295.99400000000003</v>
      </c>
      <c r="Z668" s="115">
        <v>283.62599999999998</v>
      </c>
      <c r="AA668" s="115">
        <v>294.95299999999997</v>
      </c>
      <c r="AB668" s="115">
        <v>308.23899999999998</v>
      </c>
      <c r="AC668" s="115">
        <v>319.21100000000001</v>
      </c>
      <c r="AD668" s="43"/>
      <c r="AE668" s="43"/>
      <c r="AF668" s="43"/>
      <c r="AG668" s="43"/>
      <c r="AH668" s="43"/>
      <c r="AI668" s="43"/>
    </row>
    <row r="669" spans="1:35" x14ac:dyDescent="0.25">
      <c r="A669" s="115" t="s">
        <v>1022</v>
      </c>
      <c r="B669" s="115"/>
      <c r="C669" s="115">
        <v>859.60799999999995</v>
      </c>
      <c r="D669" s="115">
        <v>857.548</v>
      </c>
      <c r="E669" s="115">
        <v>854.66700000000003</v>
      </c>
      <c r="F669" s="115">
        <v>850.02099999999996</v>
      </c>
      <c r="G669" s="115">
        <v>846.42700000000002</v>
      </c>
      <c r="H669" s="115">
        <v>841.64200000000005</v>
      </c>
      <c r="I669" s="115">
        <v>835.53700000000003</v>
      </c>
      <c r="J669" s="115">
        <v>828.47</v>
      </c>
      <c r="K669" s="115">
        <v>824.29</v>
      </c>
      <c r="L669" s="115">
        <v>818.44200000000001</v>
      </c>
      <c r="M669" s="115">
        <v>813.09900000000005</v>
      </c>
      <c r="N669" s="115">
        <v>808.94899999999996</v>
      </c>
      <c r="O669" s="115">
        <v>721.36599999999999</v>
      </c>
      <c r="P669" s="115">
        <v>720.04200000000003</v>
      </c>
      <c r="Q669" s="115">
        <v>719.952</v>
      </c>
      <c r="R669" s="115">
        <v>627.95399999999995</v>
      </c>
      <c r="S669" s="115">
        <v>712.154</v>
      </c>
      <c r="T669" s="115">
        <v>644.31100000000004</v>
      </c>
      <c r="U669" s="115">
        <v>642.37699999999995</v>
      </c>
      <c r="V669" s="115">
        <v>589.70100000000002</v>
      </c>
      <c r="W669" s="115">
        <v>733.38</v>
      </c>
      <c r="X669" s="115">
        <v>588.71299999999997</v>
      </c>
      <c r="Y669" s="115">
        <v>754.53700000000003</v>
      </c>
      <c r="Z669" s="115">
        <v>680.58799999999997</v>
      </c>
      <c r="AA669" s="115">
        <v>769.53099999999995</v>
      </c>
      <c r="AB669" s="115">
        <v>872.77800000000002</v>
      </c>
      <c r="AC669" s="115">
        <v>965.57500000000005</v>
      </c>
      <c r="AD669" s="43"/>
      <c r="AE669" s="43"/>
      <c r="AF669" s="43"/>
      <c r="AG669" s="43"/>
      <c r="AH669" s="43"/>
      <c r="AI669" s="43"/>
    </row>
    <row r="670" spans="1:35" x14ac:dyDescent="0.25">
      <c r="A670" s="115" t="s">
        <v>1016</v>
      </c>
      <c r="B670" s="115"/>
      <c r="C670" s="115">
        <v>813.56100000000004</v>
      </c>
      <c r="D670" s="115">
        <v>811.82299999999998</v>
      </c>
      <c r="E670" s="115">
        <v>810.15300000000002</v>
      </c>
      <c r="F670" s="115">
        <v>805.06200000000001</v>
      </c>
      <c r="G670" s="115">
        <v>802.17399999999998</v>
      </c>
      <c r="H670" s="115">
        <v>796.29700000000003</v>
      </c>
      <c r="I670" s="115">
        <v>786.40800000000002</v>
      </c>
      <c r="J670" s="115">
        <v>772.23299999999995</v>
      </c>
      <c r="K670" s="115">
        <v>764.91499999999996</v>
      </c>
      <c r="L670" s="115">
        <v>752.58699999999999</v>
      </c>
      <c r="M670" s="115">
        <v>741.779</v>
      </c>
      <c r="N670" s="115">
        <v>733.74800000000005</v>
      </c>
      <c r="O670" s="115">
        <v>679.47799999999995</v>
      </c>
      <c r="P670" s="115">
        <v>677.46400000000006</v>
      </c>
      <c r="Q670" s="115">
        <v>679.24800000000005</v>
      </c>
      <c r="R670" s="115">
        <v>593.45399999999995</v>
      </c>
      <c r="S670" s="115">
        <v>678.851</v>
      </c>
      <c r="T670" s="115">
        <v>618.39499999999998</v>
      </c>
      <c r="U670" s="115">
        <v>621.00400000000002</v>
      </c>
      <c r="V670" s="115">
        <v>572.95699999999999</v>
      </c>
      <c r="W670" s="115">
        <v>649.04</v>
      </c>
      <c r="X670" s="115">
        <v>487.036</v>
      </c>
      <c r="Y670" s="115">
        <v>711.10599999999999</v>
      </c>
      <c r="Z670" s="115">
        <v>610.88699999999994</v>
      </c>
      <c r="AA670" s="115">
        <v>744.327</v>
      </c>
      <c r="AB670" s="115">
        <v>897.99400000000003</v>
      </c>
      <c r="AC670" s="115">
        <v>1037.1089999999999</v>
      </c>
      <c r="AD670" s="43"/>
      <c r="AE670" s="43"/>
      <c r="AF670" s="43"/>
      <c r="AG670" s="43"/>
      <c r="AH670" s="43"/>
      <c r="AI670" s="43"/>
    </row>
    <row r="671" spans="1:35" x14ac:dyDescent="0.25">
      <c r="A671" s="115" t="s">
        <v>1017</v>
      </c>
      <c r="B671" s="115"/>
      <c r="C671" s="115">
        <v>994.22</v>
      </c>
      <c r="D671" s="115">
        <v>992.16200000000003</v>
      </c>
      <c r="E671" s="115">
        <v>990.03099999999995</v>
      </c>
      <c r="F671" s="115">
        <v>991.30200000000002</v>
      </c>
      <c r="G671" s="115">
        <v>990.35799999999995</v>
      </c>
      <c r="H671" s="115">
        <v>992.39700000000005</v>
      </c>
      <c r="I671" s="115">
        <v>998.45100000000002</v>
      </c>
      <c r="J671" s="115">
        <v>1009.811</v>
      </c>
      <c r="K671" s="115">
        <v>1015.434</v>
      </c>
      <c r="L671" s="115">
        <v>1025.81</v>
      </c>
      <c r="M671" s="115">
        <v>1034.4380000000001</v>
      </c>
      <c r="N671" s="115">
        <v>1041.1089999999999</v>
      </c>
      <c r="O671" s="115">
        <v>848.16099999999994</v>
      </c>
      <c r="P671" s="115">
        <v>849.09400000000005</v>
      </c>
      <c r="Q671" s="115">
        <v>846.10299999999995</v>
      </c>
      <c r="R671" s="115">
        <v>755.06899999999996</v>
      </c>
      <c r="S671" s="115">
        <v>825.03599999999994</v>
      </c>
      <c r="T671" s="115">
        <v>751.27700000000004</v>
      </c>
      <c r="U671" s="115">
        <v>739.82600000000002</v>
      </c>
      <c r="V671" s="115">
        <v>684.58699999999999</v>
      </c>
      <c r="W671" s="115">
        <v>935.67200000000003</v>
      </c>
      <c r="X671" s="115">
        <v>834.54399999999998</v>
      </c>
      <c r="Y671" s="115">
        <v>852.12099999999998</v>
      </c>
      <c r="Z671" s="115">
        <v>845.45799999999997</v>
      </c>
      <c r="AA671" s="115">
        <v>825.30200000000002</v>
      </c>
      <c r="AB671" s="115">
        <v>803.71100000000001</v>
      </c>
      <c r="AC671" s="115">
        <v>780.25099999999998</v>
      </c>
      <c r="AD671" s="43"/>
      <c r="AE671" s="43"/>
      <c r="AF671" s="43"/>
      <c r="AG671" s="43"/>
      <c r="AH671" s="43"/>
      <c r="AI671" s="43"/>
    </row>
    <row r="672" spans="1:35" x14ac:dyDescent="0.25">
      <c r="A672" s="115" t="s">
        <v>1061</v>
      </c>
      <c r="B672" s="115"/>
      <c r="C672" s="115">
        <v>0.314</v>
      </c>
      <c r="D672" s="115">
        <v>0.17599999999999999</v>
      </c>
      <c r="E672" s="115">
        <v>0.26800000000000002</v>
      </c>
      <c r="F672" s="115">
        <v>0.29099999999999998</v>
      </c>
      <c r="G672" s="115">
        <v>0.27200000000000002</v>
      </c>
      <c r="H672" s="115">
        <v>0.248</v>
      </c>
      <c r="I672" s="115">
        <v>0.309</v>
      </c>
      <c r="J672" s="115">
        <v>0.36499999999999999</v>
      </c>
      <c r="K672" s="115">
        <v>0.35</v>
      </c>
      <c r="L672" s="115">
        <v>0.32600000000000001</v>
      </c>
      <c r="M672" s="115">
        <v>0.313</v>
      </c>
      <c r="N672" s="115">
        <v>0.28599999999999998</v>
      </c>
      <c r="O672" s="115">
        <v>0.28999999999999998</v>
      </c>
      <c r="P672" s="115">
        <v>0.38500000000000001</v>
      </c>
      <c r="Q672" s="115">
        <v>0.36099999999999999</v>
      </c>
      <c r="R672" s="115">
        <v>0.34499999999999997</v>
      </c>
      <c r="S672" s="115">
        <v>0.51500000000000001</v>
      </c>
      <c r="T672" s="115">
        <v>0.376</v>
      </c>
      <c r="U672" s="115">
        <v>0.35699999999999998</v>
      </c>
      <c r="V672" s="115">
        <v>0.315</v>
      </c>
      <c r="W672" s="115">
        <v>0.312</v>
      </c>
      <c r="X672" s="115">
        <v>0.29799999999999999</v>
      </c>
      <c r="Y672" s="115">
        <v>0.28499999999999998</v>
      </c>
      <c r="Z672" s="115">
        <v>0.27200000000000002</v>
      </c>
      <c r="AA672" s="115">
        <v>0.26100000000000001</v>
      </c>
      <c r="AB672" s="115">
        <v>0.25</v>
      </c>
      <c r="AC672" s="115">
        <v>0.24099999999999999</v>
      </c>
      <c r="AD672" s="43"/>
      <c r="AE672" s="43"/>
      <c r="AF672" s="43"/>
      <c r="AG672" s="43"/>
      <c r="AH672" s="43"/>
      <c r="AI672" s="43"/>
    </row>
    <row r="673" spans="1:35" x14ac:dyDescent="0.25">
      <c r="A673" s="115" t="s">
        <v>1058</v>
      </c>
      <c r="B673" s="115"/>
      <c r="C673" s="115">
        <v>600.85699999999997</v>
      </c>
      <c r="D673" s="115">
        <v>435.21600000000001</v>
      </c>
      <c r="E673" s="115">
        <v>624.22199999999998</v>
      </c>
      <c r="F673" s="115">
        <v>673.15200000000004</v>
      </c>
      <c r="G673" s="115">
        <v>685.49099999999999</v>
      </c>
      <c r="H673" s="115">
        <v>664.053</v>
      </c>
      <c r="I673" s="115">
        <v>710.43600000000004</v>
      </c>
      <c r="J673" s="115">
        <v>934.53099999999995</v>
      </c>
      <c r="K673" s="115">
        <v>880.7</v>
      </c>
      <c r="L673" s="115">
        <v>852.71100000000001</v>
      </c>
      <c r="M673" s="115">
        <v>866.88699999999994</v>
      </c>
      <c r="N673" s="115">
        <v>831.27499999999998</v>
      </c>
      <c r="O673" s="115">
        <v>828.06100000000004</v>
      </c>
      <c r="P673" s="115">
        <v>1249.94</v>
      </c>
      <c r="Q673" s="115">
        <v>1187.1849999999999</v>
      </c>
      <c r="R673" s="115">
        <v>1164.289</v>
      </c>
      <c r="S673" s="115">
        <v>1411.4090000000001</v>
      </c>
      <c r="T673" s="115">
        <v>1240.482</v>
      </c>
      <c r="U673" s="115">
        <v>1187.8009999999999</v>
      </c>
      <c r="V673" s="115">
        <v>1057.498</v>
      </c>
      <c r="W673" s="115">
        <v>1059.9280000000001</v>
      </c>
      <c r="X673" s="115">
        <v>1009.215</v>
      </c>
      <c r="Y673" s="115">
        <v>962.01300000000003</v>
      </c>
      <c r="Z673" s="115">
        <v>917.62599999999998</v>
      </c>
      <c r="AA673" s="115">
        <v>876.84199999999998</v>
      </c>
      <c r="AB673" s="115">
        <v>838.50099999999998</v>
      </c>
      <c r="AC673" s="115">
        <v>803.86300000000006</v>
      </c>
      <c r="AD673" s="43"/>
      <c r="AE673" s="43"/>
      <c r="AF673" s="43"/>
      <c r="AG673" s="43"/>
      <c r="AH673" s="43"/>
      <c r="AI673" s="43"/>
    </row>
    <row r="674" spans="1:35" x14ac:dyDescent="0.25">
      <c r="A674" s="115" t="s">
        <v>1053</v>
      </c>
      <c r="B674" s="115"/>
      <c r="C674" s="115">
        <v>43.878</v>
      </c>
      <c r="D674" s="115">
        <v>8.8659999999999997</v>
      </c>
      <c r="E674" s="115">
        <v>32.566000000000003</v>
      </c>
      <c r="F674" s="115">
        <v>34.44</v>
      </c>
      <c r="G674" s="115">
        <v>31.911000000000001</v>
      </c>
      <c r="H674" s="115">
        <v>29.78</v>
      </c>
      <c r="I674" s="115">
        <v>38.844000000000001</v>
      </c>
      <c r="J674" s="115">
        <v>50.932000000000002</v>
      </c>
      <c r="K674" s="115">
        <v>45.956000000000003</v>
      </c>
      <c r="L674" s="115">
        <v>41.651000000000003</v>
      </c>
      <c r="M674" s="115">
        <v>38.040999999999997</v>
      </c>
      <c r="N674" s="115">
        <v>34.984999999999999</v>
      </c>
      <c r="O674" s="115">
        <v>39.381</v>
      </c>
      <c r="P674" s="115">
        <v>69.417000000000002</v>
      </c>
      <c r="Q674" s="115">
        <v>65.346999999999994</v>
      </c>
      <c r="R674" s="115">
        <v>61.652000000000001</v>
      </c>
      <c r="S674" s="115">
        <v>86.399000000000001</v>
      </c>
      <c r="T674" s="115">
        <v>81.942999999999998</v>
      </c>
      <c r="U674" s="115">
        <v>78.221999999999994</v>
      </c>
      <c r="V674" s="115">
        <v>74.653999999999996</v>
      </c>
      <c r="W674" s="115">
        <v>72.12</v>
      </c>
      <c r="X674" s="115">
        <v>69.677000000000007</v>
      </c>
      <c r="Y674" s="115">
        <v>67.265000000000001</v>
      </c>
      <c r="Z674" s="115">
        <v>64.962999999999994</v>
      </c>
      <c r="AA674" s="115">
        <v>62.756999999999998</v>
      </c>
      <c r="AB674" s="115">
        <v>60.637</v>
      </c>
      <c r="AC674" s="115">
        <v>58.509</v>
      </c>
      <c r="AD674" s="43"/>
      <c r="AE674" s="43"/>
      <c r="AF674" s="43"/>
      <c r="AG674" s="43"/>
      <c r="AH674" s="43"/>
      <c r="AI674" s="43"/>
    </row>
    <row r="675" spans="1:35" x14ac:dyDescent="0.25">
      <c r="A675" s="115" t="s">
        <v>1054</v>
      </c>
      <c r="B675" s="115"/>
      <c r="C675" s="115">
        <v>71.819999999999993</v>
      </c>
      <c r="D675" s="115">
        <v>41.564</v>
      </c>
      <c r="E675" s="115">
        <v>49.637999999999998</v>
      </c>
      <c r="F675" s="115">
        <v>52.726999999999997</v>
      </c>
      <c r="G675" s="115">
        <v>49.392000000000003</v>
      </c>
      <c r="H675" s="115">
        <v>46.558999999999997</v>
      </c>
      <c r="I675" s="115">
        <v>57.613</v>
      </c>
      <c r="J675" s="115">
        <v>69.299000000000007</v>
      </c>
      <c r="K675" s="115">
        <v>63.652000000000001</v>
      </c>
      <c r="L675" s="115">
        <v>58.325000000000003</v>
      </c>
      <c r="M675" s="115">
        <v>53.789000000000001</v>
      </c>
      <c r="N675" s="115">
        <v>49.893999999999998</v>
      </c>
      <c r="O675" s="115">
        <v>55.061999999999998</v>
      </c>
      <c r="P675" s="115">
        <v>87.183999999999997</v>
      </c>
      <c r="Q675" s="115">
        <v>81.915999999999997</v>
      </c>
      <c r="R675" s="115">
        <v>77.171999999999997</v>
      </c>
      <c r="S675" s="115">
        <v>114.223</v>
      </c>
      <c r="T675" s="115">
        <v>106.717</v>
      </c>
      <c r="U675" s="115">
        <v>101.38800000000001</v>
      </c>
      <c r="V675" s="115">
        <v>96.381</v>
      </c>
      <c r="W675" s="115">
        <v>92.948999999999998</v>
      </c>
      <c r="X675" s="115">
        <v>89.75</v>
      </c>
      <c r="Y675" s="115">
        <v>86.52</v>
      </c>
      <c r="Z675" s="115">
        <v>83.501999999999995</v>
      </c>
      <c r="AA675" s="115">
        <v>80.62</v>
      </c>
      <c r="AB675" s="115">
        <v>77.855000000000004</v>
      </c>
      <c r="AC675" s="115">
        <v>77.039000000000001</v>
      </c>
      <c r="AD675" s="43"/>
      <c r="AE675" s="43"/>
      <c r="AF675" s="43"/>
      <c r="AG675" s="43"/>
      <c r="AH675" s="43"/>
      <c r="AI675" s="43"/>
    </row>
    <row r="676" spans="1:35" x14ac:dyDescent="0.25">
      <c r="A676" s="115" t="s">
        <v>1055</v>
      </c>
      <c r="B676" s="115"/>
      <c r="C676" s="115">
        <v>125.9</v>
      </c>
      <c r="D676" s="115">
        <v>66.677000000000007</v>
      </c>
      <c r="E676" s="115">
        <v>76.138999999999996</v>
      </c>
      <c r="F676" s="115">
        <v>77.531000000000006</v>
      </c>
      <c r="G676" s="115">
        <v>72.852000000000004</v>
      </c>
      <c r="H676" s="115">
        <v>68.91</v>
      </c>
      <c r="I676" s="115">
        <v>77.441999999999993</v>
      </c>
      <c r="J676" s="115">
        <v>93.555999999999997</v>
      </c>
      <c r="K676" s="115">
        <v>87.834999999999994</v>
      </c>
      <c r="L676" s="115">
        <v>80.430999999999997</v>
      </c>
      <c r="M676" s="115">
        <v>74.114999999999995</v>
      </c>
      <c r="N676" s="115">
        <v>68.680000000000007</v>
      </c>
      <c r="O676" s="115">
        <v>74.125</v>
      </c>
      <c r="P676" s="115">
        <v>124.294</v>
      </c>
      <c r="Q676" s="115">
        <v>115.505</v>
      </c>
      <c r="R676" s="115">
        <v>107.736</v>
      </c>
      <c r="S676" s="115">
        <v>165.12</v>
      </c>
      <c r="T676" s="115">
        <v>133.74299999999999</v>
      </c>
      <c r="U676" s="115">
        <v>125.508</v>
      </c>
      <c r="V676" s="115">
        <v>117.99299999999999</v>
      </c>
      <c r="W676" s="115">
        <v>112.96</v>
      </c>
      <c r="X676" s="115">
        <v>108.429</v>
      </c>
      <c r="Y676" s="115">
        <v>103.877</v>
      </c>
      <c r="Z676" s="115">
        <v>99.718000000000004</v>
      </c>
      <c r="AA676" s="115">
        <v>95.843999999999994</v>
      </c>
      <c r="AB676" s="115">
        <v>92.191999999999993</v>
      </c>
      <c r="AC676" s="115">
        <v>88.697999999999993</v>
      </c>
      <c r="AD676" s="43"/>
      <c r="AE676" s="43"/>
      <c r="AF676" s="43"/>
      <c r="AG676" s="43"/>
      <c r="AH676" s="43"/>
      <c r="AI676" s="43"/>
    </row>
    <row r="677" spans="1:35" x14ac:dyDescent="0.25">
      <c r="A677" s="115" t="s">
        <v>1056</v>
      </c>
      <c r="B677" s="115"/>
      <c r="C677" s="115">
        <v>131.65799999999999</v>
      </c>
      <c r="D677" s="115">
        <v>85.039000000000001</v>
      </c>
      <c r="E677" s="115">
        <v>100.76</v>
      </c>
      <c r="F677" s="115">
        <v>99.778000000000006</v>
      </c>
      <c r="G677" s="115">
        <v>92.905000000000001</v>
      </c>
      <c r="H677" s="115">
        <v>87.218999999999994</v>
      </c>
      <c r="I677" s="115">
        <v>95.784999999999997</v>
      </c>
      <c r="J677" s="115">
        <v>133.86600000000001</v>
      </c>
      <c r="K677" s="115">
        <v>123.09699999999999</v>
      </c>
      <c r="L677" s="115">
        <v>110.63200000000001</v>
      </c>
      <c r="M677" s="115">
        <v>100.259</v>
      </c>
      <c r="N677" s="115">
        <v>91.59</v>
      </c>
      <c r="O677" s="115">
        <v>96.683000000000007</v>
      </c>
      <c r="P677" s="115">
        <v>191.232</v>
      </c>
      <c r="Q677" s="115">
        <v>176.27</v>
      </c>
      <c r="R677" s="115">
        <v>163.06399999999999</v>
      </c>
      <c r="S677" s="115">
        <v>224.392</v>
      </c>
      <c r="T677" s="115">
        <v>183.661</v>
      </c>
      <c r="U677" s="115">
        <v>170.958</v>
      </c>
      <c r="V677" s="115">
        <v>159.41300000000001</v>
      </c>
      <c r="W677" s="115">
        <v>151.797</v>
      </c>
      <c r="X677" s="115">
        <v>144.749</v>
      </c>
      <c r="Y677" s="115">
        <v>137.822</v>
      </c>
      <c r="Z677" s="115">
        <v>131.51</v>
      </c>
      <c r="AA677" s="115">
        <v>125.66</v>
      </c>
      <c r="AB677" s="115">
        <v>120.21</v>
      </c>
      <c r="AC677" s="115">
        <v>115.048</v>
      </c>
      <c r="AD677" s="43"/>
      <c r="AE677" s="43"/>
      <c r="AF677" s="43"/>
      <c r="AG677" s="43"/>
      <c r="AH677" s="43"/>
      <c r="AI677" s="43"/>
    </row>
    <row r="678" spans="1:35" x14ac:dyDescent="0.25">
      <c r="A678" s="115" t="s">
        <v>1057</v>
      </c>
      <c r="B678" s="115"/>
      <c r="C678" s="115">
        <v>227.601</v>
      </c>
      <c r="D678" s="115">
        <v>233.07</v>
      </c>
      <c r="E678" s="115">
        <v>365.11900000000003</v>
      </c>
      <c r="F678" s="115">
        <v>408.67599999999999</v>
      </c>
      <c r="G678" s="115">
        <v>438.43</v>
      </c>
      <c r="H678" s="115">
        <v>431.58499999999998</v>
      </c>
      <c r="I678" s="115">
        <v>440.75400000000002</v>
      </c>
      <c r="J678" s="115">
        <v>586.87800000000004</v>
      </c>
      <c r="K678" s="115">
        <v>560.16</v>
      </c>
      <c r="L678" s="115">
        <v>561.67200000000003</v>
      </c>
      <c r="M678" s="115">
        <v>600.68299999999999</v>
      </c>
      <c r="N678" s="115">
        <v>586.12599999999998</v>
      </c>
      <c r="O678" s="115">
        <v>562.80999999999995</v>
      </c>
      <c r="P678" s="115">
        <v>777.81200000000001</v>
      </c>
      <c r="Q678" s="115">
        <v>748.14700000000005</v>
      </c>
      <c r="R678" s="115">
        <v>754.66499999999996</v>
      </c>
      <c r="S678" s="115">
        <v>821.27499999999998</v>
      </c>
      <c r="T678" s="115">
        <v>734.41800000000001</v>
      </c>
      <c r="U678" s="115">
        <v>711.72500000000002</v>
      </c>
      <c r="V678" s="115">
        <v>609.05700000000002</v>
      </c>
      <c r="W678" s="115">
        <v>630.10299999999995</v>
      </c>
      <c r="X678" s="115">
        <v>596.61099999999999</v>
      </c>
      <c r="Y678" s="115">
        <v>566.529</v>
      </c>
      <c r="Z678" s="115">
        <v>537.93299999999999</v>
      </c>
      <c r="AA678" s="115">
        <v>511.96100000000001</v>
      </c>
      <c r="AB678" s="115">
        <v>487.60700000000003</v>
      </c>
      <c r="AC678" s="115">
        <v>464.56900000000002</v>
      </c>
      <c r="AD678" s="43"/>
      <c r="AE678" s="43"/>
      <c r="AF678" s="43"/>
      <c r="AG678" s="43"/>
      <c r="AH678" s="43"/>
      <c r="AI678" s="43"/>
    </row>
    <row r="679" spans="1:35" x14ac:dyDescent="0.25">
      <c r="A679" s="115" t="s">
        <v>1051</v>
      </c>
      <c r="B679" s="115"/>
      <c r="C679" s="115">
        <v>157.84200000000001</v>
      </c>
      <c r="D679" s="115">
        <v>173.30600000000001</v>
      </c>
      <c r="E679" s="115">
        <v>280.38</v>
      </c>
      <c r="F679" s="115">
        <v>312.40300000000002</v>
      </c>
      <c r="G679" s="115">
        <v>343.65300000000002</v>
      </c>
      <c r="H679" s="115">
        <v>344.43400000000003</v>
      </c>
      <c r="I679" s="115">
        <v>344.48599999999999</v>
      </c>
      <c r="J679" s="115">
        <v>545.66700000000003</v>
      </c>
      <c r="K679" s="115">
        <v>496.81900000000002</v>
      </c>
      <c r="L679" s="115">
        <v>478.94200000000001</v>
      </c>
      <c r="M679" s="115">
        <v>495.16800000000001</v>
      </c>
      <c r="N679" s="115">
        <v>485.15600000000001</v>
      </c>
      <c r="O679" s="115">
        <v>474.69799999999998</v>
      </c>
      <c r="P679" s="115">
        <v>754.30899999999997</v>
      </c>
      <c r="Q679" s="115">
        <v>719.49599999999998</v>
      </c>
      <c r="R679" s="115">
        <v>719.62599999999998</v>
      </c>
      <c r="S679" s="115">
        <v>771.00699999999995</v>
      </c>
      <c r="T679" s="115">
        <v>685.86500000000001</v>
      </c>
      <c r="U679" s="115">
        <v>662.077</v>
      </c>
      <c r="V679" s="115">
        <v>595.36500000000001</v>
      </c>
      <c r="W679" s="115">
        <v>608.30999999999995</v>
      </c>
      <c r="X679" s="115">
        <v>572.58699999999999</v>
      </c>
      <c r="Y679" s="115">
        <v>540.65099999999995</v>
      </c>
      <c r="Z679" s="115">
        <v>510.57</v>
      </c>
      <c r="AA679" s="115">
        <v>483.21600000000001</v>
      </c>
      <c r="AB679" s="115">
        <v>457.79</v>
      </c>
      <c r="AC679" s="115">
        <v>433.91</v>
      </c>
      <c r="AD679" s="43"/>
      <c r="AE679" s="43"/>
      <c r="AF679" s="43"/>
      <c r="AG679" s="43"/>
      <c r="AH679" s="43"/>
      <c r="AI679" s="43"/>
    </row>
    <row r="680" spans="1:35" x14ac:dyDescent="0.25">
      <c r="A680" s="115" t="s">
        <v>1052</v>
      </c>
      <c r="B680" s="115"/>
      <c r="C680" s="115">
        <v>443.01600000000002</v>
      </c>
      <c r="D680" s="115">
        <v>261.90899999999999</v>
      </c>
      <c r="E680" s="115">
        <v>343.84199999999998</v>
      </c>
      <c r="F680" s="115">
        <v>360.74900000000002</v>
      </c>
      <c r="G680" s="115">
        <v>341.83800000000002</v>
      </c>
      <c r="H680" s="115">
        <v>319.61900000000003</v>
      </c>
      <c r="I680" s="115">
        <v>365.95100000000002</v>
      </c>
      <c r="J680" s="115">
        <v>388.863</v>
      </c>
      <c r="K680" s="115">
        <v>383.88099999999997</v>
      </c>
      <c r="L680" s="115">
        <v>373.76900000000001</v>
      </c>
      <c r="M680" s="115">
        <v>371.71899999999999</v>
      </c>
      <c r="N680" s="115">
        <v>346.11900000000003</v>
      </c>
      <c r="O680" s="115">
        <v>353.363</v>
      </c>
      <c r="P680" s="115">
        <v>495.63099999999997</v>
      </c>
      <c r="Q680" s="115">
        <v>467.68900000000002</v>
      </c>
      <c r="R680" s="115">
        <v>444.66300000000001</v>
      </c>
      <c r="S680" s="115">
        <v>640.40200000000004</v>
      </c>
      <c r="T680" s="115">
        <v>554.61699999999996</v>
      </c>
      <c r="U680" s="115">
        <v>525.72299999999996</v>
      </c>
      <c r="V680" s="115">
        <v>462.13400000000001</v>
      </c>
      <c r="W680" s="115">
        <v>451.61799999999999</v>
      </c>
      <c r="X680" s="115">
        <v>436.62900000000002</v>
      </c>
      <c r="Y680" s="115">
        <v>421.36200000000002</v>
      </c>
      <c r="Z680" s="115">
        <v>407.05599999999998</v>
      </c>
      <c r="AA680" s="115">
        <v>393.62599999999998</v>
      </c>
      <c r="AB680" s="115">
        <v>380.71100000000001</v>
      </c>
      <c r="AC680" s="115">
        <v>369.95299999999997</v>
      </c>
      <c r="AD680" s="43"/>
      <c r="AE680" s="43"/>
      <c r="AF680" s="43"/>
      <c r="AG680" s="43"/>
      <c r="AH680" s="43"/>
      <c r="AI680" s="43"/>
    </row>
    <row r="681" spans="1:35" x14ac:dyDescent="0.25">
      <c r="A681" s="115" t="s">
        <v>1142</v>
      </c>
      <c r="B681" s="115"/>
      <c r="C681" s="115">
        <v>971.40200000000004</v>
      </c>
      <c r="D681" s="115">
        <v>985.12900000000002</v>
      </c>
      <c r="E681" s="115">
        <v>1090.5329999999999</v>
      </c>
      <c r="F681" s="115">
        <v>1117.4649999999999</v>
      </c>
      <c r="G681" s="115">
        <v>1145.827</v>
      </c>
      <c r="H681" s="115">
        <v>1140.731</v>
      </c>
      <c r="I681" s="115">
        <v>1130.894</v>
      </c>
      <c r="J681" s="115">
        <v>1317.9</v>
      </c>
      <c r="K681" s="115">
        <v>1261.7349999999999</v>
      </c>
      <c r="L681" s="115">
        <v>1231.528</v>
      </c>
      <c r="M681" s="115">
        <v>1236.9469999999999</v>
      </c>
      <c r="N681" s="115">
        <v>1218.904</v>
      </c>
      <c r="O681" s="115">
        <v>1154.1769999999999</v>
      </c>
      <c r="P681" s="115">
        <v>1431.7729999999999</v>
      </c>
      <c r="Q681" s="115">
        <v>1398.7439999999999</v>
      </c>
      <c r="R681" s="115">
        <v>1313.08</v>
      </c>
      <c r="S681" s="115">
        <v>1449.8589999999999</v>
      </c>
      <c r="T681" s="115">
        <v>1304.26</v>
      </c>
      <c r="U681" s="115">
        <v>1283.0820000000001</v>
      </c>
      <c r="V681" s="115">
        <v>1168.3209999999999</v>
      </c>
      <c r="W681" s="115">
        <v>1257.3499999999999</v>
      </c>
      <c r="X681" s="115">
        <v>1059.623</v>
      </c>
      <c r="Y681" s="115">
        <v>1251.7560000000001</v>
      </c>
      <c r="Z681" s="115">
        <v>1121.4570000000001</v>
      </c>
      <c r="AA681" s="115">
        <v>1227.5429999999999</v>
      </c>
      <c r="AB681" s="115">
        <v>1355.7840000000001</v>
      </c>
      <c r="AC681" s="115">
        <v>1471.019</v>
      </c>
      <c r="AD681" s="43"/>
      <c r="AE681" s="43"/>
      <c r="AF681" s="43"/>
      <c r="AG681" s="43"/>
      <c r="AH681" s="43"/>
      <c r="AI681" s="43"/>
    </row>
    <row r="682" spans="1:35" x14ac:dyDescent="0.25">
      <c r="A682" s="115" t="s">
        <v>1143</v>
      </c>
      <c r="B682" s="115"/>
      <c r="C682" s="115">
        <v>1437.2360000000001</v>
      </c>
      <c r="D682" s="115">
        <v>1254.0709999999999</v>
      </c>
      <c r="E682" s="115">
        <v>1333.873</v>
      </c>
      <c r="F682" s="115">
        <v>1352.0509999999999</v>
      </c>
      <c r="G682" s="115">
        <v>1332.1959999999999</v>
      </c>
      <c r="H682" s="115">
        <v>1312.0160000000001</v>
      </c>
      <c r="I682" s="115">
        <v>1364.402</v>
      </c>
      <c r="J682" s="115">
        <v>1398.675</v>
      </c>
      <c r="K682" s="115">
        <v>1399.3140000000001</v>
      </c>
      <c r="L682" s="115">
        <v>1399.579</v>
      </c>
      <c r="M682" s="115">
        <v>1406.1569999999999</v>
      </c>
      <c r="N682" s="115">
        <v>1387.2280000000001</v>
      </c>
      <c r="O682" s="115">
        <v>1201.5239999999999</v>
      </c>
      <c r="P682" s="115">
        <v>1344.7249999999999</v>
      </c>
      <c r="Q682" s="115">
        <v>1313.7919999999999</v>
      </c>
      <c r="R682" s="115">
        <v>1199.732</v>
      </c>
      <c r="S682" s="115">
        <v>1465.4380000000001</v>
      </c>
      <c r="T682" s="115">
        <v>1305.894</v>
      </c>
      <c r="U682" s="115">
        <v>1265.549</v>
      </c>
      <c r="V682" s="115">
        <v>1146.72</v>
      </c>
      <c r="W682" s="115">
        <v>1387.29</v>
      </c>
      <c r="X682" s="115">
        <v>1271.172</v>
      </c>
      <c r="Y682" s="115">
        <v>1273.4829999999999</v>
      </c>
      <c r="Z682" s="115">
        <v>1252.5139999999999</v>
      </c>
      <c r="AA682" s="115">
        <v>1218.9269999999999</v>
      </c>
      <c r="AB682" s="115">
        <v>1184.422</v>
      </c>
      <c r="AC682" s="115">
        <v>1150.204</v>
      </c>
      <c r="AD682" s="43"/>
      <c r="AE682" s="43"/>
      <c r="AF682" s="43"/>
      <c r="AG682" s="43"/>
      <c r="AH682" s="43"/>
      <c r="AI682" s="43"/>
    </row>
    <row r="683" spans="1:35" x14ac:dyDescent="0.25">
      <c r="A683" s="115" t="s">
        <v>319</v>
      </c>
      <c r="B683" s="115"/>
      <c r="C683" s="115">
        <v>600.98400000000004</v>
      </c>
      <c r="D683" s="115">
        <v>435.21600000000001</v>
      </c>
      <c r="E683" s="115">
        <v>624.22199999999998</v>
      </c>
      <c r="F683" s="115">
        <v>673.15200000000004</v>
      </c>
      <c r="G683" s="115">
        <v>685.49099999999999</v>
      </c>
      <c r="H683" s="115">
        <v>664.053</v>
      </c>
      <c r="I683" s="115">
        <v>710.43600000000004</v>
      </c>
      <c r="J683" s="115">
        <v>934.53099999999995</v>
      </c>
      <c r="K683" s="115">
        <v>880.7</v>
      </c>
      <c r="L683" s="115">
        <v>852.71100000000001</v>
      </c>
      <c r="M683" s="115">
        <v>866.88699999999994</v>
      </c>
      <c r="N683" s="115">
        <v>831.27499999999998</v>
      </c>
      <c r="O683" s="115">
        <v>828.06100000000004</v>
      </c>
      <c r="P683" s="115">
        <v>1249.94</v>
      </c>
      <c r="Q683" s="115">
        <v>1187.1849999999999</v>
      </c>
      <c r="R683" s="115">
        <v>1164.289</v>
      </c>
      <c r="S683" s="115">
        <v>1411.4090000000001</v>
      </c>
      <c r="T683" s="115">
        <v>1240.482</v>
      </c>
      <c r="U683" s="115">
        <v>1187.8009999999999</v>
      </c>
      <c r="V683" s="115">
        <v>1057.498</v>
      </c>
      <c r="W683" s="115">
        <v>1059.9280000000001</v>
      </c>
      <c r="X683" s="115">
        <v>1009.215</v>
      </c>
      <c r="Y683" s="115">
        <v>962.01300000000003</v>
      </c>
      <c r="Z683" s="115">
        <v>917.62599999999998</v>
      </c>
      <c r="AA683" s="115">
        <v>876.84199999999998</v>
      </c>
      <c r="AB683" s="115">
        <v>838.50099999999998</v>
      </c>
      <c r="AC683" s="115">
        <v>803.86300000000006</v>
      </c>
      <c r="AD683" s="43"/>
      <c r="AE683" s="43"/>
      <c r="AF683" s="43"/>
      <c r="AG683" s="43"/>
      <c r="AH683" s="43"/>
      <c r="AI683" s="43"/>
    </row>
    <row r="684" spans="1:35" x14ac:dyDescent="0.25">
      <c r="A684" s="115" t="s">
        <v>676</v>
      </c>
      <c r="B684" s="115"/>
      <c r="C684" s="115">
        <v>532.91399999999999</v>
      </c>
      <c r="D684" s="115">
        <v>383.15</v>
      </c>
      <c r="E684" s="115">
        <v>490.55</v>
      </c>
      <c r="F684" s="115">
        <v>545.71500000000003</v>
      </c>
      <c r="G684" s="115">
        <v>585.97</v>
      </c>
      <c r="H684" s="115">
        <v>586.73800000000006</v>
      </c>
      <c r="I684" s="115">
        <v>589.90499999999997</v>
      </c>
      <c r="J684" s="115">
        <v>607.91700000000003</v>
      </c>
      <c r="K684" s="115">
        <v>621.16999999999996</v>
      </c>
      <c r="L684" s="115">
        <v>646.91600000000005</v>
      </c>
      <c r="M684" s="115">
        <v>704.14499999999998</v>
      </c>
      <c r="N684" s="115">
        <v>703.02099999999996</v>
      </c>
      <c r="O684" s="115">
        <v>674.44500000000005</v>
      </c>
      <c r="P684" s="115">
        <v>616.17899999999997</v>
      </c>
      <c r="Q684" s="115">
        <v>624.21900000000005</v>
      </c>
      <c r="R684" s="115">
        <v>662.56399999999996</v>
      </c>
      <c r="S684" s="115">
        <v>757.18499999999995</v>
      </c>
      <c r="T684" s="115">
        <v>648.35</v>
      </c>
      <c r="U684" s="115">
        <v>649.13599999999997</v>
      </c>
      <c r="V684" s="115">
        <v>566.88599999999997</v>
      </c>
      <c r="W684" s="115">
        <v>600.45600000000002</v>
      </c>
      <c r="X684" s="115">
        <v>579.649</v>
      </c>
      <c r="Y684" s="115">
        <v>560.649</v>
      </c>
      <c r="Z684" s="115">
        <v>541.74699999999996</v>
      </c>
      <c r="AA684" s="115">
        <v>524.34900000000005</v>
      </c>
      <c r="AB684" s="115">
        <v>507.476</v>
      </c>
      <c r="AC684" s="115">
        <v>492.83800000000002</v>
      </c>
      <c r="AD684" s="43"/>
      <c r="AE684" s="43"/>
      <c r="AF684" s="43"/>
      <c r="AG684" s="43"/>
      <c r="AH684" s="43"/>
      <c r="AI684" s="43"/>
    </row>
    <row r="685" spans="1:35" x14ac:dyDescent="0.25">
      <c r="A685" s="115" t="s">
        <v>1191</v>
      </c>
      <c r="B685" s="115"/>
      <c r="C685" s="115">
        <v>0.38200000000000001</v>
      </c>
      <c r="D685" s="115">
        <v>0.16600000000000001</v>
      </c>
      <c r="E685" s="115">
        <v>0.17799999999999999</v>
      </c>
      <c r="F685" s="115">
        <v>0.19400000000000001</v>
      </c>
      <c r="G685" s="115">
        <v>0.246</v>
      </c>
      <c r="H685" s="115">
        <v>0.26600000000000001</v>
      </c>
      <c r="I685" s="115">
        <v>0.26200000000000001</v>
      </c>
      <c r="J685" s="115">
        <v>0.318</v>
      </c>
      <c r="K685" s="115">
        <v>0.315</v>
      </c>
      <c r="L685" s="115">
        <v>0.36399999999999999</v>
      </c>
      <c r="M685" s="115">
        <v>0.44500000000000001</v>
      </c>
      <c r="N685" s="115">
        <v>0.53800000000000003</v>
      </c>
      <c r="O685" s="115">
        <v>0.54600000000000004</v>
      </c>
      <c r="P685" s="115">
        <v>0.63100000000000001</v>
      </c>
      <c r="Q685" s="115">
        <v>0.88400000000000001</v>
      </c>
      <c r="R685" s="115">
        <v>1.159</v>
      </c>
      <c r="S685" s="115">
        <v>1.556</v>
      </c>
      <c r="T685" s="115">
        <v>1.593</v>
      </c>
      <c r="U685" s="115">
        <v>1.78</v>
      </c>
      <c r="V685" s="115">
        <v>1.881</v>
      </c>
      <c r="W685" s="115">
        <v>1.5249999999999999</v>
      </c>
      <c r="X685" s="115">
        <v>1.4610000000000001</v>
      </c>
      <c r="Y685" s="115">
        <v>1.6220000000000001</v>
      </c>
      <c r="Z685" s="115">
        <v>1.4750000000000001</v>
      </c>
      <c r="AA685" s="115">
        <v>1.4910000000000001</v>
      </c>
      <c r="AB685" s="115">
        <v>1.52</v>
      </c>
      <c r="AC685" s="115">
        <v>1.552</v>
      </c>
      <c r="AD685" s="43"/>
      <c r="AE685" s="43"/>
      <c r="AF685" s="43"/>
      <c r="AG685" s="43"/>
      <c r="AH685" s="43"/>
      <c r="AI685" s="43"/>
    </row>
    <row r="686" spans="1:35" x14ac:dyDescent="0.25">
      <c r="A686" s="115" t="s">
        <v>1192</v>
      </c>
      <c r="B686" s="115"/>
      <c r="C686" s="115">
        <v>6.5990000000000002</v>
      </c>
      <c r="D686" s="115">
        <v>4.8159999999999998</v>
      </c>
      <c r="E686" s="115">
        <v>5.9180000000000001</v>
      </c>
      <c r="F686" s="115">
        <v>6.6319999999999997</v>
      </c>
      <c r="G686" s="115">
        <v>10.255000000000001</v>
      </c>
      <c r="H686" s="115">
        <v>13.201000000000001</v>
      </c>
      <c r="I686" s="115">
        <v>14.952999999999999</v>
      </c>
      <c r="J686" s="115">
        <v>17.991</v>
      </c>
      <c r="K686" s="115">
        <v>17.123999999999999</v>
      </c>
      <c r="L686" s="115">
        <v>21.744</v>
      </c>
      <c r="M686" s="115">
        <v>27.984000000000002</v>
      </c>
      <c r="N686" s="115">
        <v>33.137</v>
      </c>
      <c r="O686" s="115">
        <v>31.265000000000001</v>
      </c>
      <c r="P686" s="115">
        <v>32.58</v>
      </c>
      <c r="Q686" s="115">
        <v>43.688000000000002</v>
      </c>
      <c r="R686" s="115">
        <v>57.612000000000002</v>
      </c>
      <c r="S686" s="115">
        <v>63.679000000000002</v>
      </c>
      <c r="T686" s="115">
        <v>66.811000000000007</v>
      </c>
      <c r="U686" s="115">
        <v>70.384</v>
      </c>
      <c r="V686" s="115">
        <v>74.137</v>
      </c>
      <c r="W686" s="115">
        <v>77.575000000000003</v>
      </c>
      <c r="X686" s="115">
        <v>73.135000000000005</v>
      </c>
      <c r="Y686" s="115">
        <v>70.162999999999997</v>
      </c>
      <c r="Z686" s="115">
        <v>66.495000000000005</v>
      </c>
      <c r="AA686" s="115">
        <v>63.856999999999999</v>
      </c>
      <c r="AB686" s="115">
        <v>61.606999999999999</v>
      </c>
      <c r="AC686" s="115">
        <v>59.8</v>
      </c>
      <c r="AD686" s="43"/>
      <c r="AE686" s="43"/>
      <c r="AF686" s="43"/>
      <c r="AG686" s="43"/>
      <c r="AH686" s="43"/>
      <c r="AI686" s="43"/>
    </row>
    <row r="687" spans="1:35" x14ac:dyDescent="0.25">
      <c r="A687" s="115" t="s">
        <v>1193</v>
      </c>
      <c r="B687" s="115"/>
      <c r="C687" s="115">
        <v>54.725999999999999</v>
      </c>
      <c r="D687" s="115">
        <v>38.851999999999997</v>
      </c>
      <c r="E687" s="115">
        <v>43.447000000000003</v>
      </c>
      <c r="F687" s="115">
        <v>46.225000000000001</v>
      </c>
      <c r="G687" s="115">
        <v>69.998999999999995</v>
      </c>
      <c r="H687" s="115">
        <v>83.198999999999998</v>
      </c>
      <c r="I687" s="115">
        <v>86.028999999999996</v>
      </c>
      <c r="J687" s="115">
        <v>100.622</v>
      </c>
      <c r="K687" s="115">
        <v>89.647000000000006</v>
      </c>
      <c r="L687" s="115">
        <v>108.592</v>
      </c>
      <c r="M687" s="115">
        <v>134.38399999999999</v>
      </c>
      <c r="N687" s="115">
        <v>155.999</v>
      </c>
      <c r="O687" s="115">
        <v>147.30500000000001</v>
      </c>
      <c r="P687" s="115">
        <v>153.566</v>
      </c>
      <c r="Q687" s="115">
        <v>203.91399999999999</v>
      </c>
      <c r="R687" s="115">
        <v>272.56700000000001</v>
      </c>
      <c r="S687" s="115">
        <v>308.53699999999998</v>
      </c>
      <c r="T687" s="115">
        <v>329.68700000000001</v>
      </c>
      <c r="U687" s="115">
        <v>354.31599999999997</v>
      </c>
      <c r="V687" s="115">
        <v>384.21699999999998</v>
      </c>
      <c r="W687" s="115">
        <v>421.51600000000002</v>
      </c>
      <c r="X687" s="115">
        <v>409.98</v>
      </c>
      <c r="Y687" s="115">
        <v>398.60599999999999</v>
      </c>
      <c r="Z687" s="115">
        <v>388.30900000000003</v>
      </c>
      <c r="AA687" s="115">
        <v>377.85199999999998</v>
      </c>
      <c r="AB687" s="115">
        <v>367.35199999999998</v>
      </c>
      <c r="AC687" s="115">
        <v>357.673</v>
      </c>
      <c r="AD687" s="43"/>
      <c r="AE687" s="43"/>
      <c r="AF687" s="43"/>
      <c r="AG687" s="43"/>
      <c r="AH687" s="43"/>
      <c r="AI687" s="43"/>
    </row>
    <row r="688" spans="1:35" x14ac:dyDescent="0.25">
      <c r="A688" s="115" t="s">
        <v>1194</v>
      </c>
      <c r="B688" s="115"/>
      <c r="C688" s="115">
        <v>0.16300000000000001</v>
      </c>
      <c r="D688" s="115">
        <v>9.4E-2</v>
      </c>
      <c r="E688" s="115">
        <v>0.1</v>
      </c>
      <c r="F688" s="115">
        <v>9.9000000000000005E-2</v>
      </c>
      <c r="G688" s="115">
        <v>0.11600000000000001</v>
      </c>
      <c r="H688" s="115">
        <v>0.12</v>
      </c>
      <c r="I688" s="115">
        <v>0.113</v>
      </c>
      <c r="J688" s="115">
        <v>0.121</v>
      </c>
      <c r="K688" s="115">
        <v>0.104</v>
      </c>
      <c r="L688" s="115">
        <v>0.112</v>
      </c>
      <c r="M688" s="115">
        <v>0.127</v>
      </c>
      <c r="N688" s="115">
        <v>0.13900000000000001</v>
      </c>
      <c r="O688" s="115">
        <v>0.13400000000000001</v>
      </c>
      <c r="P688" s="115">
        <v>0.14499999999999999</v>
      </c>
      <c r="Q688" s="115">
        <v>0.193</v>
      </c>
      <c r="R688" s="115">
        <v>0.223</v>
      </c>
      <c r="S688" s="115">
        <v>0.307</v>
      </c>
      <c r="T688" s="115">
        <v>0.28699999999999998</v>
      </c>
      <c r="U688" s="115">
        <v>0.308</v>
      </c>
      <c r="V688" s="115">
        <v>0.29299999999999998</v>
      </c>
      <c r="W688" s="115">
        <v>0.27300000000000002</v>
      </c>
      <c r="X688" s="115">
        <v>0.21</v>
      </c>
      <c r="Y688" s="115">
        <v>0.26100000000000001</v>
      </c>
      <c r="Z688" s="115">
        <v>0.20399999999999999</v>
      </c>
      <c r="AA688" s="115">
        <v>0.20799999999999999</v>
      </c>
      <c r="AB688" s="115">
        <v>0.216</v>
      </c>
      <c r="AC688" s="115">
        <v>0.223</v>
      </c>
      <c r="AD688" s="43"/>
      <c r="AE688" s="43"/>
      <c r="AF688" s="43"/>
      <c r="AG688" s="43"/>
      <c r="AH688" s="43"/>
      <c r="AI688" s="43"/>
    </row>
    <row r="689" spans="1:35" x14ac:dyDescent="0.25">
      <c r="A689" s="115" t="s">
        <v>1195</v>
      </c>
      <c r="B689" s="115"/>
      <c r="C689" s="115">
        <v>0.25800000000000001</v>
      </c>
      <c r="D689" s="115">
        <v>0.12</v>
      </c>
      <c r="E689" s="115">
        <v>0.20200000000000001</v>
      </c>
      <c r="F689" s="115">
        <v>0.308</v>
      </c>
      <c r="G689" s="115">
        <v>0.29599999999999999</v>
      </c>
      <c r="H689" s="115">
        <v>0.23899999999999999</v>
      </c>
      <c r="I689" s="115">
        <v>0.17399999999999999</v>
      </c>
      <c r="J689" s="115">
        <v>0.36099999999999999</v>
      </c>
      <c r="K689" s="115">
        <v>0.30299999999999999</v>
      </c>
      <c r="L689" s="115">
        <v>0.41099999999999998</v>
      </c>
      <c r="M689" s="115">
        <v>0.65500000000000003</v>
      </c>
      <c r="N689" s="115">
        <v>0.88100000000000001</v>
      </c>
      <c r="O689" s="115">
        <v>0.85599999999999998</v>
      </c>
      <c r="P689" s="115">
        <v>0.93300000000000005</v>
      </c>
      <c r="Q689" s="115">
        <v>0.94699999999999995</v>
      </c>
      <c r="R689" s="115">
        <v>0.90800000000000003</v>
      </c>
      <c r="S689" s="115">
        <v>0.96299999999999997</v>
      </c>
      <c r="T689" s="115">
        <v>0.86799999999999999</v>
      </c>
      <c r="U689" s="115">
        <v>0.83899999999999997</v>
      </c>
      <c r="V689" s="115">
        <v>0.23400000000000001</v>
      </c>
      <c r="W689" s="115">
        <v>0.127</v>
      </c>
      <c r="X689" s="115">
        <v>0.14499999999999999</v>
      </c>
      <c r="Y689" s="115">
        <v>0.14399999999999999</v>
      </c>
      <c r="Z689" s="115">
        <v>0.14599999999999999</v>
      </c>
      <c r="AA689" s="115">
        <v>0.14299999999999999</v>
      </c>
      <c r="AB689" s="115">
        <v>0.13900000000000001</v>
      </c>
      <c r="AC689" s="115">
        <v>0.13500000000000001</v>
      </c>
      <c r="AD689" s="43"/>
      <c r="AE689" s="43"/>
      <c r="AF689" s="43"/>
      <c r="AG689" s="43"/>
      <c r="AH689" s="43"/>
      <c r="AI689" s="43"/>
    </row>
    <row r="690" spans="1:35" x14ac:dyDescent="0.25">
      <c r="A690" s="115" t="s">
        <v>1196</v>
      </c>
      <c r="B690" s="115"/>
      <c r="C690" s="115">
        <v>3.0310000000000001</v>
      </c>
      <c r="D690" s="115">
        <v>2.1309999999999998</v>
      </c>
      <c r="E690" s="115">
        <v>4.0330000000000004</v>
      </c>
      <c r="F690" s="115">
        <v>5.4420000000000002</v>
      </c>
      <c r="G690" s="115">
        <v>6.68</v>
      </c>
      <c r="H690" s="115">
        <v>7.798</v>
      </c>
      <c r="I690" s="115">
        <v>9.16</v>
      </c>
      <c r="J690" s="115">
        <v>10.41</v>
      </c>
      <c r="K690" s="115">
        <v>13.129</v>
      </c>
      <c r="L690" s="115">
        <v>15.603</v>
      </c>
      <c r="M690" s="115">
        <v>21.614999999999998</v>
      </c>
      <c r="N690" s="115">
        <v>25.359000000000002</v>
      </c>
      <c r="O690" s="115">
        <v>25.994</v>
      </c>
      <c r="P690" s="115">
        <v>24.503</v>
      </c>
      <c r="Q690" s="115">
        <v>23.042000000000002</v>
      </c>
      <c r="R690" s="115">
        <v>20.963000000000001</v>
      </c>
      <c r="S690" s="115">
        <v>20.302</v>
      </c>
      <c r="T690" s="115">
        <v>18.385000000000002</v>
      </c>
      <c r="U690" s="115">
        <v>17.175000000000001</v>
      </c>
      <c r="V690" s="115">
        <v>4.6120000000000001</v>
      </c>
      <c r="W690" s="115">
        <v>3.46</v>
      </c>
      <c r="X690" s="115">
        <v>3.5550000000000002</v>
      </c>
      <c r="Y690" s="115">
        <v>3.6629999999999998</v>
      </c>
      <c r="Z690" s="115">
        <v>3.5910000000000002</v>
      </c>
      <c r="AA690" s="115">
        <v>3.5910000000000002</v>
      </c>
      <c r="AB690" s="115">
        <v>3.5870000000000002</v>
      </c>
      <c r="AC690" s="115">
        <v>3.5950000000000002</v>
      </c>
      <c r="AD690" s="43"/>
      <c r="AE690" s="43"/>
      <c r="AF690" s="43"/>
      <c r="AG690" s="43"/>
      <c r="AH690" s="43"/>
      <c r="AI690" s="43"/>
    </row>
    <row r="691" spans="1:35" x14ac:dyDescent="0.25">
      <c r="A691" s="115" t="s">
        <v>1197</v>
      </c>
      <c r="B691" s="115"/>
      <c r="C691" s="115">
        <v>28.545000000000002</v>
      </c>
      <c r="D691" s="115">
        <v>34.9</v>
      </c>
      <c r="E691" s="115">
        <v>83.143000000000001</v>
      </c>
      <c r="F691" s="115">
        <v>108.021</v>
      </c>
      <c r="G691" s="115">
        <v>119.102</v>
      </c>
      <c r="H691" s="115">
        <v>119.783</v>
      </c>
      <c r="I691" s="115">
        <v>119.402</v>
      </c>
      <c r="J691" s="115">
        <v>117.364</v>
      </c>
      <c r="K691" s="115">
        <v>123.161</v>
      </c>
      <c r="L691" s="115">
        <v>123.926</v>
      </c>
      <c r="M691" s="115">
        <v>146.99600000000001</v>
      </c>
      <c r="N691" s="115">
        <v>145.547</v>
      </c>
      <c r="O691" s="115">
        <v>132.29300000000001</v>
      </c>
      <c r="P691" s="115">
        <v>104.01900000000001</v>
      </c>
      <c r="Q691" s="115">
        <v>84.194999999999993</v>
      </c>
      <c r="R691" s="115">
        <v>69.525999999999996</v>
      </c>
      <c r="S691" s="115">
        <v>89.284000000000006</v>
      </c>
      <c r="T691" s="115">
        <v>48.844000000000001</v>
      </c>
      <c r="U691" s="115">
        <v>42.158999999999999</v>
      </c>
      <c r="V691" s="115">
        <v>16.265999999999998</v>
      </c>
      <c r="W691" s="115">
        <v>15.544</v>
      </c>
      <c r="X691" s="115">
        <v>14.991</v>
      </c>
      <c r="Y691" s="115">
        <v>14.541</v>
      </c>
      <c r="Z691" s="115">
        <v>13.917</v>
      </c>
      <c r="AA691" s="115">
        <v>13.462</v>
      </c>
      <c r="AB691" s="115">
        <v>13.002000000000001</v>
      </c>
      <c r="AC691" s="115">
        <v>12.914999999999999</v>
      </c>
      <c r="AD691" s="43"/>
      <c r="AE691" s="43"/>
      <c r="AF691" s="43"/>
      <c r="AG691" s="43"/>
      <c r="AH691" s="43"/>
      <c r="AI691" s="43"/>
    </row>
    <row r="692" spans="1:35" x14ac:dyDescent="0.25">
      <c r="A692" s="115" t="s">
        <v>1198</v>
      </c>
      <c r="B692" s="115"/>
      <c r="C692" s="115">
        <v>147.77500000000001</v>
      </c>
      <c r="D692" s="115">
        <v>109.59399999999999</v>
      </c>
      <c r="E692" s="115">
        <v>156.94499999999999</v>
      </c>
      <c r="F692" s="115">
        <v>180.23</v>
      </c>
      <c r="G692" s="115">
        <v>192.38300000000001</v>
      </c>
      <c r="H692" s="115">
        <v>196.47399999999999</v>
      </c>
      <c r="I692" s="115">
        <v>200.63800000000001</v>
      </c>
      <c r="J692" s="115">
        <v>207.01400000000001</v>
      </c>
      <c r="K692" s="115">
        <v>213.38499999999999</v>
      </c>
      <c r="L692" s="115">
        <v>222.22399999999999</v>
      </c>
      <c r="M692" s="115">
        <v>261.32400000000001</v>
      </c>
      <c r="N692" s="115">
        <v>274.52199999999999</v>
      </c>
      <c r="O692" s="115">
        <v>276.923</v>
      </c>
      <c r="P692" s="115">
        <v>247.32499999999999</v>
      </c>
      <c r="Q692" s="115">
        <v>221.239</v>
      </c>
      <c r="R692" s="115">
        <v>199.208</v>
      </c>
      <c r="S692" s="115">
        <v>173.75800000000001</v>
      </c>
      <c r="T692" s="115">
        <v>157.41200000000001</v>
      </c>
      <c r="U692" s="115">
        <v>141.25399999999999</v>
      </c>
      <c r="V692" s="115">
        <v>67.512</v>
      </c>
      <c r="W692" s="115">
        <v>65.350999999999999</v>
      </c>
      <c r="X692" s="115">
        <v>63.225999999999999</v>
      </c>
      <c r="Y692" s="115">
        <v>60.826999999999998</v>
      </c>
      <c r="Z692" s="115">
        <v>58.731000000000002</v>
      </c>
      <c r="AA692" s="115">
        <v>56.658000000000001</v>
      </c>
      <c r="AB692" s="115">
        <v>54.616999999999997</v>
      </c>
      <c r="AC692" s="115">
        <v>53.128999999999998</v>
      </c>
      <c r="AD692" s="43"/>
      <c r="AE692" s="43"/>
      <c r="AF692" s="43"/>
      <c r="AG692" s="43"/>
      <c r="AH692" s="43"/>
      <c r="AI692" s="43"/>
    </row>
    <row r="693" spans="1:35" x14ac:dyDescent="0.25">
      <c r="A693" s="115" t="s">
        <v>1199</v>
      </c>
      <c r="B693" s="115"/>
      <c r="C693" s="115">
        <v>3.5999999999999997E-2</v>
      </c>
      <c r="D693" s="115">
        <v>2.4E-2</v>
      </c>
      <c r="E693" s="115">
        <v>3.5999999999999997E-2</v>
      </c>
      <c r="F693" s="115">
        <v>4.5999999999999999E-2</v>
      </c>
      <c r="G693" s="115">
        <v>4.9000000000000002E-2</v>
      </c>
      <c r="H693" s="115">
        <v>0.05</v>
      </c>
      <c r="I693" s="115">
        <v>5.1999999999999998E-2</v>
      </c>
      <c r="J693" s="115">
        <v>5.8999999999999997E-2</v>
      </c>
      <c r="K693" s="115">
        <v>6.3E-2</v>
      </c>
      <c r="L693" s="115">
        <v>6.9000000000000006E-2</v>
      </c>
      <c r="M693" s="115">
        <v>8.4000000000000005E-2</v>
      </c>
      <c r="N693" s="115">
        <v>9.4E-2</v>
      </c>
      <c r="O693" s="115">
        <v>0.10100000000000001</v>
      </c>
      <c r="P693" s="115">
        <v>9.8000000000000004E-2</v>
      </c>
      <c r="Q693" s="115">
        <v>9.5000000000000001E-2</v>
      </c>
      <c r="R693" s="115">
        <v>7.0000000000000007E-2</v>
      </c>
      <c r="S693" s="115">
        <v>8.4000000000000005E-2</v>
      </c>
      <c r="T693" s="115">
        <v>6.0999999999999999E-2</v>
      </c>
      <c r="U693" s="115">
        <v>5.3999999999999999E-2</v>
      </c>
      <c r="V693" s="115">
        <v>2.5999999999999999E-2</v>
      </c>
      <c r="W693" s="115">
        <v>0.02</v>
      </c>
      <c r="X693" s="115">
        <v>1.4999999999999999E-2</v>
      </c>
      <c r="Y693" s="115">
        <v>0.02</v>
      </c>
      <c r="Z693" s="115">
        <v>1.4999999999999999E-2</v>
      </c>
      <c r="AA693" s="115">
        <v>1.4999999999999999E-2</v>
      </c>
      <c r="AB693" s="115">
        <v>1.6E-2</v>
      </c>
      <c r="AC693" s="115">
        <v>1.7000000000000001E-2</v>
      </c>
      <c r="AD693" s="43"/>
      <c r="AE693" s="43"/>
      <c r="AF693" s="43"/>
      <c r="AG693" s="43"/>
      <c r="AH693" s="43"/>
      <c r="AI693" s="43"/>
    </row>
    <row r="694" spans="1:35" x14ac:dyDescent="0.25">
      <c r="A694" s="115" t="s">
        <v>1200</v>
      </c>
      <c r="B694" s="115"/>
      <c r="C694" s="115">
        <v>6.0000000000000001E-3</v>
      </c>
      <c r="D694" s="115">
        <v>3.0000000000000001E-3</v>
      </c>
      <c r="E694" s="115">
        <v>6.0000000000000001E-3</v>
      </c>
      <c r="F694" s="115">
        <v>1.2E-2</v>
      </c>
      <c r="G694" s="115">
        <v>1.2E-2</v>
      </c>
      <c r="H694" s="115">
        <v>1.0999999999999999E-2</v>
      </c>
      <c r="I694" s="115">
        <v>1.0999999999999999E-2</v>
      </c>
      <c r="J694" s="115">
        <v>1.4E-2</v>
      </c>
      <c r="K694" s="115">
        <v>1.2999999999999999E-2</v>
      </c>
      <c r="L694" s="115">
        <v>1.4999999999999999E-2</v>
      </c>
      <c r="M694" s="115">
        <v>1.7999999999999999E-2</v>
      </c>
      <c r="N694" s="115">
        <v>0.02</v>
      </c>
      <c r="O694" s="115">
        <v>2.1000000000000001E-2</v>
      </c>
      <c r="P694" s="115">
        <v>2.1000000000000001E-2</v>
      </c>
      <c r="Q694" s="115">
        <v>0.02</v>
      </c>
      <c r="R694" s="115">
        <v>1.4999999999999999E-2</v>
      </c>
      <c r="S694" s="115">
        <v>1.7999999999999999E-2</v>
      </c>
      <c r="T694" s="115">
        <v>1.4E-2</v>
      </c>
      <c r="U694" s="115">
        <v>1.2999999999999999E-2</v>
      </c>
      <c r="V694" s="115">
        <v>0.01</v>
      </c>
      <c r="W694" s="115">
        <v>8.0000000000000002E-3</v>
      </c>
      <c r="X694" s="115">
        <v>6.0000000000000001E-3</v>
      </c>
      <c r="Y694" s="115">
        <v>8.0000000000000002E-3</v>
      </c>
      <c r="Z694" s="115">
        <v>5.0000000000000001E-3</v>
      </c>
      <c r="AA694" s="115">
        <v>6.0000000000000001E-3</v>
      </c>
      <c r="AB694" s="115">
        <v>6.0000000000000001E-3</v>
      </c>
      <c r="AC694" s="115">
        <v>6.0000000000000001E-3</v>
      </c>
      <c r="AD694" s="43"/>
      <c r="AE694" s="43"/>
      <c r="AF694" s="43"/>
      <c r="AG694" s="43"/>
      <c r="AH694" s="43"/>
      <c r="AI694" s="43"/>
    </row>
    <row r="695" spans="1:35" x14ac:dyDescent="0.25">
      <c r="A695" s="115" t="s">
        <v>1201</v>
      </c>
      <c r="B695" s="115"/>
      <c r="C695" s="115">
        <v>0.06</v>
      </c>
      <c r="D695" s="115">
        <v>3.3000000000000002E-2</v>
      </c>
      <c r="E695" s="115">
        <v>3.2000000000000001E-2</v>
      </c>
      <c r="F695" s="115">
        <v>4.4999999999999998E-2</v>
      </c>
      <c r="G695" s="115">
        <v>4.5999999999999999E-2</v>
      </c>
      <c r="H695" s="115">
        <v>3.6999999999999998E-2</v>
      </c>
      <c r="I695" s="115">
        <v>2.7E-2</v>
      </c>
      <c r="J695" s="115">
        <v>5.8000000000000003E-2</v>
      </c>
      <c r="K695" s="115">
        <v>5.3999999999999999E-2</v>
      </c>
      <c r="L695" s="115">
        <v>7.8E-2</v>
      </c>
      <c r="M695" s="115">
        <v>6.9000000000000006E-2</v>
      </c>
      <c r="N695" s="115">
        <v>1.6E-2</v>
      </c>
      <c r="O695" s="115">
        <v>1.2999999999999999E-2</v>
      </c>
      <c r="P695" s="115">
        <v>1.4999999999999999E-2</v>
      </c>
      <c r="Q695" s="115">
        <v>1.4999999999999999E-2</v>
      </c>
      <c r="R695" s="115">
        <v>1.2999999999999999E-2</v>
      </c>
      <c r="S695" s="115">
        <v>1.4999999999999999E-2</v>
      </c>
      <c r="T695" s="115">
        <v>0.01</v>
      </c>
      <c r="U695" s="115">
        <v>8.9999999999999993E-3</v>
      </c>
      <c r="V695" s="115">
        <v>7.0000000000000001E-3</v>
      </c>
      <c r="W695" s="115">
        <v>3.0000000000000001E-3</v>
      </c>
      <c r="X695" s="115">
        <v>3.0000000000000001E-3</v>
      </c>
      <c r="Y695" s="115">
        <v>3.0000000000000001E-3</v>
      </c>
      <c r="Z695" s="115">
        <v>2E-3</v>
      </c>
      <c r="AA695" s="115">
        <v>2E-3</v>
      </c>
      <c r="AB695" s="115">
        <v>1E-3</v>
      </c>
      <c r="AC695" s="115">
        <v>1E-3</v>
      </c>
      <c r="AD695" s="43"/>
      <c r="AE695" s="43"/>
      <c r="AF695" s="43"/>
      <c r="AG695" s="43"/>
      <c r="AH695" s="43"/>
      <c r="AI695" s="43"/>
    </row>
    <row r="696" spans="1:35" x14ac:dyDescent="0.25">
      <c r="A696" s="115" t="s">
        <v>1202</v>
      </c>
      <c r="B696" s="115"/>
      <c r="C696" s="115">
        <v>1.52</v>
      </c>
      <c r="D696" s="115">
        <v>1.4710000000000001</v>
      </c>
      <c r="E696" s="115">
        <v>1.8180000000000001</v>
      </c>
      <c r="F696" s="115">
        <v>2.0670000000000002</v>
      </c>
      <c r="G696" s="115">
        <v>2.5329999999999999</v>
      </c>
      <c r="H696" s="115">
        <v>2.7639999999999998</v>
      </c>
      <c r="I696" s="115">
        <v>3.077</v>
      </c>
      <c r="J696" s="115">
        <v>3.3809999999999998</v>
      </c>
      <c r="K696" s="115">
        <v>4.0789999999999997</v>
      </c>
      <c r="L696" s="115">
        <v>4.1399999999999997</v>
      </c>
      <c r="M696" s="115">
        <v>2.536</v>
      </c>
      <c r="N696" s="115">
        <v>1.4059999999999999</v>
      </c>
      <c r="O696" s="115">
        <v>1.18</v>
      </c>
      <c r="P696" s="115">
        <v>1.133</v>
      </c>
      <c r="Q696" s="115">
        <v>1.073</v>
      </c>
      <c r="R696" s="115">
        <v>0.997</v>
      </c>
      <c r="S696" s="115">
        <v>0.92800000000000005</v>
      </c>
      <c r="T696" s="115">
        <v>0.83199999999999996</v>
      </c>
      <c r="U696" s="115">
        <v>0.753</v>
      </c>
      <c r="V696" s="115">
        <v>0.67400000000000004</v>
      </c>
      <c r="W696" s="115">
        <v>0.51900000000000002</v>
      </c>
      <c r="X696" s="115">
        <v>0.46800000000000003</v>
      </c>
      <c r="Y696" s="115">
        <v>0.40400000000000003</v>
      </c>
      <c r="Z696" s="115">
        <v>0.34499999999999997</v>
      </c>
      <c r="AA696" s="115">
        <v>0.28299999999999997</v>
      </c>
      <c r="AB696" s="115">
        <v>0.224</v>
      </c>
      <c r="AC696" s="115">
        <v>0.16</v>
      </c>
      <c r="AD696" s="43"/>
      <c r="AE696" s="43"/>
      <c r="AF696" s="43"/>
      <c r="AG696" s="43"/>
      <c r="AH696" s="43"/>
      <c r="AI696" s="43"/>
    </row>
    <row r="697" spans="1:35" x14ac:dyDescent="0.25">
      <c r="A697" s="115" t="s">
        <v>1203</v>
      </c>
      <c r="B697" s="115"/>
      <c r="C697" s="115">
        <v>12.811999999999999</v>
      </c>
      <c r="D697" s="115">
        <v>10.972</v>
      </c>
      <c r="E697" s="115">
        <v>12.829000000000001</v>
      </c>
      <c r="F697" s="115">
        <v>14.936</v>
      </c>
      <c r="G697" s="115">
        <v>17.434000000000001</v>
      </c>
      <c r="H697" s="115">
        <v>18.02</v>
      </c>
      <c r="I697" s="115">
        <v>18.516999999999999</v>
      </c>
      <c r="J697" s="115">
        <v>19.89</v>
      </c>
      <c r="K697" s="115">
        <v>24.635999999999999</v>
      </c>
      <c r="L697" s="115">
        <v>25.437000000000001</v>
      </c>
      <c r="M697" s="115">
        <v>17.260000000000002</v>
      </c>
      <c r="N697" s="115">
        <v>8.109</v>
      </c>
      <c r="O697" s="115">
        <v>7.0739999999999998</v>
      </c>
      <c r="P697" s="115">
        <v>6.6180000000000003</v>
      </c>
      <c r="Q697" s="115">
        <v>6.1379999999999999</v>
      </c>
      <c r="R697" s="115">
        <v>5.6719999999999997</v>
      </c>
      <c r="S697" s="115">
        <v>35.609000000000002</v>
      </c>
      <c r="T697" s="115">
        <v>3.6190000000000002</v>
      </c>
      <c r="U697" s="115">
        <v>3.198</v>
      </c>
      <c r="V697" s="115">
        <v>2.8109999999999999</v>
      </c>
      <c r="W697" s="115">
        <v>2.4220000000000002</v>
      </c>
      <c r="X697" s="115">
        <v>2.1389999999999998</v>
      </c>
      <c r="Y697" s="115">
        <v>1.8080000000000001</v>
      </c>
      <c r="Z697" s="115">
        <v>1.498</v>
      </c>
      <c r="AA697" s="115">
        <v>1.2050000000000001</v>
      </c>
      <c r="AB697" s="115">
        <v>0.92400000000000004</v>
      </c>
      <c r="AC697" s="115">
        <v>0.63900000000000001</v>
      </c>
      <c r="AD697" s="43"/>
      <c r="AE697" s="43"/>
      <c r="AF697" s="43"/>
      <c r="AG697" s="43"/>
      <c r="AH697" s="43"/>
      <c r="AI697" s="43"/>
    </row>
    <row r="698" spans="1:35" x14ac:dyDescent="0.25">
      <c r="A698" s="115" t="s">
        <v>1204</v>
      </c>
      <c r="B698" s="115"/>
      <c r="C698" s="115">
        <v>35.478000000000002</v>
      </c>
      <c r="D698" s="115">
        <v>41.6</v>
      </c>
      <c r="E698" s="115">
        <v>46.188000000000002</v>
      </c>
      <c r="F698" s="115">
        <v>47.755000000000003</v>
      </c>
      <c r="G698" s="115">
        <v>52.223999999999997</v>
      </c>
      <c r="H698" s="115">
        <v>51.796999999999997</v>
      </c>
      <c r="I698" s="115">
        <v>51.468000000000004</v>
      </c>
      <c r="J698" s="115">
        <v>50.715000000000003</v>
      </c>
      <c r="K698" s="115">
        <v>51.274999999999999</v>
      </c>
      <c r="L698" s="115">
        <v>46.643000000000001</v>
      </c>
      <c r="M698" s="115">
        <v>29.009</v>
      </c>
      <c r="N698" s="115">
        <v>20.195</v>
      </c>
      <c r="O698" s="115">
        <v>18.625</v>
      </c>
      <c r="P698" s="115">
        <v>16.719000000000001</v>
      </c>
      <c r="Q698" s="115">
        <v>14.919</v>
      </c>
      <c r="R698" s="115">
        <v>13.321999999999999</v>
      </c>
      <c r="S698" s="115">
        <v>15.893000000000001</v>
      </c>
      <c r="T698" s="115">
        <v>9.5069999999999997</v>
      </c>
      <c r="U698" s="115">
        <v>8.2149999999999999</v>
      </c>
      <c r="V698" s="115">
        <v>7.0540000000000003</v>
      </c>
      <c r="W698" s="115">
        <v>6.0990000000000002</v>
      </c>
      <c r="X698" s="115">
        <v>5.2130000000000001</v>
      </c>
      <c r="Y698" s="115">
        <v>4.3600000000000003</v>
      </c>
      <c r="Z698" s="115">
        <v>3.5870000000000002</v>
      </c>
      <c r="AA698" s="115">
        <v>2.8679999999999999</v>
      </c>
      <c r="AB698" s="115">
        <v>2.202</v>
      </c>
      <c r="AC698" s="115">
        <v>1.534</v>
      </c>
      <c r="AD698" s="43"/>
      <c r="AE698" s="43"/>
      <c r="AF698" s="43"/>
      <c r="AG698" s="43"/>
      <c r="AH698" s="43"/>
      <c r="AI698" s="43"/>
    </row>
    <row r="699" spans="1:35" x14ac:dyDescent="0.25">
      <c r="A699" s="115" t="s">
        <v>1205</v>
      </c>
      <c r="B699" s="115"/>
      <c r="C699" s="115">
        <v>37.296999999999997</v>
      </c>
      <c r="D699" s="115">
        <v>29.927</v>
      </c>
      <c r="E699" s="115">
        <v>32.576000000000001</v>
      </c>
      <c r="F699" s="115">
        <v>32.57</v>
      </c>
      <c r="G699" s="115">
        <v>34.081000000000003</v>
      </c>
      <c r="H699" s="115">
        <v>33.029000000000003</v>
      </c>
      <c r="I699" s="115">
        <v>31.956</v>
      </c>
      <c r="J699" s="115">
        <v>31.742999999999999</v>
      </c>
      <c r="K699" s="115">
        <v>31.721</v>
      </c>
      <c r="L699" s="115">
        <v>33.066000000000003</v>
      </c>
      <c r="M699" s="115">
        <v>24.187000000000001</v>
      </c>
      <c r="N699" s="115">
        <v>6.0149999999999997</v>
      </c>
      <c r="O699" s="115">
        <v>5.4820000000000002</v>
      </c>
      <c r="P699" s="115">
        <v>4.8259999999999996</v>
      </c>
      <c r="Q699" s="115">
        <v>4.2069999999999999</v>
      </c>
      <c r="R699" s="115">
        <v>3.677</v>
      </c>
      <c r="S699" s="115">
        <v>3.4860000000000002</v>
      </c>
      <c r="T699" s="115">
        <v>2.4470000000000001</v>
      </c>
      <c r="U699" s="115">
        <v>2.044</v>
      </c>
      <c r="V699" s="115">
        <v>1.6930000000000001</v>
      </c>
      <c r="W699" s="115">
        <v>1.4610000000000001</v>
      </c>
      <c r="X699" s="115">
        <v>1.2390000000000001</v>
      </c>
      <c r="Y699" s="115">
        <v>1.028</v>
      </c>
      <c r="Z699" s="115">
        <v>0.84199999999999997</v>
      </c>
      <c r="AA699" s="115">
        <v>0.67100000000000004</v>
      </c>
      <c r="AB699" s="115">
        <v>0.51700000000000002</v>
      </c>
      <c r="AC699" s="115">
        <v>0.36899999999999999</v>
      </c>
      <c r="AD699" s="43"/>
      <c r="AE699" s="43"/>
      <c r="AF699" s="43"/>
      <c r="AG699" s="43"/>
      <c r="AH699" s="43"/>
      <c r="AI699" s="43"/>
    </row>
    <row r="700" spans="1:35" x14ac:dyDescent="0.25">
      <c r="A700" s="115" t="s">
        <v>1206</v>
      </c>
      <c r="B700" s="115"/>
      <c r="C700" s="115">
        <v>2.8000000000000001E-2</v>
      </c>
      <c r="D700" s="115">
        <v>1.7999999999999999E-2</v>
      </c>
      <c r="E700" s="115">
        <v>2.5000000000000001E-2</v>
      </c>
      <c r="F700" s="115">
        <v>2.9000000000000001E-2</v>
      </c>
      <c r="G700" s="115">
        <v>2.8000000000000001E-2</v>
      </c>
      <c r="H700" s="115">
        <v>2.5000000000000001E-2</v>
      </c>
      <c r="I700" s="115">
        <v>2.3E-2</v>
      </c>
      <c r="J700" s="115">
        <v>2.7E-2</v>
      </c>
      <c r="K700" s="115">
        <v>2.4E-2</v>
      </c>
      <c r="L700" s="115">
        <v>2.5000000000000001E-2</v>
      </c>
      <c r="M700" s="115">
        <v>2.4E-2</v>
      </c>
      <c r="N700" s="115">
        <v>2.1999999999999999E-2</v>
      </c>
      <c r="O700" s="115">
        <v>5.0000000000000001E-3</v>
      </c>
      <c r="P700" s="115">
        <v>6.0000000000000001E-3</v>
      </c>
      <c r="Q700" s="115">
        <v>6.0000000000000001E-3</v>
      </c>
      <c r="R700" s="115">
        <v>5.0000000000000001E-3</v>
      </c>
      <c r="S700" s="115">
        <v>6.0000000000000001E-3</v>
      </c>
      <c r="T700" s="115">
        <v>4.0000000000000001E-3</v>
      </c>
      <c r="U700" s="115">
        <v>3.0000000000000001E-3</v>
      </c>
      <c r="V700" s="115">
        <v>2E-3</v>
      </c>
      <c r="W700" s="115">
        <v>1E-3</v>
      </c>
      <c r="X700" s="115">
        <v>1E-3</v>
      </c>
      <c r="Y700" s="115">
        <v>1E-3</v>
      </c>
      <c r="Z700" s="115">
        <v>1E-3</v>
      </c>
      <c r="AA700" s="115">
        <v>1E-3</v>
      </c>
      <c r="AB700" s="115">
        <v>1E-3</v>
      </c>
      <c r="AC700" s="115">
        <v>0</v>
      </c>
      <c r="AD700" s="43"/>
      <c r="AE700" s="43"/>
      <c r="AF700" s="43"/>
      <c r="AG700" s="43"/>
      <c r="AH700" s="43"/>
      <c r="AI700" s="43"/>
    </row>
    <row r="701" spans="1:35" x14ac:dyDescent="0.25">
      <c r="A701" s="115" t="s">
        <v>1207</v>
      </c>
      <c r="B701" s="115"/>
      <c r="C701" s="115">
        <v>0</v>
      </c>
      <c r="D701" s="115">
        <v>0</v>
      </c>
      <c r="E701" s="115">
        <v>0</v>
      </c>
      <c r="F701" s="115">
        <v>0</v>
      </c>
      <c r="G701" s="115">
        <v>0</v>
      </c>
      <c r="H701" s="115">
        <v>0</v>
      </c>
      <c r="I701" s="115">
        <v>0</v>
      </c>
      <c r="J701" s="115">
        <v>0</v>
      </c>
      <c r="K701" s="115">
        <v>0</v>
      </c>
      <c r="L701" s="115">
        <v>0</v>
      </c>
      <c r="M701" s="115">
        <v>0</v>
      </c>
      <c r="N701" s="115">
        <v>0</v>
      </c>
      <c r="O701" s="115">
        <v>0</v>
      </c>
      <c r="P701" s="115">
        <v>0</v>
      </c>
      <c r="Q701" s="115">
        <v>0</v>
      </c>
      <c r="R701" s="115">
        <v>0</v>
      </c>
      <c r="S701" s="115">
        <v>0</v>
      </c>
      <c r="T701" s="115">
        <v>0</v>
      </c>
      <c r="U701" s="115">
        <v>0</v>
      </c>
      <c r="V701" s="115">
        <v>0</v>
      </c>
      <c r="W701" s="115">
        <v>0</v>
      </c>
      <c r="X701" s="115">
        <v>0</v>
      </c>
      <c r="Y701" s="115">
        <v>0</v>
      </c>
      <c r="Z701" s="115">
        <v>0</v>
      </c>
      <c r="AA701" s="115">
        <v>0</v>
      </c>
      <c r="AB701" s="115">
        <v>0</v>
      </c>
      <c r="AC701" s="115">
        <v>0</v>
      </c>
      <c r="AD701" s="43"/>
      <c r="AE701" s="43"/>
      <c r="AF701" s="43"/>
      <c r="AG701" s="43"/>
      <c r="AH701" s="43"/>
      <c r="AI701" s="43"/>
    </row>
    <row r="702" spans="1:35" x14ac:dyDescent="0.25">
      <c r="A702" s="115" t="s">
        <v>1208</v>
      </c>
      <c r="B702" s="115"/>
      <c r="C702" s="115">
        <v>5.6000000000000001E-2</v>
      </c>
      <c r="D702" s="115">
        <v>3.4000000000000002E-2</v>
      </c>
      <c r="E702" s="115">
        <v>3.3000000000000002E-2</v>
      </c>
      <c r="F702" s="115">
        <v>4.7E-2</v>
      </c>
      <c r="G702" s="115">
        <v>2.7E-2</v>
      </c>
      <c r="H702" s="115">
        <v>4.0000000000000001E-3</v>
      </c>
      <c r="I702" s="115">
        <v>3.0000000000000001E-3</v>
      </c>
      <c r="J702" s="115">
        <v>4.0000000000000001E-3</v>
      </c>
      <c r="K702" s="115">
        <v>4.0000000000000001E-3</v>
      </c>
      <c r="L702" s="115">
        <v>4.0000000000000001E-3</v>
      </c>
      <c r="M702" s="115">
        <v>4.0000000000000001E-3</v>
      </c>
      <c r="N702" s="115">
        <v>4.0000000000000001E-3</v>
      </c>
      <c r="O702" s="115">
        <v>2E-3</v>
      </c>
      <c r="P702" s="115">
        <v>2E-3</v>
      </c>
      <c r="Q702" s="115">
        <v>2E-3</v>
      </c>
      <c r="R702" s="115">
        <v>2E-3</v>
      </c>
      <c r="S702" s="115">
        <v>2E-3</v>
      </c>
      <c r="T702" s="115">
        <v>1E-3</v>
      </c>
      <c r="U702" s="115">
        <v>1E-3</v>
      </c>
      <c r="V702" s="115">
        <v>1E-3</v>
      </c>
      <c r="W702" s="115">
        <v>0</v>
      </c>
      <c r="X702" s="115">
        <v>0</v>
      </c>
      <c r="Y702" s="115">
        <v>0</v>
      </c>
      <c r="Z702" s="115">
        <v>0</v>
      </c>
      <c r="AA702" s="115">
        <v>0</v>
      </c>
      <c r="AB702" s="115">
        <v>0</v>
      </c>
      <c r="AC702" s="115">
        <v>0</v>
      </c>
      <c r="AD702" s="43"/>
      <c r="AE702" s="43"/>
      <c r="AF702" s="43"/>
      <c r="AG702" s="43"/>
      <c r="AH702" s="43"/>
      <c r="AI702" s="43"/>
    </row>
    <row r="703" spans="1:35" x14ac:dyDescent="0.25">
      <c r="A703" s="115" t="s">
        <v>1209</v>
      </c>
      <c r="B703" s="115"/>
      <c r="C703" s="115">
        <v>0.81100000000000005</v>
      </c>
      <c r="D703" s="115">
        <v>0.36099999999999999</v>
      </c>
      <c r="E703" s="115">
        <v>0.39300000000000002</v>
      </c>
      <c r="F703" s="115">
        <v>0.42299999999999999</v>
      </c>
      <c r="G703" s="115">
        <v>0.312</v>
      </c>
      <c r="H703" s="115">
        <v>0.19500000000000001</v>
      </c>
      <c r="I703" s="115">
        <v>0.19400000000000001</v>
      </c>
      <c r="J703" s="115">
        <v>0.182</v>
      </c>
      <c r="K703" s="115">
        <v>0.188</v>
      </c>
      <c r="L703" s="115">
        <v>0.17599999999999999</v>
      </c>
      <c r="M703" s="115">
        <v>0.16400000000000001</v>
      </c>
      <c r="N703" s="115">
        <v>0.151</v>
      </c>
      <c r="O703" s="115">
        <v>0.11899999999999999</v>
      </c>
      <c r="P703" s="115">
        <v>0.108</v>
      </c>
      <c r="Q703" s="115">
        <v>9.7000000000000003E-2</v>
      </c>
      <c r="R703" s="115">
        <v>8.4000000000000005E-2</v>
      </c>
      <c r="S703" s="115">
        <v>7.6999999999999999E-2</v>
      </c>
      <c r="T703" s="115">
        <v>6.0999999999999999E-2</v>
      </c>
      <c r="U703" s="115">
        <v>5.2999999999999999E-2</v>
      </c>
      <c r="V703" s="115">
        <v>4.5999999999999999E-2</v>
      </c>
      <c r="W703" s="115">
        <v>1.2E-2</v>
      </c>
      <c r="X703" s="115">
        <v>1.4E-2</v>
      </c>
      <c r="Y703" s="115">
        <v>1.0999999999999999E-2</v>
      </c>
      <c r="Z703" s="115">
        <v>8.9999999999999993E-3</v>
      </c>
      <c r="AA703" s="115">
        <v>7.0000000000000001E-3</v>
      </c>
      <c r="AB703" s="115">
        <v>5.0000000000000001E-3</v>
      </c>
      <c r="AC703" s="115">
        <v>3.0000000000000001E-3</v>
      </c>
      <c r="AD703" s="43"/>
      <c r="AE703" s="43"/>
      <c r="AF703" s="43"/>
      <c r="AG703" s="43"/>
      <c r="AH703" s="43"/>
      <c r="AI703" s="43"/>
    </row>
    <row r="704" spans="1:35" x14ac:dyDescent="0.25">
      <c r="A704" s="115" t="s">
        <v>1210</v>
      </c>
      <c r="B704" s="115"/>
      <c r="C704" s="115">
        <v>13.531000000000001</v>
      </c>
      <c r="D704" s="115">
        <v>9.9659999999999993</v>
      </c>
      <c r="E704" s="115">
        <v>10.936</v>
      </c>
      <c r="F704" s="115">
        <v>13.430999999999999</v>
      </c>
      <c r="G704" s="115">
        <v>9.2249999999999996</v>
      </c>
      <c r="H704" s="115">
        <v>3.7930000000000001</v>
      </c>
      <c r="I704" s="115">
        <v>3.8490000000000002</v>
      </c>
      <c r="J704" s="115">
        <v>3.9340000000000002</v>
      </c>
      <c r="K704" s="115">
        <v>6.4509999999999996</v>
      </c>
      <c r="L704" s="115">
        <v>6.4340000000000002</v>
      </c>
      <c r="M704" s="115">
        <v>6.2640000000000002</v>
      </c>
      <c r="N704" s="115">
        <v>5.97</v>
      </c>
      <c r="O704" s="115">
        <v>5.3760000000000003</v>
      </c>
      <c r="P704" s="115">
        <v>4.782</v>
      </c>
      <c r="Q704" s="115">
        <v>4.1310000000000002</v>
      </c>
      <c r="R704" s="115">
        <v>3.5030000000000001</v>
      </c>
      <c r="S704" s="115">
        <v>17.818000000000001</v>
      </c>
      <c r="T704" s="115">
        <v>0.79700000000000004</v>
      </c>
      <c r="U704" s="115">
        <v>0.69599999999999995</v>
      </c>
      <c r="V704" s="115">
        <v>0.60299999999999998</v>
      </c>
      <c r="W704" s="115">
        <v>0.42899999999999999</v>
      </c>
      <c r="X704" s="115">
        <v>0.38900000000000001</v>
      </c>
      <c r="Y704" s="115">
        <v>0.313</v>
      </c>
      <c r="Z704" s="115">
        <v>0.254</v>
      </c>
      <c r="AA704" s="115">
        <v>0.193</v>
      </c>
      <c r="AB704" s="115">
        <v>0.13900000000000001</v>
      </c>
      <c r="AC704" s="115">
        <v>0.09</v>
      </c>
      <c r="AD704" s="43"/>
      <c r="AE704" s="43"/>
      <c r="AF704" s="43"/>
      <c r="AG704" s="43"/>
      <c r="AH704" s="43"/>
      <c r="AI704" s="43"/>
    </row>
    <row r="705" spans="1:35" x14ac:dyDescent="0.25">
      <c r="A705" s="115" t="s">
        <v>1211</v>
      </c>
      <c r="B705" s="115"/>
      <c r="C705" s="115">
        <v>13.686999999999999</v>
      </c>
      <c r="D705" s="115">
        <v>6.5380000000000003</v>
      </c>
      <c r="E705" s="115">
        <v>6.6559999999999997</v>
      </c>
      <c r="F705" s="115">
        <v>7.319</v>
      </c>
      <c r="G705" s="115">
        <v>6.0039999999999996</v>
      </c>
      <c r="H705" s="115">
        <v>4.8109999999999999</v>
      </c>
      <c r="I705" s="115">
        <v>4.7809999999999997</v>
      </c>
      <c r="J705" s="115">
        <v>4.601</v>
      </c>
      <c r="K705" s="115">
        <v>6.8869999999999996</v>
      </c>
      <c r="L705" s="115">
        <v>6.5209999999999999</v>
      </c>
      <c r="M705" s="115">
        <v>6.0119999999999996</v>
      </c>
      <c r="N705" s="115">
        <v>5.4109999999999996</v>
      </c>
      <c r="O705" s="115">
        <v>4.766</v>
      </c>
      <c r="P705" s="115">
        <v>4.1529999999999996</v>
      </c>
      <c r="Q705" s="115">
        <v>3.5249999999999999</v>
      </c>
      <c r="R705" s="115">
        <v>2.9409999999999998</v>
      </c>
      <c r="S705" s="115">
        <v>16.359000000000002</v>
      </c>
      <c r="T705" s="115">
        <v>0.68600000000000005</v>
      </c>
      <c r="U705" s="115">
        <v>0.57699999999999996</v>
      </c>
      <c r="V705" s="115">
        <v>0.47299999999999998</v>
      </c>
      <c r="W705" s="115">
        <v>0.40200000000000002</v>
      </c>
      <c r="X705" s="115">
        <v>0.33600000000000002</v>
      </c>
      <c r="Y705" s="115">
        <v>0.27600000000000002</v>
      </c>
      <c r="Z705" s="115">
        <v>0.21299999999999999</v>
      </c>
      <c r="AA705" s="115">
        <v>0.16200000000000001</v>
      </c>
      <c r="AB705" s="115">
        <v>0.11799999999999999</v>
      </c>
      <c r="AC705" s="115">
        <v>7.8E-2</v>
      </c>
      <c r="AD705" s="43"/>
      <c r="AE705" s="43"/>
      <c r="AF705" s="43"/>
      <c r="AG705" s="43"/>
      <c r="AH705" s="43"/>
      <c r="AI705" s="43"/>
    </row>
    <row r="706" spans="1:35" x14ac:dyDescent="0.25">
      <c r="A706" s="115" t="s">
        <v>1212</v>
      </c>
      <c r="B706" s="115"/>
      <c r="C706" s="115">
        <v>31.029</v>
      </c>
      <c r="D706" s="115">
        <v>20.672000000000001</v>
      </c>
      <c r="E706" s="115">
        <v>20.388000000000002</v>
      </c>
      <c r="F706" s="115">
        <v>19.068999999999999</v>
      </c>
      <c r="G706" s="115">
        <v>14.817</v>
      </c>
      <c r="H706" s="115">
        <v>11.736000000000001</v>
      </c>
      <c r="I706" s="115">
        <v>10.776999999999999</v>
      </c>
      <c r="J706" s="115">
        <v>9.5009999999999994</v>
      </c>
      <c r="K706" s="115">
        <v>8.7550000000000008</v>
      </c>
      <c r="L706" s="115">
        <v>7.6059999999999999</v>
      </c>
      <c r="M706" s="115">
        <v>6.556</v>
      </c>
      <c r="N706" s="115">
        <v>5.5979999999999999</v>
      </c>
      <c r="O706" s="115">
        <v>4.875</v>
      </c>
      <c r="P706" s="115">
        <v>4.218</v>
      </c>
      <c r="Q706" s="115">
        <v>3.621</v>
      </c>
      <c r="R706" s="115">
        <v>3.0870000000000002</v>
      </c>
      <c r="S706" s="115">
        <v>2.536</v>
      </c>
      <c r="T706" s="115">
        <v>2.081</v>
      </c>
      <c r="U706" s="115">
        <v>1.6930000000000001</v>
      </c>
      <c r="V706" s="115">
        <v>1.3540000000000001</v>
      </c>
      <c r="W706" s="115">
        <v>1.1679999999999999</v>
      </c>
      <c r="X706" s="115">
        <v>0.97799999999999998</v>
      </c>
      <c r="Y706" s="115">
        <v>0.81</v>
      </c>
      <c r="Z706" s="115">
        <v>0.65700000000000003</v>
      </c>
      <c r="AA706" s="115">
        <v>0.52</v>
      </c>
      <c r="AB706" s="115">
        <v>0.39900000000000002</v>
      </c>
      <c r="AC706" s="115">
        <v>0.29799999999999999</v>
      </c>
      <c r="AD706" s="43"/>
      <c r="AE706" s="43"/>
      <c r="AF706" s="43"/>
      <c r="AG706" s="43"/>
      <c r="AH706" s="43"/>
      <c r="AI706" s="43"/>
    </row>
    <row r="707" spans="1:35" x14ac:dyDescent="0.25">
      <c r="A707" s="115" t="s">
        <v>1213</v>
      </c>
      <c r="B707" s="115"/>
      <c r="C707" s="115">
        <v>37.399000000000001</v>
      </c>
      <c r="D707" s="115">
        <v>28.244</v>
      </c>
      <c r="E707" s="115">
        <v>30.138000000000002</v>
      </c>
      <c r="F707" s="115">
        <v>29.702000000000002</v>
      </c>
      <c r="G707" s="115">
        <v>23.962</v>
      </c>
      <c r="H707" s="115">
        <v>17.544</v>
      </c>
      <c r="I707" s="115">
        <v>16.416</v>
      </c>
      <c r="J707" s="115">
        <v>14.72</v>
      </c>
      <c r="K707" s="115">
        <v>13.423999999999999</v>
      </c>
      <c r="L707" s="115">
        <v>11.808999999999999</v>
      </c>
      <c r="M707" s="115">
        <v>10.311999999999999</v>
      </c>
      <c r="N707" s="115">
        <v>8.9369999999999994</v>
      </c>
      <c r="O707" s="115">
        <v>7.7809999999999997</v>
      </c>
      <c r="P707" s="115">
        <v>6.7119999999999997</v>
      </c>
      <c r="Q707" s="115">
        <v>5.758</v>
      </c>
      <c r="R707" s="115">
        <v>4.9640000000000004</v>
      </c>
      <c r="S707" s="115">
        <v>3.7690000000000001</v>
      </c>
      <c r="T707" s="115">
        <v>3.1070000000000002</v>
      </c>
      <c r="U707" s="115">
        <v>2.6280000000000001</v>
      </c>
      <c r="V707" s="115">
        <v>2.2069999999999999</v>
      </c>
      <c r="W707" s="115">
        <v>1.9139999999999999</v>
      </c>
      <c r="X707" s="115">
        <v>1.6339999999999999</v>
      </c>
      <c r="Y707" s="115">
        <v>1.369</v>
      </c>
      <c r="Z707" s="115">
        <v>1.1299999999999999</v>
      </c>
      <c r="AA707" s="115">
        <v>0.90800000000000003</v>
      </c>
      <c r="AB707" s="115">
        <v>0.70299999999999996</v>
      </c>
      <c r="AC707" s="115">
        <v>0.496</v>
      </c>
      <c r="AD707" s="43"/>
      <c r="AE707" s="43"/>
      <c r="AF707" s="43"/>
      <c r="AG707" s="43"/>
      <c r="AH707" s="43"/>
      <c r="AI707" s="43"/>
    </row>
    <row r="708" spans="1:35" x14ac:dyDescent="0.25">
      <c r="A708" s="115" t="s">
        <v>1214</v>
      </c>
      <c r="B708" s="115"/>
      <c r="C708" s="115">
        <v>4.0000000000000001E-3</v>
      </c>
      <c r="D708" s="115">
        <v>2E-3</v>
      </c>
      <c r="E708" s="115">
        <v>3.0000000000000001E-3</v>
      </c>
      <c r="F708" s="115">
        <v>3.0000000000000001E-3</v>
      </c>
      <c r="G708" s="115">
        <v>2E-3</v>
      </c>
      <c r="H708" s="115">
        <v>2E-3</v>
      </c>
      <c r="I708" s="115">
        <v>2E-3</v>
      </c>
      <c r="J708" s="115">
        <v>2E-3</v>
      </c>
      <c r="K708" s="115">
        <v>2E-3</v>
      </c>
      <c r="L708" s="115">
        <v>2E-3</v>
      </c>
      <c r="M708" s="115">
        <v>2E-3</v>
      </c>
      <c r="N708" s="115">
        <v>2E-3</v>
      </c>
      <c r="O708" s="115">
        <v>2E-3</v>
      </c>
      <c r="P708" s="115">
        <v>2E-3</v>
      </c>
      <c r="Q708" s="115">
        <v>2E-3</v>
      </c>
      <c r="R708" s="115">
        <v>1E-3</v>
      </c>
      <c r="S708" s="115">
        <v>1E-3</v>
      </c>
      <c r="T708" s="115">
        <v>1E-3</v>
      </c>
      <c r="U708" s="115">
        <v>1E-3</v>
      </c>
      <c r="V708" s="115">
        <v>1E-3</v>
      </c>
      <c r="W708" s="115">
        <v>0</v>
      </c>
      <c r="X708" s="115">
        <v>0</v>
      </c>
      <c r="Y708" s="115">
        <v>0</v>
      </c>
      <c r="Z708" s="115">
        <v>0</v>
      </c>
      <c r="AA708" s="115">
        <v>0</v>
      </c>
      <c r="AB708" s="115">
        <v>0</v>
      </c>
      <c r="AC708" s="115">
        <v>0</v>
      </c>
      <c r="AD708" s="43"/>
      <c r="AE708" s="43"/>
      <c r="AF708" s="43"/>
      <c r="AG708" s="43"/>
      <c r="AH708" s="43"/>
      <c r="AI708" s="43"/>
    </row>
    <row r="709" spans="1:35" x14ac:dyDescent="0.25">
      <c r="A709" s="115" t="s">
        <v>1215</v>
      </c>
      <c r="B709" s="115"/>
      <c r="C709" s="115">
        <v>5.8999999999999997E-2</v>
      </c>
      <c r="D709" s="115">
        <v>1.4E-2</v>
      </c>
      <c r="E709" s="115">
        <v>6.0000000000000001E-3</v>
      </c>
      <c r="F709" s="115">
        <v>3.0000000000000001E-3</v>
      </c>
      <c r="G709" s="115">
        <v>2E-3</v>
      </c>
      <c r="H709" s="115">
        <v>2E-3</v>
      </c>
      <c r="I709" s="115">
        <v>1E-3</v>
      </c>
      <c r="J709" s="115">
        <v>2E-3</v>
      </c>
      <c r="K709" s="115">
        <v>2E-3</v>
      </c>
      <c r="L709" s="115">
        <v>2E-3</v>
      </c>
      <c r="M709" s="115">
        <v>1E-3</v>
      </c>
      <c r="N709" s="115">
        <v>1E-3</v>
      </c>
      <c r="O709" s="115">
        <v>1E-3</v>
      </c>
      <c r="P709" s="115">
        <v>1E-3</v>
      </c>
      <c r="Q709" s="115">
        <v>1E-3</v>
      </c>
      <c r="R709" s="115">
        <v>1E-3</v>
      </c>
      <c r="S709" s="115">
        <v>1E-3</v>
      </c>
      <c r="T709" s="115">
        <v>0</v>
      </c>
      <c r="U709" s="115">
        <v>0</v>
      </c>
      <c r="V709" s="115">
        <v>0</v>
      </c>
      <c r="W709" s="115">
        <v>0</v>
      </c>
      <c r="X709" s="115">
        <v>0</v>
      </c>
      <c r="Y709" s="115">
        <v>0</v>
      </c>
      <c r="Z709" s="115">
        <v>0</v>
      </c>
      <c r="AA709" s="115">
        <v>0</v>
      </c>
      <c r="AB709" s="115">
        <v>0</v>
      </c>
      <c r="AC709" s="115">
        <v>0</v>
      </c>
      <c r="AD709" s="43"/>
      <c r="AE709" s="43"/>
      <c r="AF709" s="43"/>
      <c r="AG709" s="43"/>
      <c r="AH709" s="43"/>
      <c r="AI709" s="43"/>
    </row>
    <row r="710" spans="1:35" x14ac:dyDescent="0.25">
      <c r="A710" s="115" t="s">
        <v>1216</v>
      </c>
      <c r="B710" s="115"/>
      <c r="C710" s="115">
        <v>0.32400000000000001</v>
      </c>
      <c r="D710" s="115">
        <v>9.7000000000000003E-2</v>
      </c>
      <c r="E710" s="115">
        <v>6.2E-2</v>
      </c>
      <c r="F710" s="115">
        <v>4.8000000000000001E-2</v>
      </c>
      <c r="G710" s="115">
        <v>4.4999999999999998E-2</v>
      </c>
      <c r="H710" s="115">
        <v>4.2000000000000003E-2</v>
      </c>
      <c r="I710" s="115">
        <v>3.9E-2</v>
      </c>
      <c r="J710" s="115">
        <v>3.6999999999999998E-2</v>
      </c>
      <c r="K710" s="115">
        <v>4.3999999999999997E-2</v>
      </c>
      <c r="L710" s="115">
        <v>3.9E-2</v>
      </c>
      <c r="M710" s="115">
        <v>3.4000000000000002E-2</v>
      </c>
      <c r="N710" s="115">
        <v>2.9000000000000001E-2</v>
      </c>
      <c r="O710" s="115">
        <v>7.0000000000000001E-3</v>
      </c>
      <c r="P710" s="115">
        <v>6.0000000000000001E-3</v>
      </c>
      <c r="Q710" s="115">
        <v>5.0000000000000001E-3</v>
      </c>
      <c r="R710" s="115">
        <v>4.0000000000000001E-3</v>
      </c>
      <c r="S710" s="115">
        <v>4.0000000000000001E-3</v>
      </c>
      <c r="T710" s="115">
        <v>3.0000000000000001E-3</v>
      </c>
      <c r="U710" s="115">
        <v>3.0000000000000001E-3</v>
      </c>
      <c r="V710" s="115">
        <v>2E-3</v>
      </c>
      <c r="W710" s="115">
        <v>1E-3</v>
      </c>
      <c r="X710" s="115">
        <v>1E-3</v>
      </c>
      <c r="Y710" s="115">
        <v>1E-3</v>
      </c>
      <c r="Z710" s="115">
        <v>1E-3</v>
      </c>
      <c r="AA710" s="115">
        <v>1E-3</v>
      </c>
      <c r="AB710" s="115">
        <v>1E-3</v>
      </c>
      <c r="AC710" s="115">
        <v>0</v>
      </c>
      <c r="AD710" s="43"/>
      <c r="AE710" s="43"/>
      <c r="AF710" s="43"/>
      <c r="AG710" s="43"/>
      <c r="AH710" s="43"/>
      <c r="AI710" s="43"/>
    </row>
    <row r="711" spans="1:35" x14ac:dyDescent="0.25">
      <c r="A711" s="115" t="s">
        <v>1217</v>
      </c>
      <c r="B711" s="115"/>
      <c r="C711" s="115">
        <v>13.916</v>
      </c>
      <c r="D711" s="115">
        <v>4.0730000000000004</v>
      </c>
      <c r="E711" s="115">
        <v>2.33</v>
      </c>
      <c r="F711" s="115">
        <v>1.909</v>
      </c>
      <c r="G711" s="115">
        <v>1.6319999999999999</v>
      </c>
      <c r="H711" s="115">
        <v>1.393</v>
      </c>
      <c r="I711" s="115">
        <v>1.1919999999999999</v>
      </c>
      <c r="J711" s="115">
        <v>1.042</v>
      </c>
      <c r="K711" s="115">
        <v>1.4490000000000001</v>
      </c>
      <c r="L711" s="115">
        <v>1.121</v>
      </c>
      <c r="M711" s="115">
        <v>0.88400000000000001</v>
      </c>
      <c r="N711" s="115">
        <v>0.71299999999999997</v>
      </c>
      <c r="O711" s="115">
        <v>0.56999999999999995</v>
      </c>
      <c r="P711" s="115">
        <v>0.47799999999999998</v>
      </c>
      <c r="Q711" s="115">
        <v>0.39500000000000002</v>
      </c>
      <c r="R711" s="115">
        <v>0.32400000000000001</v>
      </c>
      <c r="S711" s="115">
        <v>0.28599999999999998</v>
      </c>
      <c r="T711" s="115">
        <v>0.20399999999999999</v>
      </c>
      <c r="U711" s="115">
        <v>0.159</v>
      </c>
      <c r="V711" s="115">
        <v>0.121</v>
      </c>
      <c r="W711" s="115">
        <v>9.2999999999999999E-2</v>
      </c>
      <c r="X711" s="115">
        <v>7.4999999999999997E-2</v>
      </c>
      <c r="Y711" s="115">
        <v>5.8999999999999997E-2</v>
      </c>
      <c r="Z711" s="115">
        <v>4.5999999999999999E-2</v>
      </c>
      <c r="AA711" s="115">
        <v>3.4000000000000002E-2</v>
      </c>
      <c r="AB711" s="115">
        <v>2.5000000000000001E-2</v>
      </c>
      <c r="AC711" s="115">
        <v>1.6E-2</v>
      </c>
      <c r="AD711" s="43"/>
      <c r="AE711" s="43"/>
      <c r="AF711" s="43"/>
      <c r="AG711" s="43"/>
      <c r="AH711" s="43"/>
      <c r="AI711" s="43"/>
    </row>
    <row r="712" spans="1:35" x14ac:dyDescent="0.25">
      <c r="A712" s="115" t="s">
        <v>1218</v>
      </c>
      <c r="B712" s="115"/>
      <c r="C712" s="115">
        <v>39.664000000000001</v>
      </c>
      <c r="D712" s="115">
        <v>11.571999999999999</v>
      </c>
      <c r="E712" s="115">
        <v>9.375</v>
      </c>
      <c r="F712" s="115">
        <v>8.9700000000000006</v>
      </c>
      <c r="G712" s="115">
        <v>7.6970000000000001</v>
      </c>
      <c r="H712" s="115">
        <v>6.6040000000000001</v>
      </c>
      <c r="I712" s="115">
        <v>5.59</v>
      </c>
      <c r="J712" s="115">
        <v>4.7949999999999999</v>
      </c>
      <c r="K712" s="115">
        <v>6.8550000000000004</v>
      </c>
      <c r="L712" s="115">
        <v>4.827</v>
      </c>
      <c r="M712" s="115">
        <v>2.996</v>
      </c>
      <c r="N712" s="115">
        <v>1.3680000000000001</v>
      </c>
      <c r="O712" s="115">
        <v>0.78800000000000003</v>
      </c>
      <c r="P712" s="115">
        <v>0.61899999999999999</v>
      </c>
      <c r="Q712" s="115">
        <v>0.47499999999999998</v>
      </c>
      <c r="R712" s="115">
        <v>0.35499999999999998</v>
      </c>
      <c r="S712" s="115">
        <v>0.28699999999999998</v>
      </c>
      <c r="T712" s="115">
        <v>0.182</v>
      </c>
      <c r="U712" s="115">
        <v>0.13</v>
      </c>
      <c r="V712" s="115">
        <v>9.0999999999999998E-2</v>
      </c>
      <c r="W712" s="115">
        <v>6.4000000000000001E-2</v>
      </c>
      <c r="X712" s="115">
        <v>4.7E-2</v>
      </c>
      <c r="Y712" s="115">
        <v>3.5000000000000003E-2</v>
      </c>
      <c r="Z712" s="115">
        <v>2.5000000000000001E-2</v>
      </c>
      <c r="AA712" s="115">
        <v>1.7999999999999999E-2</v>
      </c>
      <c r="AB712" s="115">
        <v>1.2E-2</v>
      </c>
      <c r="AC712" s="115">
        <v>8.0000000000000002E-3</v>
      </c>
      <c r="AD712" s="43"/>
      <c r="AE712" s="43"/>
      <c r="AF712" s="43"/>
      <c r="AG712" s="43"/>
      <c r="AH712" s="43"/>
      <c r="AI712" s="43"/>
    </row>
    <row r="713" spans="1:35" x14ac:dyDescent="0.25">
      <c r="A713" s="115" t="s">
        <v>1219</v>
      </c>
      <c r="B713" s="115"/>
      <c r="C713" s="115">
        <v>6.7229999999999999</v>
      </c>
      <c r="D713" s="115">
        <v>2.5249999999999999</v>
      </c>
      <c r="E713" s="115">
        <v>1.839</v>
      </c>
      <c r="F713" s="115">
        <v>1.66</v>
      </c>
      <c r="G713" s="115">
        <v>1.3919999999999999</v>
      </c>
      <c r="H713" s="115">
        <v>1.171</v>
      </c>
      <c r="I713" s="115">
        <v>0.97899999999999998</v>
      </c>
      <c r="J713" s="115">
        <v>0.82799999999999996</v>
      </c>
      <c r="K713" s="115">
        <v>1.0269999999999999</v>
      </c>
      <c r="L713" s="115">
        <v>0.77</v>
      </c>
      <c r="M713" s="115">
        <v>0.55500000000000005</v>
      </c>
      <c r="N713" s="115">
        <v>0.379</v>
      </c>
      <c r="O713" s="115">
        <v>0.30399999999999999</v>
      </c>
      <c r="P713" s="115">
        <v>0.249</v>
      </c>
      <c r="Q713" s="115">
        <v>0.20100000000000001</v>
      </c>
      <c r="R713" s="115">
        <v>0.161</v>
      </c>
      <c r="S713" s="115">
        <v>0.20399999999999999</v>
      </c>
      <c r="T713" s="115">
        <v>9.2999999999999999E-2</v>
      </c>
      <c r="U713" s="115">
        <v>7.2999999999999995E-2</v>
      </c>
      <c r="V713" s="115">
        <v>5.7000000000000002E-2</v>
      </c>
      <c r="W713" s="115">
        <v>4.7E-2</v>
      </c>
      <c r="X713" s="115">
        <v>3.7999999999999999E-2</v>
      </c>
      <c r="Y713" s="115">
        <v>3.1E-2</v>
      </c>
      <c r="Z713" s="115">
        <v>2.4E-2</v>
      </c>
      <c r="AA713" s="115">
        <v>1.9E-2</v>
      </c>
      <c r="AB713" s="115">
        <v>1.4E-2</v>
      </c>
      <c r="AC713" s="115">
        <v>0.01</v>
      </c>
      <c r="AD713" s="43"/>
      <c r="AE713" s="43"/>
      <c r="AF713" s="43"/>
      <c r="AG713" s="43"/>
      <c r="AH713" s="43"/>
      <c r="AI713" s="43"/>
    </row>
    <row r="714" spans="1:35" x14ac:dyDescent="0.25">
      <c r="A714" s="115" t="s">
        <v>1220</v>
      </c>
      <c r="B714" s="115"/>
      <c r="C714" s="115">
        <v>19.41</v>
      </c>
      <c r="D714" s="115">
        <v>10.343999999999999</v>
      </c>
      <c r="E714" s="115">
        <v>8.0419999999999998</v>
      </c>
      <c r="F714" s="115">
        <v>7.2320000000000002</v>
      </c>
      <c r="G714" s="115">
        <v>6.2329999999999997</v>
      </c>
      <c r="H714" s="115">
        <v>5.3490000000000002</v>
      </c>
      <c r="I714" s="115">
        <v>4.5590000000000002</v>
      </c>
      <c r="J714" s="115">
        <v>3.8889999999999998</v>
      </c>
      <c r="K714" s="115">
        <v>3.7410000000000001</v>
      </c>
      <c r="L714" s="115">
        <v>3.0449999999999999</v>
      </c>
      <c r="M714" s="115">
        <v>2.4889999999999999</v>
      </c>
      <c r="N714" s="115">
        <v>2.0419999999999998</v>
      </c>
      <c r="O714" s="115">
        <v>1.6950000000000001</v>
      </c>
      <c r="P714" s="115">
        <v>1.4239999999999999</v>
      </c>
      <c r="Q714" s="115">
        <v>1.1910000000000001</v>
      </c>
      <c r="R714" s="115">
        <v>1.0029999999999999</v>
      </c>
      <c r="S714" s="115">
        <v>1.258</v>
      </c>
      <c r="T714" s="115">
        <v>0.63</v>
      </c>
      <c r="U714" s="115">
        <v>0.51900000000000002</v>
      </c>
      <c r="V714" s="115">
        <v>0.42499999999999999</v>
      </c>
      <c r="W714" s="115">
        <v>0.35599999999999998</v>
      </c>
      <c r="X714" s="115">
        <v>0.29499999999999998</v>
      </c>
      <c r="Y714" s="115">
        <v>0.23799999999999999</v>
      </c>
      <c r="Z714" s="115">
        <v>0.19</v>
      </c>
      <c r="AA714" s="115">
        <v>0.14699999999999999</v>
      </c>
      <c r="AB714" s="115">
        <v>0.109</v>
      </c>
      <c r="AC714" s="115">
        <v>7.3999999999999996E-2</v>
      </c>
      <c r="AD714" s="43"/>
      <c r="AE714" s="43"/>
      <c r="AF714" s="43"/>
      <c r="AG714" s="43"/>
      <c r="AH714" s="43"/>
      <c r="AI714" s="43"/>
    </row>
    <row r="715" spans="1:35" x14ac:dyDescent="0.25">
      <c r="A715" s="115" t="s">
        <v>1221</v>
      </c>
      <c r="B715" s="115"/>
      <c r="C715" s="115">
        <v>27.582999999999998</v>
      </c>
      <c r="D715" s="115">
        <v>13.987</v>
      </c>
      <c r="E715" s="115">
        <v>12.874000000000001</v>
      </c>
      <c r="F715" s="115">
        <v>11.285</v>
      </c>
      <c r="G715" s="115">
        <v>9.1359999999999992</v>
      </c>
      <c r="H715" s="115">
        <v>7.2779999999999996</v>
      </c>
      <c r="I715" s="115">
        <v>5.66</v>
      </c>
      <c r="J715" s="115">
        <v>4.2919999999999998</v>
      </c>
      <c r="K715" s="115">
        <v>3.3090000000000002</v>
      </c>
      <c r="L715" s="115">
        <v>2.109</v>
      </c>
      <c r="M715" s="115">
        <v>1.1559999999999999</v>
      </c>
      <c r="N715" s="115">
        <v>0.41399999999999998</v>
      </c>
      <c r="O715" s="115">
        <v>0.34399999999999997</v>
      </c>
      <c r="P715" s="115">
        <v>0.28599999999999998</v>
      </c>
      <c r="Q715" s="115">
        <v>0.23699999999999999</v>
      </c>
      <c r="R715" s="115">
        <v>0.19500000000000001</v>
      </c>
      <c r="S715" s="115">
        <v>0.158</v>
      </c>
      <c r="T715" s="115">
        <v>0.126</v>
      </c>
      <c r="U715" s="115">
        <v>0.1</v>
      </c>
      <c r="V715" s="115">
        <v>7.6999999999999999E-2</v>
      </c>
      <c r="W715" s="115">
        <v>6.6000000000000003E-2</v>
      </c>
      <c r="X715" s="115">
        <v>5.5E-2</v>
      </c>
      <c r="Y715" s="115">
        <v>4.4999999999999998E-2</v>
      </c>
      <c r="Z715" s="115">
        <v>3.5999999999999997E-2</v>
      </c>
      <c r="AA715" s="115">
        <v>2.8000000000000001E-2</v>
      </c>
      <c r="AB715" s="115">
        <v>2.1999999999999999E-2</v>
      </c>
      <c r="AC715" s="115">
        <v>1.6E-2</v>
      </c>
      <c r="AD715" s="43"/>
      <c r="AE715" s="43"/>
      <c r="AF715" s="43"/>
      <c r="AG715" s="43"/>
      <c r="AH715" s="43"/>
      <c r="AI715" s="43"/>
    </row>
    <row r="716" spans="1:35" x14ac:dyDescent="0.25">
      <c r="A716" s="115" t="s">
        <v>48</v>
      </c>
      <c r="B716" s="115"/>
      <c r="C716" s="115">
        <v>66.858999999999995</v>
      </c>
      <c r="D716" s="115">
        <v>51</v>
      </c>
      <c r="E716" s="115">
        <v>50.872</v>
      </c>
      <c r="F716" s="115">
        <v>55.295000000000002</v>
      </c>
      <c r="G716" s="115">
        <v>54.615000000000002</v>
      </c>
      <c r="H716" s="115">
        <v>53.884</v>
      </c>
      <c r="I716" s="115">
        <v>57.445999999999998</v>
      </c>
      <c r="J716" s="115">
        <v>56.115000000000002</v>
      </c>
      <c r="K716" s="115">
        <v>58.914000000000001</v>
      </c>
      <c r="L716" s="115">
        <v>57.405000000000001</v>
      </c>
      <c r="M716" s="115">
        <v>55.917999999999999</v>
      </c>
      <c r="N716" s="115">
        <v>54.484999999999999</v>
      </c>
      <c r="O716" s="115">
        <v>88.685000000000002</v>
      </c>
      <c r="P716" s="115">
        <v>84.069000000000003</v>
      </c>
      <c r="Q716" s="115">
        <v>79.451999999999998</v>
      </c>
      <c r="R716" s="115">
        <v>75.293999999999997</v>
      </c>
      <c r="S716" s="115">
        <v>145.47200000000001</v>
      </c>
      <c r="T716" s="115">
        <v>98.551000000000002</v>
      </c>
      <c r="U716" s="115">
        <v>93.180999999999997</v>
      </c>
      <c r="V716" s="115">
        <v>88.131</v>
      </c>
      <c r="W716" s="115">
        <v>84.212999999999994</v>
      </c>
      <c r="X716" s="115">
        <v>80.578000000000003</v>
      </c>
      <c r="Y716" s="115">
        <v>76.763000000000005</v>
      </c>
      <c r="Z716" s="115">
        <v>73.182000000000002</v>
      </c>
      <c r="AA716" s="115">
        <v>69.727999999999994</v>
      </c>
      <c r="AB716" s="115">
        <v>66.388999999999996</v>
      </c>
      <c r="AC716" s="115">
        <v>63.03</v>
      </c>
      <c r="AD716" s="43"/>
      <c r="AE716" s="43"/>
      <c r="AF716" s="43"/>
      <c r="AG716" s="43"/>
      <c r="AH716" s="43"/>
      <c r="AI716" s="43"/>
    </row>
    <row r="717" spans="1:35" x14ac:dyDescent="0.25">
      <c r="A717" s="115" t="s">
        <v>49</v>
      </c>
      <c r="B717" s="115"/>
      <c r="C717" s="115">
        <v>75.745999999999995</v>
      </c>
      <c r="D717" s="115">
        <v>60.488</v>
      </c>
      <c r="E717" s="115">
        <v>89.875</v>
      </c>
      <c r="F717" s="115">
        <v>75.798000000000002</v>
      </c>
      <c r="G717" s="115">
        <v>64.471999999999994</v>
      </c>
      <c r="H717" s="115">
        <v>55.584000000000003</v>
      </c>
      <c r="I717" s="115">
        <v>48.606000000000002</v>
      </c>
      <c r="J717" s="115">
        <v>235.9</v>
      </c>
      <c r="K717" s="115">
        <v>192.02699999999999</v>
      </c>
      <c r="L717" s="115">
        <v>156.03399999999999</v>
      </c>
      <c r="M717" s="115">
        <v>127.49</v>
      </c>
      <c r="N717" s="115">
        <v>104.876</v>
      </c>
      <c r="O717" s="115">
        <v>87.415999999999997</v>
      </c>
      <c r="P717" s="115">
        <v>413.80099999999999</v>
      </c>
      <c r="Q717" s="115">
        <v>364.35</v>
      </c>
      <c r="R717" s="115">
        <v>322.45999999999998</v>
      </c>
      <c r="S717" s="115">
        <v>289.77800000000002</v>
      </c>
      <c r="T717" s="115">
        <v>250.38</v>
      </c>
      <c r="U717" s="115">
        <v>222.02500000000001</v>
      </c>
      <c r="V717" s="115">
        <v>197.137</v>
      </c>
      <c r="W717" s="115">
        <v>180.06700000000001</v>
      </c>
      <c r="X717" s="115">
        <v>164.357</v>
      </c>
      <c r="Y717" s="115">
        <v>150.423</v>
      </c>
      <c r="Z717" s="115">
        <v>137.97</v>
      </c>
      <c r="AA717" s="115">
        <v>127.006</v>
      </c>
      <c r="AB717" s="115">
        <v>117.372</v>
      </c>
      <c r="AC717" s="115">
        <v>108.896</v>
      </c>
      <c r="AD717" s="43"/>
      <c r="AE717" s="43"/>
      <c r="AF717" s="43"/>
      <c r="AG717" s="43"/>
      <c r="AH717" s="43"/>
      <c r="AI717" s="43"/>
    </row>
    <row r="718" spans="1:35" x14ac:dyDescent="0.25">
      <c r="A718" s="115" t="s">
        <v>50</v>
      </c>
      <c r="B718" s="115"/>
      <c r="C718" s="115">
        <v>15.24</v>
      </c>
      <c r="D718" s="115">
        <v>61.817999999999998</v>
      </c>
      <c r="E718" s="115">
        <v>139.63300000000001</v>
      </c>
      <c r="F718" s="115">
        <v>181.31</v>
      </c>
      <c r="G718" s="115">
        <v>224.56700000000001</v>
      </c>
      <c r="H718" s="115">
        <v>234.96600000000001</v>
      </c>
      <c r="I718" s="115">
        <v>238.434</v>
      </c>
      <c r="J718" s="115">
        <v>253.65299999999999</v>
      </c>
      <c r="K718" s="115">
        <v>245.87799999999999</v>
      </c>
      <c r="L718" s="115">
        <v>265.50299999999999</v>
      </c>
      <c r="M718" s="115">
        <v>311.76100000000002</v>
      </c>
      <c r="N718" s="115">
        <v>325.79500000000002</v>
      </c>
      <c r="O718" s="115">
        <v>298.59800000000001</v>
      </c>
      <c r="P718" s="115">
        <v>256.43900000000002</v>
      </c>
      <c r="Q718" s="115">
        <v>275.69400000000002</v>
      </c>
      <c r="R718" s="115">
        <v>321.87200000000001</v>
      </c>
      <c r="S718" s="115">
        <v>335.75700000000001</v>
      </c>
      <c r="T718" s="115">
        <v>336.935</v>
      </c>
      <c r="U718" s="115">
        <v>346.87099999999998</v>
      </c>
      <c r="V718" s="115">
        <v>310.096</v>
      </c>
      <c r="W718" s="115">
        <v>344.03</v>
      </c>
      <c r="X718" s="115">
        <v>327.65100000000001</v>
      </c>
      <c r="Y718" s="115">
        <v>313.464</v>
      </c>
      <c r="Z718" s="115">
        <v>299.41899999999998</v>
      </c>
      <c r="AA718" s="115">
        <v>286.48099999999999</v>
      </c>
      <c r="AB718" s="115">
        <v>274.02999999999997</v>
      </c>
      <c r="AC718" s="115">
        <v>261.98399999999998</v>
      </c>
      <c r="AD718" s="43"/>
      <c r="AE718" s="43"/>
      <c r="AF718" s="43"/>
      <c r="AG718" s="43"/>
      <c r="AH718" s="43"/>
      <c r="AI718" s="43"/>
    </row>
    <row r="719" spans="1:35" x14ac:dyDescent="0.25">
      <c r="A719" s="115" t="s">
        <v>328</v>
      </c>
      <c r="B719" s="115"/>
      <c r="C719" s="115">
        <v>157.845</v>
      </c>
      <c r="D719" s="115">
        <v>173.30600000000001</v>
      </c>
      <c r="E719" s="115">
        <v>280.38</v>
      </c>
      <c r="F719" s="115">
        <v>312.40300000000002</v>
      </c>
      <c r="G719" s="115">
        <v>343.65300000000002</v>
      </c>
      <c r="H719" s="115">
        <v>344.43400000000003</v>
      </c>
      <c r="I719" s="115">
        <v>344.48599999999999</v>
      </c>
      <c r="J719" s="115">
        <v>545.66700000000003</v>
      </c>
      <c r="K719" s="115">
        <v>496.81900000000002</v>
      </c>
      <c r="L719" s="115">
        <v>478.94200000000001</v>
      </c>
      <c r="M719" s="115">
        <v>495.16800000000001</v>
      </c>
      <c r="N719" s="115">
        <v>485.15600000000001</v>
      </c>
      <c r="O719" s="115">
        <v>474.69799999999998</v>
      </c>
      <c r="P719" s="115">
        <v>754.30899999999997</v>
      </c>
      <c r="Q719" s="115">
        <v>719.49599999999998</v>
      </c>
      <c r="R719" s="115">
        <v>719.62599999999998</v>
      </c>
      <c r="S719" s="115">
        <v>771.00699999999995</v>
      </c>
      <c r="T719" s="115">
        <v>685.86500000000001</v>
      </c>
      <c r="U719" s="115">
        <v>662.077</v>
      </c>
      <c r="V719" s="115">
        <v>595.36500000000001</v>
      </c>
      <c r="W719" s="115">
        <v>608.30999999999995</v>
      </c>
      <c r="X719" s="115">
        <v>572.58699999999999</v>
      </c>
      <c r="Y719" s="115">
        <v>540.65099999999995</v>
      </c>
      <c r="Z719" s="115">
        <v>510.57</v>
      </c>
      <c r="AA719" s="115">
        <v>483.21600000000001</v>
      </c>
      <c r="AB719" s="115">
        <v>457.79</v>
      </c>
      <c r="AC719" s="115">
        <v>433.91</v>
      </c>
      <c r="AD719" s="43"/>
      <c r="AE719" s="43"/>
      <c r="AF719" s="43"/>
      <c r="AG719" s="43"/>
      <c r="AH719" s="43"/>
      <c r="AI719" s="43"/>
    </row>
    <row r="720" spans="1:35" x14ac:dyDescent="0.25">
      <c r="A720" s="115" t="s">
        <v>192</v>
      </c>
      <c r="B720" s="115"/>
      <c r="C720" s="115">
        <v>68.069999999999993</v>
      </c>
      <c r="D720" s="115">
        <v>52.066000000000003</v>
      </c>
      <c r="E720" s="115">
        <v>133.673</v>
      </c>
      <c r="F720" s="115">
        <v>127.437</v>
      </c>
      <c r="G720" s="115">
        <v>99.521000000000001</v>
      </c>
      <c r="H720" s="115">
        <v>77.313999999999993</v>
      </c>
      <c r="I720" s="115">
        <v>120.532</v>
      </c>
      <c r="J720" s="115">
        <v>326.61399999999998</v>
      </c>
      <c r="K720" s="115">
        <v>259.52999999999997</v>
      </c>
      <c r="L720" s="115">
        <v>205.79400000000001</v>
      </c>
      <c r="M720" s="115">
        <v>162.74199999999999</v>
      </c>
      <c r="N720" s="115">
        <v>128.255</v>
      </c>
      <c r="O720" s="115">
        <v>153.61699999999999</v>
      </c>
      <c r="P720" s="115">
        <v>633.76099999999997</v>
      </c>
      <c r="Q720" s="115">
        <v>562.96600000000001</v>
      </c>
      <c r="R720" s="115">
        <v>501.72500000000002</v>
      </c>
      <c r="S720" s="115">
        <v>654.22400000000005</v>
      </c>
      <c r="T720" s="115">
        <v>592.13199999999995</v>
      </c>
      <c r="U720" s="115">
        <v>538.66499999999996</v>
      </c>
      <c r="V720" s="115">
        <v>490.613</v>
      </c>
      <c r="W720" s="115">
        <v>459.47199999999998</v>
      </c>
      <c r="X720" s="115">
        <v>429.56599999999997</v>
      </c>
      <c r="Y720" s="115">
        <v>401.36399999999998</v>
      </c>
      <c r="Z720" s="115">
        <v>375.87900000000002</v>
      </c>
      <c r="AA720" s="115">
        <v>352.49200000000002</v>
      </c>
      <c r="AB720" s="115">
        <v>331.02499999999998</v>
      </c>
      <c r="AC720" s="115">
        <v>311.02499999999998</v>
      </c>
      <c r="AD720" s="43"/>
      <c r="AE720" s="43"/>
      <c r="AF720" s="43"/>
      <c r="AG720" s="43"/>
      <c r="AH720" s="43"/>
      <c r="AI720" s="43"/>
    </row>
    <row r="721" spans="1:35" x14ac:dyDescent="0.25">
      <c r="A721" s="115" t="s">
        <v>193</v>
      </c>
      <c r="B721" s="115"/>
      <c r="C721" s="115">
        <v>68.069999999999993</v>
      </c>
      <c r="D721" s="115">
        <v>52.066000000000003</v>
      </c>
      <c r="E721" s="115">
        <v>133.673</v>
      </c>
      <c r="F721" s="115">
        <v>102.73099999999999</v>
      </c>
      <c r="G721" s="115">
        <v>78.596000000000004</v>
      </c>
      <c r="H721" s="115">
        <v>59.808999999999997</v>
      </c>
      <c r="I721" s="115">
        <v>45.231999999999999</v>
      </c>
      <c r="J721" s="115">
        <v>260.471</v>
      </c>
      <c r="K721" s="115">
        <v>202.197</v>
      </c>
      <c r="L721" s="115">
        <v>156.464</v>
      </c>
      <c r="M721" s="115">
        <v>120.634</v>
      </c>
      <c r="N721" s="115">
        <v>92.623000000000005</v>
      </c>
      <c r="O721" s="115">
        <v>72.070999999999998</v>
      </c>
      <c r="P721" s="115">
        <v>561.36500000000001</v>
      </c>
      <c r="Q721" s="115">
        <v>499.01600000000002</v>
      </c>
      <c r="R721" s="115">
        <v>445.29</v>
      </c>
      <c r="S721" s="115">
        <v>395.56200000000001</v>
      </c>
      <c r="T721" s="115">
        <v>349.15800000000002</v>
      </c>
      <c r="U721" s="115">
        <v>310.48</v>
      </c>
      <c r="V721" s="115">
        <v>276.08300000000003</v>
      </c>
      <c r="W721" s="115">
        <v>253.64599999999999</v>
      </c>
      <c r="X721" s="115">
        <v>232.267</v>
      </c>
      <c r="Y721" s="115">
        <v>212.96299999999999</v>
      </c>
      <c r="Z721" s="115">
        <v>195.55199999999999</v>
      </c>
      <c r="AA721" s="115">
        <v>180.00299999999999</v>
      </c>
      <c r="AB721" s="115">
        <v>166.155</v>
      </c>
      <c r="AC721" s="115">
        <v>153.797</v>
      </c>
      <c r="AD721" s="43"/>
      <c r="AE721" s="43"/>
      <c r="AF721" s="43"/>
      <c r="AG721" s="43"/>
      <c r="AH721" s="43"/>
      <c r="AI721" s="43"/>
    </row>
    <row r="722" spans="1:35" x14ac:dyDescent="0.25">
      <c r="A722" s="115" t="s">
        <v>196</v>
      </c>
      <c r="B722" s="115"/>
      <c r="C722" s="115"/>
      <c r="D722" s="115"/>
      <c r="E722" s="115"/>
      <c r="F722" s="115">
        <v>24.707000000000001</v>
      </c>
      <c r="G722" s="115">
        <v>20.923999999999999</v>
      </c>
      <c r="H722" s="115">
        <v>17.504999999999999</v>
      </c>
      <c r="I722" s="115">
        <v>75.299000000000007</v>
      </c>
      <c r="J722" s="115">
        <v>66.143000000000001</v>
      </c>
      <c r="K722" s="115">
        <v>57.332999999999998</v>
      </c>
      <c r="L722" s="115">
        <v>49.33</v>
      </c>
      <c r="M722" s="115">
        <v>42.107999999999997</v>
      </c>
      <c r="N722" s="115">
        <v>35.631</v>
      </c>
      <c r="O722" s="115">
        <v>81.546000000000006</v>
      </c>
      <c r="P722" s="115">
        <v>72.396000000000001</v>
      </c>
      <c r="Q722" s="115">
        <v>63.95</v>
      </c>
      <c r="R722" s="115">
        <v>56.435000000000002</v>
      </c>
      <c r="S722" s="115">
        <v>258.66300000000001</v>
      </c>
      <c r="T722" s="115">
        <v>242.97399999999999</v>
      </c>
      <c r="U722" s="115">
        <v>228.185</v>
      </c>
      <c r="V722" s="115">
        <v>214.53</v>
      </c>
      <c r="W722" s="115">
        <v>205.82599999999999</v>
      </c>
      <c r="X722" s="115">
        <v>197.29900000000001</v>
      </c>
      <c r="Y722" s="115">
        <v>188.40100000000001</v>
      </c>
      <c r="Z722" s="115">
        <v>180.327</v>
      </c>
      <c r="AA722" s="115">
        <v>172.49</v>
      </c>
      <c r="AB722" s="115">
        <v>164.87</v>
      </c>
      <c r="AC722" s="115">
        <v>157.227</v>
      </c>
      <c r="AD722" s="43"/>
      <c r="AE722" s="43"/>
      <c r="AF722" s="43"/>
      <c r="AG722" s="43"/>
      <c r="AH722" s="43"/>
      <c r="AI722" s="43"/>
    </row>
    <row r="723" spans="1:35" x14ac:dyDescent="0.25">
      <c r="A723" s="115" t="s">
        <v>51</v>
      </c>
      <c r="B723" s="115"/>
      <c r="C723" s="115">
        <v>373.90800000000002</v>
      </c>
      <c r="D723" s="115">
        <v>194.506</v>
      </c>
      <c r="E723" s="115">
        <v>207.952</v>
      </c>
      <c r="F723" s="115">
        <v>230.08699999999999</v>
      </c>
      <c r="G723" s="115">
        <v>222.751</v>
      </c>
      <c r="H723" s="115">
        <v>216.001</v>
      </c>
      <c r="I723" s="115">
        <v>266.178</v>
      </c>
      <c r="J723" s="115">
        <v>254.64</v>
      </c>
      <c r="K723" s="115">
        <v>255.42400000000001</v>
      </c>
      <c r="L723" s="115">
        <v>242.626</v>
      </c>
      <c r="M723" s="115">
        <v>230.38900000000001</v>
      </c>
      <c r="N723" s="115">
        <v>218.739</v>
      </c>
      <c r="O723" s="115">
        <v>225.44300000000001</v>
      </c>
      <c r="P723" s="115">
        <v>215.86500000000001</v>
      </c>
      <c r="Q723" s="115">
        <v>206.59899999999999</v>
      </c>
      <c r="R723" s="115">
        <v>198.05600000000001</v>
      </c>
      <c r="S723" s="115">
        <v>409.33600000000001</v>
      </c>
      <c r="T723" s="115">
        <v>345.072</v>
      </c>
      <c r="U723" s="115">
        <v>330.66</v>
      </c>
      <c r="V723" s="115">
        <v>317.29500000000002</v>
      </c>
      <c r="W723" s="115">
        <v>308.51400000000001</v>
      </c>
      <c r="X723" s="115">
        <v>300.96300000000002</v>
      </c>
      <c r="Y723" s="115">
        <v>292.709</v>
      </c>
      <c r="Z723" s="115">
        <v>285.11500000000001</v>
      </c>
      <c r="AA723" s="115">
        <v>277.81700000000001</v>
      </c>
      <c r="AB723" s="115">
        <v>270.64800000000002</v>
      </c>
      <c r="AC723" s="115">
        <v>265.262</v>
      </c>
      <c r="AD723" s="43"/>
      <c r="AE723" s="43"/>
      <c r="AF723" s="43"/>
      <c r="AG723" s="43"/>
      <c r="AH723" s="43"/>
      <c r="AI723" s="43"/>
    </row>
    <row r="724" spans="1:35" x14ac:dyDescent="0.25">
      <c r="A724" s="115" t="s">
        <v>52</v>
      </c>
      <c r="B724" s="115"/>
      <c r="C724" s="115">
        <v>54.747</v>
      </c>
      <c r="D724" s="115">
        <v>37.575000000000003</v>
      </c>
      <c r="E724" s="115">
        <v>88.86</v>
      </c>
      <c r="F724" s="115">
        <v>71.555999999999997</v>
      </c>
      <c r="G724" s="115">
        <v>57.828000000000003</v>
      </c>
      <c r="H724" s="115">
        <v>47.110999999999997</v>
      </c>
      <c r="I724" s="115">
        <v>38.75</v>
      </c>
      <c r="J724" s="115">
        <v>66.132000000000005</v>
      </c>
      <c r="K724" s="115">
        <v>52.555999999999997</v>
      </c>
      <c r="L724" s="115">
        <v>41.511000000000003</v>
      </c>
      <c r="M724" s="115">
        <v>33.067</v>
      </c>
      <c r="N724" s="115">
        <v>26.641999999999999</v>
      </c>
      <c r="O724" s="115">
        <v>22.704000000000001</v>
      </c>
      <c r="P724" s="115">
        <v>184.874</v>
      </c>
      <c r="Q724" s="115">
        <v>170.62299999999999</v>
      </c>
      <c r="R724" s="115">
        <v>157.56100000000001</v>
      </c>
      <c r="S724" s="115">
        <v>145.81800000000001</v>
      </c>
      <c r="T724" s="115">
        <v>131.06100000000001</v>
      </c>
      <c r="U724" s="115">
        <v>119.761</v>
      </c>
      <c r="V724" s="115">
        <v>109.343</v>
      </c>
      <c r="W724" s="115">
        <v>103.152</v>
      </c>
      <c r="X724" s="115">
        <v>97.028000000000006</v>
      </c>
      <c r="Y724" s="115">
        <v>91.126999999999995</v>
      </c>
      <c r="Z724" s="115">
        <v>85.679000000000002</v>
      </c>
      <c r="AA724" s="115">
        <v>80.64</v>
      </c>
      <c r="AB724" s="115">
        <v>76.004999999999995</v>
      </c>
      <c r="AC724" s="115">
        <v>71.778999999999996</v>
      </c>
      <c r="AD724" s="43"/>
      <c r="AE724" s="43"/>
      <c r="AF724" s="43"/>
      <c r="AG724" s="43"/>
      <c r="AH724" s="43"/>
      <c r="AI724" s="43"/>
    </row>
    <row r="725" spans="1:35" x14ac:dyDescent="0.25">
      <c r="A725" s="115" t="s">
        <v>53</v>
      </c>
      <c r="B725" s="115"/>
      <c r="C725" s="115">
        <v>14.484</v>
      </c>
      <c r="D725" s="115">
        <v>29.827999999999999</v>
      </c>
      <c r="E725" s="115">
        <v>47.03</v>
      </c>
      <c r="F725" s="115">
        <v>59.106000000000002</v>
      </c>
      <c r="G725" s="115">
        <v>61.26</v>
      </c>
      <c r="H725" s="115">
        <v>56.506999999999998</v>
      </c>
      <c r="I725" s="115">
        <v>61.023000000000003</v>
      </c>
      <c r="J725" s="115">
        <v>68.090999999999994</v>
      </c>
      <c r="K725" s="115">
        <v>75.900000000000006</v>
      </c>
      <c r="L725" s="115">
        <v>89.632999999999996</v>
      </c>
      <c r="M725" s="115">
        <v>108.262</v>
      </c>
      <c r="N725" s="115">
        <v>100.738</v>
      </c>
      <c r="O725" s="115">
        <v>105.217</v>
      </c>
      <c r="P725" s="115">
        <v>94.891999999999996</v>
      </c>
      <c r="Q725" s="115">
        <v>90.465999999999994</v>
      </c>
      <c r="R725" s="115">
        <v>89.046000000000006</v>
      </c>
      <c r="S725" s="115">
        <v>85.248999999999995</v>
      </c>
      <c r="T725" s="115">
        <v>78.483999999999995</v>
      </c>
      <c r="U725" s="115">
        <v>75.302000000000007</v>
      </c>
      <c r="V725" s="115">
        <v>35.494999999999997</v>
      </c>
      <c r="W725" s="115">
        <v>39.951999999999998</v>
      </c>
      <c r="X725" s="115">
        <v>38.637</v>
      </c>
      <c r="Y725" s="115">
        <v>37.526000000000003</v>
      </c>
      <c r="Z725" s="115">
        <v>36.261000000000003</v>
      </c>
      <c r="AA725" s="115">
        <v>35.168999999999997</v>
      </c>
      <c r="AB725" s="115">
        <v>34.057000000000002</v>
      </c>
      <c r="AC725" s="115">
        <v>32.911999999999999</v>
      </c>
      <c r="AD725" s="43"/>
      <c r="AE725" s="43"/>
      <c r="AF725" s="43"/>
      <c r="AG725" s="43"/>
      <c r="AH725" s="43"/>
      <c r="AI725" s="43"/>
    </row>
    <row r="726" spans="1:35" x14ac:dyDescent="0.25">
      <c r="A726" s="115" t="s">
        <v>329</v>
      </c>
      <c r="B726" s="115"/>
      <c r="C726" s="115">
        <v>443.13900000000001</v>
      </c>
      <c r="D726" s="115">
        <v>261.90899999999999</v>
      </c>
      <c r="E726" s="115">
        <v>343.84199999999998</v>
      </c>
      <c r="F726" s="115">
        <v>360.74900000000002</v>
      </c>
      <c r="G726" s="115">
        <v>341.83800000000002</v>
      </c>
      <c r="H726" s="115">
        <v>319.61900000000003</v>
      </c>
      <c r="I726" s="115">
        <v>365.95100000000002</v>
      </c>
      <c r="J726" s="115">
        <v>388.863</v>
      </c>
      <c r="K726" s="115">
        <v>383.88099999999997</v>
      </c>
      <c r="L726" s="115">
        <v>373.76900000000001</v>
      </c>
      <c r="M726" s="115">
        <v>371.71899999999999</v>
      </c>
      <c r="N726" s="115">
        <v>346.11900000000003</v>
      </c>
      <c r="O726" s="115">
        <v>353.363</v>
      </c>
      <c r="P726" s="115">
        <v>495.63099999999997</v>
      </c>
      <c r="Q726" s="115">
        <v>467.68900000000002</v>
      </c>
      <c r="R726" s="115">
        <v>444.66300000000001</v>
      </c>
      <c r="S726" s="115">
        <v>640.40200000000004</v>
      </c>
      <c r="T726" s="115">
        <v>554.61699999999996</v>
      </c>
      <c r="U726" s="115">
        <v>525.72299999999996</v>
      </c>
      <c r="V726" s="115">
        <v>462.13400000000001</v>
      </c>
      <c r="W726" s="115">
        <v>451.61799999999999</v>
      </c>
      <c r="X726" s="115">
        <v>436.62900000000002</v>
      </c>
      <c r="Y726" s="115">
        <v>421.36200000000002</v>
      </c>
      <c r="Z726" s="115">
        <v>407.05599999999998</v>
      </c>
      <c r="AA726" s="115">
        <v>393.62599999999998</v>
      </c>
      <c r="AB726" s="115">
        <v>380.71100000000001</v>
      </c>
      <c r="AC726" s="115">
        <v>369.95299999999997</v>
      </c>
      <c r="AD726" s="43"/>
      <c r="AE726" s="43"/>
      <c r="AF726" s="43"/>
      <c r="AG726" s="43"/>
      <c r="AH726" s="43"/>
      <c r="AI726" s="43"/>
    </row>
    <row r="727" spans="1:35" x14ac:dyDescent="0.25">
      <c r="A727" s="115" t="s">
        <v>677</v>
      </c>
      <c r="B727" s="115"/>
      <c r="C727" s="115">
        <v>27.279</v>
      </c>
      <c r="D727" s="115">
        <v>21.841999999999999</v>
      </c>
      <c r="E727" s="115">
        <v>29.052</v>
      </c>
      <c r="F727" s="115">
        <v>32.838000000000001</v>
      </c>
      <c r="G727" s="115">
        <v>35.774999999999999</v>
      </c>
      <c r="H727" s="115">
        <v>36.201999999999998</v>
      </c>
      <c r="I727" s="115">
        <v>37.069000000000003</v>
      </c>
      <c r="J727" s="115">
        <v>39.198</v>
      </c>
      <c r="K727" s="115">
        <v>40.548000000000002</v>
      </c>
      <c r="L727" s="115">
        <v>43.804000000000002</v>
      </c>
      <c r="M727" s="115">
        <v>49.656999999999996</v>
      </c>
      <c r="N727" s="115">
        <v>50.228000000000002</v>
      </c>
      <c r="O727" s="115">
        <v>43.503999999999998</v>
      </c>
      <c r="P727" s="115">
        <v>40.170999999999999</v>
      </c>
      <c r="Q727" s="115">
        <v>40.761000000000003</v>
      </c>
      <c r="R727" s="115">
        <v>37.130000000000003</v>
      </c>
      <c r="S727" s="115">
        <v>45.841000000000001</v>
      </c>
      <c r="T727" s="115">
        <v>38.606999999999999</v>
      </c>
      <c r="U727" s="115">
        <v>39.22</v>
      </c>
      <c r="V727" s="115">
        <v>28.71</v>
      </c>
      <c r="W727" s="115">
        <v>30.78</v>
      </c>
      <c r="X727" s="115">
        <v>23.454000000000001</v>
      </c>
      <c r="Y727" s="115">
        <v>32.594999999999999</v>
      </c>
      <c r="Z727" s="115">
        <v>26.556999999999999</v>
      </c>
      <c r="AA727" s="115">
        <v>30.393999999999998</v>
      </c>
      <c r="AB727" s="115">
        <v>34.698</v>
      </c>
      <c r="AC727" s="115">
        <v>38.279000000000003</v>
      </c>
      <c r="AD727" s="43"/>
      <c r="AE727" s="43"/>
      <c r="AF727" s="43"/>
      <c r="AG727" s="43"/>
      <c r="AH727" s="43"/>
      <c r="AI727" s="43"/>
    </row>
    <row r="728" spans="1:35" x14ac:dyDescent="0.25">
      <c r="A728" s="115" t="s">
        <v>1259</v>
      </c>
      <c r="B728" s="115"/>
      <c r="C728" s="115">
        <v>1048.914</v>
      </c>
      <c r="D728" s="115">
        <v>1336.6769999999999</v>
      </c>
      <c r="E728" s="115">
        <v>1651.8620000000001</v>
      </c>
      <c r="F728" s="115">
        <v>1591.0609999999999</v>
      </c>
      <c r="G728" s="115">
        <v>1521.818</v>
      </c>
      <c r="H728" s="115">
        <v>1444.0340000000001</v>
      </c>
      <c r="I728" s="115">
        <v>1358.761</v>
      </c>
      <c r="J728" s="115">
        <v>877.49400000000003</v>
      </c>
      <c r="K728" s="115">
        <v>862.10400000000004</v>
      </c>
      <c r="L728" s="115">
        <v>828.84699999999998</v>
      </c>
      <c r="M728" s="115">
        <v>793.87599999999998</v>
      </c>
      <c r="N728" s="115">
        <v>757.66600000000005</v>
      </c>
      <c r="O728" s="115">
        <v>737.29100000000005</v>
      </c>
      <c r="P728" s="115">
        <v>589.67499999999995</v>
      </c>
      <c r="Q728" s="115">
        <v>592.40599999999995</v>
      </c>
      <c r="R728" s="115">
        <v>595.47400000000005</v>
      </c>
      <c r="S728" s="115">
        <v>657.245</v>
      </c>
      <c r="T728" s="115">
        <v>599.00300000000004</v>
      </c>
      <c r="U728" s="115">
        <v>601.90700000000004</v>
      </c>
      <c r="V728" s="115">
        <v>605.20000000000005</v>
      </c>
      <c r="W728" s="115">
        <v>608.54499999999996</v>
      </c>
      <c r="X728" s="115">
        <v>612.11800000000005</v>
      </c>
      <c r="Y728" s="115">
        <v>614.59299999999996</v>
      </c>
      <c r="Z728" s="115">
        <v>617.423</v>
      </c>
      <c r="AA728" s="115">
        <v>619.83000000000004</v>
      </c>
      <c r="AB728" s="115">
        <v>621.81500000000005</v>
      </c>
      <c r="AC728" s="115">
        <v>623.59699999999998</v>
      </c>
      <c r="AD728" s="43"/>
      <c r="AE728" s="43"/>
      <c r="AF728" s="43"/>
      <c r="AG728" s="43"/>
      <c r="AH728" s="43"/>
      <c r="AI728" s="43"/>
    </row>
    <row r="729" spans="1:35" x14ac:dyDescent="0.25">
      <c r="A729" s="115" t="s">
        <v>1260</v>
      </c>
      <c r="B729" s="115"/>
      <c r="C729" s="115">
        <v>1016.528</v>
      </c>
      <c r="D729" s="115">
        <v>1274.5039999999999</v>
      </c>
      <c r="E729" s="115">
        <v>1774.0319999999999</v>
      </c>
      <c r="F729" s="115">
        <v>1700.05</v>
      </c>
      <c r="G729" s="115">
        <v>1616.81</v>
      </c>
      <c r="H729" s="115">
        <v>1524.7639999999999</v>
      </c>
      <c r="I729" s="115">
        <v>1425.7719999999999</v>
      </c>
      <c r="J729" s="115">
        <v>969.21299999999997</v>
      </c>
      <c r="K729" s="115">
        <v>945.822</v>
      </c>
      <c r="L729" s="115">
        <v>903.56700000000001</v>
      </c>
      <c r="M729" s="115">
        <v>858.54</v>
      </c>
      <c r="N729" s="115">
        <v>811.58799999999997</v>
      </c>
      <c r="O729" s="115">
        <v>785.9</v>
      </c>
      <c r="P729" s="115">
        <v>615.76499999999999</v>
      </c>
      <c r="Q729" s="115">
        <v>618.93299999999999</v>
      </c>
      <c r="R729" s="115">
        <v>622.41099999999994</v>
      </c>
      <c r="S729" s="115">
        <v>689.63</v>
      </c>
      <c r="T729" s="115">
        <v>626.274</v>
      </c>
      <c r="U729" s="115">
        <v>629.50199999999995</v>
      </c>
      <c r="V729" s="115">
        <v>633.1</v>
      </c>
      <c r="W729" s="115">
        <v>636.98099999999999</v>
      </c>
      <c r="X729" s="115">
        <v>641.05799999999999</v>
      </c>
      <c r="Y729" s="115">
        <v>643.928</v>
      </c>
      <c r="Z729" s="115">
        <v>647.18799999999999</v>
      </c>
      <c r="AA729" s="115">
        <v>649.976</v>
      </c>
      <c r="AB729" s="115">
        <v>652.298</v>
      </c>
      <c r="AC729" s="115">
        <v>654.41200000000003</v>
      </c>
      <c r="AD729" s="43"/>
      <c r="AE729" s="43"/>
      <c r="AF729" s="43"/>
      <c r="AG729" s="43"/>
      <c r="AH729" s="43"/>
      <c r="AI729" s="43"/>
    </row>
    <row r="730" spans="1:35" x14ac:dyDescent="0.25">
      <c r="A730" s="115" t="s">
        <v>1261</v>
      </c>
      <c r="B730" s="115"/>
      <c r="C730" s="115">
        <v>1099.249</v>
      </c>
      <c r="D730" s="115">
        <v>1335.691</v>
      </c>
      <c r="E730" s="115">
        <v>1707.9929999999999</v>
      </c>
      <c r="F730" s="115">
        <v>1628.527</v>
      </c>
      <c r="G730" s="115">
        <v>1540.3130000000001</v>
      </c>
      <c r="H730" s="115">
        <v>1444.4780000000001</v>
      </c>
      <c r="I730" s="115">
        <v>1343.3869999999999</v>
      </c>
      <c r="J730" s="115">
        <v>906.39700000000005</v>
      </c>
      <c r="K730" s="115">
        <v>890.428</v>
      </c>
      <c r="L730" s="115">
        <v>854.39400000000001</v>
      </c>
      <c r="M730" s="115">
        <v>815.98699999999997</v>
      </c>
      <c r="N730" s="115">
        <v>775.98199999999997</v>
      </c>
      <c r="O730" s="115">
        <v>753.29899999999998</v>
      </c>
      <c r="P730" s="115">
        <v>613.70600000000002</v>
      </c>
      <c r="Q730" s="115">
        <v>618.38900000000001</v>
      </c>
      <c r="R730" s="115">
        <v>623.15800000000002</v>
      </c>
      <c r="S730" s="115">
        <v>692.495</v>
      </c>
      <c r="T730" s="115">
        <v>629.16800000000001</v>
      </c>
      <c r="U730" s="115">
        <v>633.19399999999996</v>
      </c>
      <c r="V730" s="115">
        <v>637.43200000000002</v>
      </c>
      <c r="W730" s="115">
        <v>642.05100000000004</v>
      </c>
      <c r="X730" s="115">
        <v>646.74199999999996</v>
      </c>
      <c r="Y730" s="115">
        <v>650.12099999999998</v>
      </c>
      <c r="Z730" s="115">
        <v>653.774</v>
      </c>
      <c r="AA730" s="115">
        <v>656.89599999999996</v>
      </c>
      <c r="AB730" s="115">
        <v>659.48699999999997</v>
      </c>
      <c r="AC730" s="115">
        <v>661.69500000000005</v>
      </c>
      <c r="AD730" s="43"/>
      <c r="AE730" s="43"/>
      <c r="AF730" s="43"/>
      <c r="AG730" s="43"/>
      <c r="AH730" s="43"/>
      <c r="AI730" s="43"/>
    </row>
    <row r="731" spans="1:35" x14ac:dyDescent="0.25">
      <c r="A731" s="115" t="s">
        <v>1262</v>
      </c>
      <c r="B731" s="115"/>
      <c r="C731" s="115">
        <v>1022.574</v>
      </c>
      <c r="D731" s="115">
        <v>1234.8499999999999</v>
      </c>
      <c r="E731" s="115">
        <v>1533.8140000000001</v>
      </c>
      <c r="F731" s="115">
        <v>1460.787</v>
      </c>
      <c r="G731" s="115">
        <v>1379.6420000000001</v>
      </c>
      <c r="H731" s="115">
        <v>1292.1669999999999</v>
      </c>
      <c r="I731" s="115">
        <v>1200.73</v>
      </c>
      <c r="J731" s="115">
        <v>821.60900000000004</v>
      </c>
      <c r="K731" s="115">
        <v>813.05799999999999</v>
      </c>
      <c r="L731" s="115">
        <v>784.16</v>
      </c>
      <c r="M731" s="115">
        <v>753.73099999999999</v>
      </c>
      <c r="N731" s="115">
        <v>722.37699999999995</v>
      </c>
      <c r="O731" s="115">
        <v>705.37</v>
      </c>
      <c r="P731" s="115">
        <v>604.00400000000002</v>
      </c>
      <c r="Q731" s="115">
        <v>608.20000000000005</v>
      </c>
      <c r="R731" s="115">
        <v>612.53399999999999</v>
      </c>
      <c r="S731" s="115">
        <v>683.99099999999999</v>
      </c>
      <c r="T731" s="115">
        <v>617.34199999999998</v>
      </c>
      <c r="U731" s="115">
        <v>620.71500000000003</v>
      </c>
      <c r="V731" s="115">
        <v>624.23500000000001</v>
      </c>
      <c r="W731" s="115">
        <v>628.49599999999998</v>
      </c>
      <c r="X731" s="115">
        <v>632.72699999999998</v>
      </c>
      <c r="Y731" s="115">
        <v>635.64300000000003</v>
      </c>
      <c r="Z731" s="115">
        <v>638.85799999999995</v>
      </c>
      <c r="AA731" s="115">
        <v>641.54700000000003</v>
      </c>
      <c r="AB731" s="115">
        <v>643.74199999999996</v>
      </c>
      <c r="AC731" s="115">
        <v>645.59500000000003</v>
      </c>
      <c r="AD731" s="43"/>
      <c r="AE731" s="43"/>
      <c r="AF731" s="43"/>
      <c r="AG731" s="43"/>
      <c r="AH731" s="43"/>
      <c r="AI731" s="43"/>
    </row>
    <row r="732" spans="1:35" x14ac:dyDescent="0.25">
      <c r="A732" s="115" t="s">
        <v>1263</v>
      </c>
      <c r="B732" s="115"/>
      <c r="C732" s="115">
        <v>929.88400000000001</v>
      </c>
      <c r="D732" s="115">
        <v>1108.577</v>
      </c>
      <c r="E732" s="115">
        <v>1405.982</v>
      </c>
      <c r="F732" s="115">
        <v>1344.57</v>
      </c>
      <c r="G732" s="115">
        <v>1275.498</v>
      </c>
      <c r="H732" s="115">
        <v>1200.3579999999999</v>
      </c>
      <c r="I732" s="115">
        <v>1120.9960000000001</v>
      </c>
      <c r="J732" s="115">
        <v>750.476</v>
      </c>
      <c r="K732" s="115">
        <v>749.12900000000002</v>
      </c>
      <c r="L732" s="115">
        <v>727.28099999999995</v>
      </c>
      <c r="M732" s="115">
        <v>704.65</v>
      </c>
      <c r="N732" s="115">
        <v>681.60599999999999</v>
      </c>
      <c r="O732" s="115">
        <v>668.65800000000002</v>
      </c>
      <c r="P732" s="115">
        <v>591.63599999999997</v>
      </c>
      <c r="Q732" s="115">
        <v>594.74699999999996</v>
      </c>
      <c r="R732" s="115">
        <v>598.15599999999995</v>
      </c>
      <c r="S732" s="115">
        <v>671.83100000000002</v>
      </c>
      <c r="T732" s="115">
        <v>600.78099999999995</v>
      </c>
      <c r="U732" s="115">
        <v>603.346</v>
      </c>
      <c r="V732" s="115">
        <v>606.06299999999999</v>
      </c>
      <c r="W732" s="115">
        <v>609.572</v>
      </c>
      <c r="X732" s="115">
        <v>613.11</v>
      </c>
      <c r="Y732" s="115">
        <v>615.36099999999999</v>
      </c>
      <c r="Z732" s="115">
        <v>617.88599999999997</v>
      </c>
      <c r="AA732" s="115">
        <v>619.98400000000004</v>
      </c>
      <c r="AB732" s="115">
        <v>621.64300000000003</v>
      </c>
      <c r="AC732" s="115">
        <v>622.96900000000005</v>
      </c>
      <c r="AD732" s="43"/>
      <c r="AE732" s="43"/>
      <c r="AF732" s="43"/>
      <c r="AG732" s="43"/>
      <c r="AH732" s="43"/>
      <c r="AI732" s="43"/>
    </row>
    <row r="733" spans="1:35" x14ac:dyDescent="0.25">
      <c r="A733" s="115" t="s">
        <v>702</v>
      </c>
      <c r="B733" s="115"/>
      <c r="C733" s="115">
        <v>5.7720000000000002</v>
      </c>
      <c r="D733" s="115">
        <v>2.9790000000000001</v>
      </c>
      <c r="E733" s="115">
        <v>4.2149999999999999</v>
      </c>
      <c r="F733" s="115">
        <v>4.6260000000000003</v>
      </c>
      <c r="G733" s="115">
        <v>4.3719999999999999</v>
      </c>
      <c r="H733" s="115">
        <v>4.0220000000000002</v>
      </c>
      <c r="I733" s="115">
        <v>4.5789999999999997</v>
      </c>
      <c r="J733" s="115">
        <v>5.6449999999999996</v>
      </c>
      <c r="K733" s="115">
        <v>5.4790000000000001</v>
      </c>
      <c r="L733" s="115">
        <v>5.1820000000000004</v>
      </c>
      <c r="M733" s="115">
        <v>5.0709999999999997</v>
      </c>
      <c r="N733" s="115">
        <v>4.6870000000000003</v>
      </c>
      <c r="O733" s="115">
        <v>4.851</v>
      </c>
      <c r="P733" s="115">
        <v>6.9349999999999996</v>
      </c>
      <c r="Q733" s="115">
        <v>6.4950000000000001</v>
      </c>
      <c r="R733" s="115">
        <v>6.2190000000000003</v>
      </c>
      <c r="S733" s="115">
        <v>8.9649999999999999</v>
      </c>
      <c r="T733" s="115">
        <v>7.0289999999999999</v>
      </c>
      <c r="U733" s="115">
        <v>6.6559999999999997</v>
      </c>
      <c r="V733" s="115">
        <v>5.8280000000000003</v>
      </c>
      <c r="W733" s="115">
        <v>5.7789999999999999</v>
      </c>
      <c r="X733" s="115">
        <v>5.532</v>
      </c>
      <c r="Y733" s="115">
        <v>5.2869999999999999</v>
      </c>
      <c r="Z733" s="115">
        <v>5.0609999999999999</v>
      </c>
      <c r="AA733" s="115">
        <v>4.8520000000000003</v>
      </c>
      <c r="AB733" s="115">
        <v>4.6520000000000001</v>
      </c>
      <c r="AC733" s="115">
        <v>4.5990000000000002</v>
      </c>
      <c r="AD733" s="43"/>
      <c r="AE733" s="43"/>
      <c r="AF733" s="43"/>
      <c r="AG733" s="43"/>
      <c r="AH733" s="43"/>
      <c r="AI733" s="43"/>
    </row>
    <row r="734" spans="1:35" x14ac:dyDescent="0.25">
      <c r="A734" s="115" t="s">
        <v>57</v>
      </c>
      <c r="B734" s="115"/>
      <c r="C734" s="115">
        <v>113.52800000000001</v>
      </c>
      <c r="D734" s="115">
        <v>70.798000000000002</v>
      </c>
      <c r="E734" s="115">
        <v>109.062</v>
      </c>
      <c r="F734" s="115">
        <v>116.565</v>
      </c>
      <c r="G734" s="115">
        <v>114.67100000000001</v>
      </c>
      <c r="H734" s="115">
        <v>107.732</v>
      </c>
      <c r="I734" s="115">
        <v>113.806</v>
      </c>
      <c r="J734" s="115">
        <v>168.60400000000001</v>
      </c>
      <c r="K734" s="115">
        <v>159.72900000000001</v>
      </c>
      <c r="L734" s="115">
        <v>150.84299999999999</v>
      </c>
      <c r="M734" s="115">
        <v>149.56200000000001</v>
      </c>
      <c r="N734" s="115">
        <v>140.471</v>
      </c>
      <c r="O734" s="115">
        <v>140.654</v>
      </c>
      <c r="P734" s="115">
        <v>217.66399999999999</v>
      </c>
      <c r="Q734" s="115">
        <v>204.13499999999999</v>
      </c>
      <c r="R734" s="115">
        <v>198.04300000000001</v>
      </c>
      <c r="S734" s="115">
        <v>255.07300000000001</v>
      </c>
      <c r="T734" s="115">
        <v>197.636</v>
      </c>
      <c r="U734" s="115">
        <v>187.953</v>
      </c>
      <c r="V734" s="115">
        <v>164.27799999999999</v>
      </c>
      <c r="W734" s="115">
        <v>164.98699999999999</v>
      </c>
      <c r="X734" s="115">
        <v>156.369</v>
      </c>
      <c r="Y734" s="115">
        <v>148.261</v>
      </c>
      <c r="Z734" s="115">
        <v>140.73400000000001</v>
      </c>
      <c r="AA734" s="115">
        <v>133.83799999999999</v>
      </c>
      <c r="AB734" s="115">
        <v>127.375</v>
      </c>
      <c r="AC734" s="115">
        <v>122.995</v>
      </c>
      <c r="AD734" s="43"/>
      <c r="AE734" s="43"/>
      <c r="AF734" s="43"/>
      <c r="AG734" s="43"/>
      <c r="AH734" s="43"/>
      <c r="AI734" s="43"/>
    </row>
    <row r="735" spans="1:35" x14ac:dyDescent="0.25">
      <c r="A735" s="115" t="s">
        <v>330</v>
      </c>
      <c r="B735" s="115"/>
      <c r="C735" s="115">
        <v>912.09100000000001</v>
      </c>
      <c r="D735" s="115">
        <v>617.90800000000002</v>
      </c>
      <c r="E735" s="115">
        <v>919.89499999999998</v>
      </c>
      <c r="F735" s="115">
        <v>983.82500000000005</v>
      </c>
      <c r="G735" s="115">
        <v>978.43</v>
      </c>
      <c r="H735" s="115">
        <v>930.49900000000002</v>
      </c>
      <c r="I735" s="115">
        <v>1000.628</v>
      </c>
      <c r="J735" s="115">
        <v>1372.337</v>
      </c>
      <c r="K735" s="115">
        <v>1294.7560000000001</v>
      </c>
      <c r="L735" s="115">
        <v>1233.846</v>
      </c>
      <c r="M735" s="115">
        <v>1231.886</v>
      </c>
      <c r="N735" s="115">
        <v>1166.3979999999999</v>
      </c>
      <c r="O735" s="115">
        <v>1163.037</v>
      </c>
      <c r="P735" s="115">
        <v>1748.6469999999999</v>
      </c>
      <c r="Q735" s="115">
        <v>1650.4559999999999</v>
      </c>
      <c r="R735" s="115">
        <v>1609.2159999999999</v>
      </c>
      <c r="S735" s="115">
        <v>2020.3779999999999</v>
      </c>
      <c r="T735" s="115">
        <v>1663.67</v>
      </c>
      <c r="U735" s="115">
        <v>1588.105</v>
      </c>
      <c r="V735" s="115">
        <v>1403.558</v>
      </c>
      <c r="W735" s="115">
        <v>1406.2750000000001</v>
      </c>
      <c r="X735" s="115">
        <v>1336.306</v>
      </c>
      <c r="Y735" s="115">
        <v>1270.905</v>
      </c>
      <c r="Z735" s="115">
        <v>1209.7940000000001</v>
      </c>
      <c r="AA735" s="115">
        <v>1153.701</v>
      </c>
      <c r="AB735" s="115">
        <v>1101.08</v>
      </c>
      <c r="AC735" s="115">
        <v>1054.9480000000001</v>
      </c>
      <c r="AD735" s="43"/>
      <c r="AE735" s="43"/>
      <c r="AF735" s="43"/>
      <c r="AG735" s="43"/>
      <c r="AH735" s="43"/>
      <c r="AI735" s="43"/>
    </row>
    <row r="736" spans="1:35" x14ac:dyDescent="0.25">
      <c r="A736" s="115" t="s">
        <v>698</v>
      </c>
      <c r="B736" s="115"/>
      <c r="C736" s="115">
        <v>1.518</v>
      </c>
      <c r="D736" s="115">
        <v>1.42</v>
      </c>
      <c r="E736" s="115">
        <v>1.474</v>
      </c>
      <c r="F736" s="115">
        <v>1.462</v>
      </c>
      <c r="G736" s="115">
        <v>1.427</v>
      </c>
      <c r="H736" s="115">
        <v>1.401</v>
      </c>
      <c r="I736" s="115">
        <v>1.4079999999999999</v>
      </c>
      <c r="J736" s="115">
        <v>1.468</v>
      </c>
      <c r="K736" s="115">
        <v>1.47</v>
      </c>
      <c r="L736" s="115">
        <v>1.4470000000000001</v>
      </c>
      <c r="M736" s="115">
        <v>1.421</v>
      </c>
      <c r="N736" s="115">
        <v>1.403</v>
      </c>
      <c r="O736" s="115">
        <v>1.405</v>
      </c>
      <c r="P736" s="115">
        <v>1.399</v>
      </c>
      <c r="Q736" s="115">
        <v>1.39</v>
      </c>
      <c r="R736" s="115">
        <v>1.3819999999999999</v>
      </c>
      <c r="S736" s="115">
        <v>1.431</v>
      </c>
      <c r="T736" s="115">
        <v>1.341</v>
      </c>
      <c r="U736" s="115">
        <v>1.337</v>
      </c>
      <c r="V736" s="115">
        <v>1.327</v>
      </c>
      <c r="W736" s="115">
        <v>1.327</v>
      </c>
      <c r="X736" s="115">
        <v>1.3240000000000001</v>
      </c>
      <c r="Y736" s="115">
        <v>1.321</v>
      </c>
      <c r="Z736" s="115">
        <v>1.3180000000000001</v>
      </c>
      <c r="AA736" s="115">
        <v>1.3160000000000001</v>
      </c>
      <c r="AB736" s="115">
        <v>1.3129999999999999</v>
      </c>
      <c r="AC736" s="115">
        <v>1.3120000000000001</v>
      </c>
      <c r="AD736" s="43"/>
      <c r="AE736" s="43"/>
      <c r="AF736" s="43"/>
      <c r="AG736" s="43"/>
      <c r="AH736" s="43"/>
      <c r="AI736" s="43"/>
    </row>
    <row r="737" spans="1:35" x14ac:dyDescent="0.25">
      <c r="A737" s="115" t="s">
        <v>701</v>
      </c>
      <c r="B737" s="115"/>
      <c r="C737" s="115">
        <v>32.231999999999999</v>
      </c>
      <c r="D737" s="115">
        <v>19.376999999999999</v>
      </c>
      <c r="E737" s="115">
        <v>24.292000000000002</v>
      </c>
      <c r="F737" s="115">
        <v>25.754000000000001</v>
      </c>
      <c r="G737" s="115">
        <v>25.497</v>
      </c>
      <c r="H737" s="115">
        <v>24.614000000000001</v>
      </c>
      <c r="I737" s="115">
        <v>25.895</v>
      </c>
      <c r="J737" s="115">
        <v>29.29</v>
      </c>
      <c r="K737" s="115">
        <v>28.501000000000001</v>
      </c>
      <c r="L737" s="115">
        <v>27.917000000000002</v>
      </c>
      <c r="M737" s="115">
        <v>28.213999999999999</v>
      </c>
      <c r="N737" s="115">
        <v>27.048999999999999</v>
      </c>
      <c r="O737" s="115">
        <v>27.414999999999999</v>
      </c>
      <c r="P737" s="115">
        <v>38.588000000000001</v>
      </c>
      <c r="Q737" s="115">
        <v>36.758000000000003</v>
      </c>
      <c r="R737" s="115">
        <v>35.671999999999997</v>
      </c>
      <c r="S737" s="115">
        <v>47.914000000000001</v>
      </c>
      <c r="T737" s="115">
        <v>44.119</v>
      </c>
      <c r="U737" s="115">
        <v>42.146999999999998</v>
      </c>
      <c r="V737" s="115">
        <v>37.975000000000001</v>
      </c>
      <c r="W737" s="115">
        <v>37.484999999999999</v>
      </c>
      <c r="X737" s="115">
        <v>36.076000000000001</v>
      </c>
      <c r="Y737" s="115">
        <v>34.703000000000003</v>
      </c>
      <c r="Z737" s="115">
        <v>33.411999999999999</v>
      </c>
      <c r="AA737" s="115">
        <v>32.207999999999998</v>
      </c>
      <c r="AB737" s="115">
        <v>31.06</v>
      </c>
      <c r="AC737" s="115">
        <v>29.966999999999999</v>
      </c>
      <c r="AD737" s="43"/>
      <c r="AE737" s="43"/>
      <c r="AF737" s="43"/>
      <c r="AG737" s="43"/>
      <c r="AH737" s="43"/>
      <c r="AI737" s="43"/>
    </row>
    <row r="738" spans="1:35" x14ac:dyDescent="0.25">
      <c r="A738" s="115" t="s">
        <v>56</v>
      </c>
      <c r="B738" s="115"/>
      <c r="C738" s="115">
        <v>495.41500000000002</v>
      </c>
      <c r="D738" s="115">
        <v>352.84800000000001</v>
      </c>
      <c r="E738" s="115">
        <v>484.40600000000001</v>
      </c>
      <c r="F738" s="115">
        <v>523.27800000000002</v>
      </c>
      <c r="G738" s="115">
        <v>540.44399999999996</v>
      </c>
      <c r="H738" s="115">
        <v>529.28599999999994</v>
      </c>
      <c r="I738" s="115">
        <v>544.101</v>
      </c>
      <c r="J738" s="115">
        <v>724.91200000000003</v>
      </c>
      <c r="K738" s="115">
        <v>681.30100000000004</v>
      </c>
      <c r="L738" s="115">
        <v>662.89800000000002</v>
      </c>
      <c r="M738" s="115">
        <v>677.99599999999998</v>
      </c>
      <c r="N738" s="115">
        <v>654.73400000000004</v>
      </c>
      <c r="O738" s="115">
        <v>651.35400000000004</v>
      </c>
      <c r="P738" s="115">
        <v>992.11599999999999</v>
      </c>
      <c r="Q738" s="115">
        <v>943.976</v>
      </c>
      <c r="R738" s="115">
        <v>928.11099999999999</v>
      </c>
      <c r="S738" s="115">
        <v>1094.348</v>
      </c>
      <c r="T738" s="115">
        <v>998.11300000000006</v>
      </c>
      <c r="U738" s="115">
        <v>956.62800000000004</v>
      </c>
      <c r="V738" s="115">
        <v>855.53499999999997</v>
      </c>
      <c r="W738" s="115">
        <v>857.31500000000005</v>
      </c>
      <c r="X738" s="115">
        <v>815.952</v>
      </c>
      <c r="Y738" s="115">
        <v>777.71</v>
      </c>
      <c r="Z738" s="115">
        <v>741.70500000000004</v>
      </c>
      <c r="AA738" s="115">
        <v>708.66099999999994</v>
      </c>
      <c r="AB738" s="115">
        <v>677.64700000000005</v>
      </c>
      <c r="AC738" s="115">
        <v>648.36</v>
      </c>
      <c r="AD738" s="43"/>
      <c r="AE738" s="43"/>
      <c r="AF738" s="43"/>
      <c r="AG738" s="43"/>
      <c r="AH738" s="43"/>
      <c r="AI738" s="43"/>
    </row>
    <row r="739" spans="1:35" x14ac:dyDescent="0.25">
      <c r="A739" s="115" t="s">
        <v>321</v>
      </c>
      <c r="B739" s="115"/>
      <c r="C739" s="115">
        <v>939.37</v>
      </c>
      <c r="D739" s="115">
        <v>639.75</v>
      </c>
      <c r="E739" s="115">
        <v>948.94799999999998</v>
      </c>
      <c r="F739" s="115">
        <v>1016.663</v>
      </c>
      <c r="G739" s="115">
        <v>1014.205</v>
      </c>
      <c r="H739" s="115">
        <v>966.7</v>
      </c>
      <c r="I739" s="115">
        <v>1037.6959999999999</v>
      </c>
      <c r="J739" s="115">
        <v>1411.5350000000001</v>
      </c>
      <c r="K739" s="115">
        <v>1335.3040000000001</v>
      </c>
      <c r="L739" s="115">
        <v>1277.6500000000001</v>
      </c>
      <c r="M739" s="115">
        <v>1281.5419999999999</v>
      </c>
      <c r="N739" s="115">
        <v>1216.626</v>
      </c>
      <c r="O739" s="115">
        <v>1206.5409999999999</v>
      </c>
      <c r="P739" s="115">
        <v>1788.818</v>
      </c>
      <c r="Q739" s="115">
        <v>1691.2180000000001</v>
      </c>
      <c r="R739" s="115">
        <v>1646.345</v>
      </c>
      <c r="S739" s="115">
        <v>2066.2199999999998</v>
      </c>
      <c r="T739" s="115">
        <v>1702.277</v>
      </c>
      <c r="U739" s="115">
        <v>1627.3240000000001</v>
      </c>
      <c r="V739" s="115">
        <v>1432.268</v>
      </c>
      <c r="W739" s="115">
        <v>1437.0540000000001</v>
      </c>
      <c r="X739" s="115">
        <v>1359.76</v>
      </c>
      <c r="Y739" s="115">
        <v>1303.501</v>
      </c>
      <c r="Z739" s="115">
        <v>1236.3510000000001</v>
      </c>
      <c r="AA739" s="115">
        <v>1184.095</v>
      </c>
      <c r="AB739" s="115">
        <v>1135.778</v>
      </c>
      <c r="AC739" s="115">
        <v>1093.2270000000001</v>
      </c>
      <c r="AD739" s="43"/>
      <c r="AE739" s="43"/>
      <c r="AF739" s="43"/>
      <c r="AG739" s="43"/>
      <c r="AH739" s="43"/>
      <c r="AI739" s="43"/>
    </row>
    <row r="740" spans="1:35" x14ac:dyDescent="0.25">
      <c r="A740" s="115" t="s">
        <v>320</v>
      </c>
      <c r="B740" s="115"/>
      <c r="C740" s="115">
        <v>2719.8719999999998</v>
      </c>
      <c r="D740" s="115">
        <v>2421.893</v>
      </c>
      <c r="E740" s="115">
        <v>2720.08</v>
      </c>
      <c r="F740" s="115">
        <v>2780.1880000000001</v>
      </c>
      <c r="G740" s="115">
        <v>2770.962</v>
      </c>
      <c r="H740" s="115">
        <v>2719.1930000000002</v>
      </c>
      <c r="I740" s="115">
        <v>2785.4859999999999</v>
      </c>
      <c r="J740" s="115">
        <v>3154.3809999999999</v>
      </c>
      <c r="K740" s="115">
        <v>3075.105</v>
      </c>
      <c r="L740" s="115">
        <v>3012.2429999999999</v>
      </c>
      <c r="M740" s="115">
        <v>3008.1030000000001</v>
      </c>
      <c r="N740" s="115">
        <v>2941.2539999999999</v>
      </c>
      <c r="O740" s="115">
        <v>2690.6759999999999</v>
      </c>
      <c r="P740" s="115">
        <v>3275.2049999999999</v>
      </c>
      <c r="Q740" s="115">
        <v>3175.8069999999998</v>
      </c>
      <c r="R740" s="115">
        <v>2957.739</v>
      </c>
      <c r="S740" s="115">
        <v>3524.2660000000001</v>
      </c>
      <c r="T740" s="115">
        <v>3033.3420000000001</v>
      </c>
      <c r="U740" s="115">
        <v>2948.9349999999999</v>
      </c>
      <c r="V740" s="115">
        <v>2661.1010000000001</v>
      </c>
      <c r="W740" s="115">
        <v>2990.9870000000001</v>
      </c>
      <c r="X740" s="115">
        <v>2657.886</v>
      </c>
      <c r="Y740" s="115">
        <v>2834.1320000000001</v>
      </c>
      <c r="Z740" s="115">
        <v>2666.1390000000001</v>
      </c>
      <c r="AA740" s="115">
        <v>2723.33</v>
      </c>
      <c r="AB740" s="115">
        <v>2802.7860000000001</v>
      </c>
      <c r="AC740" s="115">
        <v>2872.3069999999998</v>
      </c>
      <c r="AD740" s="43"/>
      <c r="AE740" s="43"/>
      <c r="AF740" s="43"/>
      <c r="AG740" s="43"/>
      <c r="AH740" s="43"/>
      <c r="AI740" s="43"/>
    </row>
    <row r="741" spans="1:35" x14ac:dyDescent="0.25">
      <c r="A741" s="115" t="s">
        <v>700</v>
      </c>
      <c r="B741" s="115"/>
      <c r="C741" s="115">
        <v>19.213999999999999</v>
      </c>
      <c r="D741" s="115">
        <v>9.4350000000000005</v>
      </c>
      <c r="E741" s="115">
        <v>17.678999999999998</v>
      </c>
      <c r="F741" s="115">
        <v>19.550999999999998</v>
      </c>
      <c r="G741" s="115">
        <v>16.981000000000002</v>
      </c>
      <c r="H741" s="115">
        <v>14.442</v>
      </c>
      <c r="I741" s="115">
        <v>21.827000000000002</v>
      </c>
      <c r="J741" s="115">
        <v>25.396000000000001</v>
      </c>
      <c r="K741" s="115">
        <v>24.125</v>
      </c>
      <c r="L741" s="115">
        <v>21.457999999999998</v>
      </c>
      <c r="M741" s="115">
        <v>19.329999999999998</v>
      </c>
      <c r="N741" s="115">
        <v>16.733000000000001</v>
      </c>
      <c r="O741" s="115">
        <v>16.8</v>
      </c>
      <c r="P741" s="115">
        <v>19.844999999999999</v>
      </c>
      <c r="Q741" s="115">
        <v>18.12</v>
      </c>
      <c r="R741" s="115">
        <v>16.911000000000001</v>
      </c>
      <c r="S741" s="115">
        <v>29.555</v>
      </c>
      <c r="T741" s="115">
        <v>15.42</v>
      </c>
      <c r="U741" s="115">
        <v>14.423999999999999</v>
      </c>
      <c r="V741" s="115">
        <v>12.260999999999999</v>
      </c>
      <c r="W741" s="115">
        <v>12.095000000000001</v>
      </c>
      <c r="X741" s="115">
        <v>11.464</v>
      </c>
      <c r="Y741" s="115">
        <v>10.834</v>
      </c>
      <c r="Z741" s="115">
        <v>10.266999999999999</v>
      </c>
      <c r="AA741" s="115">
        <v>9.7449999999999992</v>
      </c>
      <c r="AB741" s="115">
        <v>9.2509999999999994</v>
      </c>
      <c r="AC741" s="115">
        <v>8.766</v>
      </c>
      <c r="AD741" s="43"/>
      <c r="AE741" s="43"/>
      <c r="AF741" s="43"/>
      <c r="AG741" s="43"/>
      <c r="AH741" s="43"/>
      <c r="AI741" s="43"/>
    </row>
    <row r="742" spans="1:35" x14ac:dyDescent="0.25">
      <c r="A742" s="115" t="s">
        <v>55</v>
      </c>
      <c r="B742" s="115"/>
      <c r="C742" s="115">
        <v>189.63399999999999</v>
      </c>
      <c r="D742" s="115">
        <v>112.911</v>
      </c>
      <c r="E742" s="115">
        <v>207.964</v>
      </c>
      <c r="F742" s="115">
        <v>216.44399999999999</v>
      </c>
      <c r="G742" s="115">
        <v>193.78800000000001</v>
      </c>
      <c r="H742" s="115">
        <v>168.732</v>
      </c>
      <c r="I742" s="115">
        <v>213.649</v>
      </c>
      <c r="J742" s="115">
        <v>293.786</v>
      </c>
      <c r="K742" s="115">
        <v>277.25</v>
      </c>
      <c r="L742" s="115">
        <v>249.87899999999999</v>
      </c>
      <c r="M742" s="115">
        <v>230.98599999999999</v>
      </c>
      <c r="N742" s="115">
        <v>205.53899999999999</v>
      </c>
      <c r="O742" s="115">
        <v>205.59100000000001</v>
      </c>
      <c r="P742" s="115">
        <v>276.16699999999997</v>
      </c>
      <c r="Q742" s="115">
        <v>254.279</v>
      </c>
      <c r="R742" s="115">
        <v>241.02699999999999</v>
      </c>
      <c r="S742" s="115">
        <v>365.34</v>
      </c>
      <c r="T742" s="115">
        <v>217.02799999999999</v>
      </c>
      <c r="U742" s="115">
        <v>204.184</v>
      </c>
      <c r="V742" s="115">
        <v>172.941</v>
      </c>
      <c r="W742" s="115">
        <v>172.26599999999999</v>
      </c>
      <c r="X742" s="115">
        <v>162.71700000000001</v>
      </c>
      <c r="Y742" s="115">
        <v>153.49</v>
      </c>
      <c r="Z742" s="115">
        <v>145.09</v>
      </c>
      <c r="AA742" s="115">
        <v>137.37799999999999</v>
      </c>
      <c r="AB742" s="115">
        <v>130.15600000000001</v>
      </c>
      <c r="AC742" s="115">
        <v>123.264</v>
      </c>
      <c r="AD742" s="43"/>
      <c r="AE742" s="43"/>
      <c r="AF742" s="43"/>
      <c r="AG742" s="43"/>
      <c r="AH742" s="43"/>
      <c r="AI742" s="43"/>
    </row>
    <row r="743" spans="1:35" x14ac:dyDescent="0.25">
      <c r="A743" s="115" t="s">
        <v>699</v>
      </c>
      <c r="B743" s="115"/>
      <c r="C743" s="115">
        <v>1.726</v>
      </c>
      <c r="D743" s="115">
        <v>1.1830000000000001</v>
      </c>
      <c r="E743" s="115">
        <v>1.635</v>
      </c>
      <c r="F743" s="115">
        <v>1.7749999999999999</v>
      </c>
      <c r="G743" s="115">
        <v>1.7929999999999999</v>
      </c>
      <c r="H743" s="115">
        <v>1.728</v>
      </c>
      <c r="I743" s="115">
        <v>1.8180000000000001</v>
      </c>
      <c r="J743" s="115">
        <v>2.419</v>
      </c>
      <c r="K743" s="115">
        <v>2.3370000000000002</v>
      </c>
      <c r="L743" s="115">
        <v>2.2639999999999998</v>
      </c>
      <c r="M743" s="115">
        <v>2.3039999999999998</v>
      </c>
      <c r="N743" s="115">
        <v>2.2050000000000001</v>
      </c>
      <c r="O743" s="115">
        <v>2.2429999999999999</v>
      </c>
      <c r="P743" s="115">
        <v>3.3490000000000002</v>
      </c>
      <c r="Q743" s="115">
        <v>3.1739999999999999</v>
      </c>
      <c r="R743" s="115">
        <v>3.101</v>
      </c>
      <c r="S743" s="115">
        <v>4.1630000000000003</v>
      </c>
      <c r="T743" s="115">
        <v>3.4089999999999998</v>
      </c>
      <c r="U743" s="115">
        <v>3.2570000000000001</v>
      </c>
      <c r="V743" s="115">
        <v>2.891</v>
      </c>
      <c r="W743" s="115">
        <v>2.8969999999999998</v>
      </c>
      <c r="X743" s="115">
        <v>2.7650000000000001</v>
      </c>
      <c r="Y743" s="115">
        <v>2.6389999999999998</v>
      </c>
      <c r="Z743" s="115">
        <v>2.5219999999999998</v>
      </c>
      <c r="AA743" s="115">
        <v>2.4129999999999998</v>
      </c>
      <c r="AB743" s="115">
        <v>2.31</v>
      </c>
      <c r="AC743" s="115">
        <v>2.2469999999999999</v>
      </c>
      <c r="AD743" s="43"/>
      <c r="AE743" s="43"/>
      <c r="AF743" s="43"/>
      <c r="AG743" s="43"/>
      <c r="AH743" s="43"/>
      <c r="AI743" s="43"/>
    </row>
    <row r="744" spans="1:35" x14ac:dyDescent="0.25">
      <c r="A744" s="115" t="s">
        <v>54</v>
      </c>
      <c r="B744" s="115"/>
      <c r="C744" s="115">
        <v>113.514</v>
      </c>
      <c r="D744" s="115">
        <v>81.350999999999999</v>
      </c>
      <c r="E744" s="115">
        <v>118.464</v>
      </c>
      <c r="F744" s="115">
        <v>127.539</v>
      </c>
      <c r="G744" s="115">
        <v>129.52600000000001</v>
      </c>
      <c r="H744" s="115">
        <v>124.749</v>
      </c>
      <c r="I744" s="115">
        <v>129.072</v>
      </c>
      <c r="J744" s="115">
        <v>185.035</v>
      </c>
      <c r="K744" s="115">
        <v>176.47499999999999</v>
      </c>
      <c r="L744" s="115">
        <v>170.226</v>
      </c>
      <c r="M744" s="115">
        <v>173.34100000000001</v>
      </c>
      <c r="N744" s="115">
        <v>165.654</v>
      </c>
      <c r="O744" s="115">
        <v>165.43799999999999</v>
      </c>
      <c r="P744" s="115">
        <v>262.7</v>
      </c>
      <c r="Q744" s="115">
        <v>248.06700000000001</v>
      </c>
      <c r="R744" s="115">
        <v>242.035</v>
      </c>
      <c r="S744" s="115">
        <v>305.61900000000003</v>
      </c>
      <c r="T744" s="115">
        <v>250.892</v>
      </c>
      <c r="U744" s="115">
        <v>239.34</v>
      </c>
      <c r="V744" s="115">
        <v>210.803</v>
      </c>
      <c r="W744" s="115">
        <v>211.70599999999999</v>
      </c>
      <c r="X744" s="115">
        <v>201.267</v>
      </c>
      <c r="Y744" s="115">
        <v>191.44499999999999</v>
      </c>
      <c r="Z744" s="115">
        <v>182.26499999999999</v>
      </c>
      <c r="AA744" s="115">
        <v>173.82400000000001</v>
      </c>
      <c r="AB744" s="115">
        <v>165.90100000000001</v>
      </c>
      <c r="AC744" s="115">
        <v>160.32900000000001</v>
      </c>
      <c r="AD744" s="43"/>
      <c r="AE744" s="43"/>
      <c r="AF744" s="43"/>
      <c r="AG744" s="43"/>
      <c r="AH744" s="43"/>
      <c r="AI744" s="43"/>
    </row>
    <row r="745" spans="1:35" x14ac:dyDescent="0.25">
      <c r="A745" s="115" t="s">
        <v>22</v>
      </c>
      <c r="B745" s="115"/>
      <c r="C745" s="115">
        <v>2381.4870000000001</v>
      </c>
      <c r="D745" s="115">
        <v>2217.3580000000002</v>
      </c>
      <c r="E745" s="115">
        <v>2395.3539999999998</v>
      </c>
      <c r="F745" s="115">
        <v>2436.6770000000001</v>
      </c>
      <c r="G745" s="115">
        <v>2442.248</v>
      </c>
      <c r="H745" s="115">
        <v>2416.5450000000001</v>
      </c>
      <c r="I745" s="115">
        <v>2458.2269999999999</v>
      </c>
      <c r="J745" s="115">
        <v>2677.377</v>
      </c>
      <c r="K745" s="115">
        <v>2620.5010000000002</v>
      </c>
      <c r="L745" s="115">
        <v>2587.3029999999999</v>
      </c>
      <c r="M745" s="115">
        <v>2593.4470000000001</v>
      </c>
      <c r="N745" s="115">
        <v>2555.9029999999998</v>
      </c>
      <c r="O745" s="115">
        <v>2312.1970000000001</v>
      </c>
      <c r="P745" s="115">
        <v>2736.3270000000002</v>
      </c>
      <c r="Q745" s="115">
        <v>2671.7739999999999</v>
      </c>
      <c r="R745" s="115">
        <v>2475.6819999999998</v>
      </c>
      <c r="S745" s="115">
        <v>2869.4560000000001</v>
      </c>
      <c r="T745" s="115">
        <v>2571.547</v>
      </c>
      <c r="U745" s="115">
        <v>2509.4110000000001</v>
      </c>
      <c r="V745" s="115">
        <v>2286.3319999999999</v>
      </c>
      <c r="W745" s="115">
        <v>2613.8609999999999</v>
      </c>
      <c r="X745" s="115">
        <v>2307.3409999999999</v>
      </c>
      <c r="Y745" s="115">
        <v>2492.645</v>
      </c>
      <c r="Z745" s="115">
        <v>2347.4140000000002</v>
      </c>
      <c r="AA745" s="115">
        <v>2416.0770000000002</v>
      </c>
      <c r="AB745" s="115">
        <v>2505.509</v>
      </c>
      <c r="AC745" s="115">
        <v>2582.9430000000002</v>
      </c>
      <c r="AD745" s="43"/>
      <c r="AE745" s="43"/>
      <c r="AF745" s="43"/>
      <c r="AG745" s="43"/>
      <c r="AH745" s="43"/>
      <c r="AI745" s="43"/>
    </row>
    <row r="746" spans="1:35" x14ac:dyDescent="0.25">
      <c r="A746" s="115" t="s">
        <v>29</v>
      </c>
      <c r="B746" s="115"/>
      <c r="C746" s="115">
        <v>385.95299999999997</v>
      </c>
      <c r="D746" s="115">
        <v>333.73599999999999</v>
      </c>
      <c r="E746" s="115">
        <v>470.83</v>
      </c>
      <c r="F746" s="115">
        <v>468.452</v>
      </c>
      <c r="G746" s="115">
        <v>549.61</v>
      </c>
      <c r="H746" s="115">
        <v>624.923</v>
      </c>
      <c r="I746" s="115">
        <v>694.25400000000002</v>
      </c>
      <c r="J746" s="115">
        <v>754.02700000000004</v>
      </c>
      <c r="K746" s="115">
        <v>801.86900000000003</v>
      </c>
      <c r="L746" s="115">
        <v>753.399</v>
      </c>
      <c r="M746" s="115">
        <v>713.75400000000002</v>
      </c>
      <c r="N746" s="115">
        <v>668.20299999999997</v>
      </c>
      <c r="O746" s="115">
        <v>599.50300000000004</v>
      </c>
      <c r="P746" s="115">
        <v>698.79</v>
      </c>
      <c r="Q746" s="115">
        <v>634.58000000000004</v>
      </c>
      <c r="R746" s="115">
        <v>544.91300000000001</v>
      </c>
      <c r="S746" s="115">
        <v>621.20899999999995</v>
      </c>
      <c r="T746" s="115">
        <v>514.50800000000004</v>
      </c>
      <c r="U746" s="115">
        <v>489.74099999999999</v>
      </c>
      <c r="V746" s="115">
        <v>428.56200000000001</v>
      </c>
      <c r="W746" s="115">
        <v>358.36</v>
      </c>
      <c r="X746" s="115">
        <v>335.13400000000001</v>
      </c>
      <c r="Y746" s="115">
        <v>345.25099999999998</v>
      </c>
      <c r="Z746" s="115">
        <v>310.822</v>
      </c>
      <c r="AA746" s="115">
        <v>301.54300000000001</v>
      </c>
      <c r="AB746" s="115">
        <v>294.68299999999999</v>
      </c>
      <c r="AC746" s="115">
        <v>287.11099999999999</v>
      </c>
      <c r="AD746" s="43"/>
      <c r="AE746" s="43"/>
      <c r="AF746" s="43"/>
      <c r="AG746" s="43"/>
      <c r="AH746" s="43"/>
      <c r="AI746" s="43"/>
    </row>
    <row r="747" spans="1:35" x14ac:dyDescent="0.25">
      <c r="A747" s="115" t="s">
        <v>28</v>
      </c>
      <c r="B747" s="115"/>
      <c r="C747" s="115">
        <v>354.06599999999997</v>
      </c>
      <c r="D747" s="115">
        <v>275.01600000000002</v>
      </c>
      <c r="E747" s="115">
        <v>332.51100000000002</v>
      </c>
      <c r="F747" s="115">
        <v>348.66500000000002</v>
      </c>
      <c r="G747" s="115">
        <v>341.08800000000002</v>
      </c>
      <c r="H747" s="115">
        <v>331.27100000000002</v>
      </c>
      <c r="I747" s="115">
        <v>362.798</v>
      </c>
      <c r="J747" s="115">
        <v>439.12200000000001</v>
      </c>
      <c r="K747" s="115">
        <v>422.20699999999999</v>
      </c>
      <c r="L747" s="115">
        <v>417.22699999999998</v>
      </c>
      <c r="M747" s="115">
        <v>412.24</v>
      </c>
      <c r="N747" s="115">
        <v>408.51</v>
      </c>
      <c r="O747" s="115">
        <v>308.73700000000002</v>
      </c>
      <c r="P747" s="115">
        <v>326.73099999999999</v>
      </c>
      <c r="Q747" s="115">
        <v>325.14</v>
      </c>
      <c r="R747" s="115">
        <v>301.05599999999998</v>
      </c>
      <c r="S747" s="115">
        <v>372.75299999999999</v>
      </c>
      <c r="T747" s="115">
        <v>289.50299999999999</v>
      </c>
      <c r="U747" s="115">
        <v>282.084</v>
      </c>
      <c r="V747" s="115">
        <v>255.803</v>
      </c>
      <c r="W747" s="115">
        <v>119.97</v>
      </c>
      <c r="X747" s="115">
        <v>125.964</v>
      </c>
      <c r="Y747" s="115">
        <v>127.764</v>
      </c>
      <c r="Z747" s="115">
        <v>116.226</v>
      </c>
      <c r="AA747" s="115">
        <v>109.31</v>
      </c>
      <c r="AB747" s="115">
        <v>102.51300000000001</v>
      </c>
      <c r="AC747" s="115">
        <v>95.671999999999997</v>
      </c>
      <c r="AD747" s="43"/>
      <c r="AE747" s="43"/>
      <c r="AF747" s="43"/>
      <c r="AG747" s="43"/>
      <c r="AH747" s="43"/>
      <c r="AI747" s="43"/>
    </row>
    <row r="748" spans="1:35" x14ac:dyDescent="0.25">
      <c r="A748" s="115" t="s">
        <v>27</v>
      </c>
      <c r="B748" s="115"/>
      <c r="C748" s="115">
        <v>251.61500000000001</v>
      </c>
      <c r="D748" s="115">
        <v>184.15899999999999</v>
      </c>
      <c r="E748" s="115">
        <v>210.072</v>
      </c>
      <c r="F748" s="115">
        <v>221.142</v>
      </c>
      <c r="G748" s="115">
        <v>192.73400000000001</v>
      </c>
      <c r="H748" s="115">
        <v>166.14699999999999</v>
      </c>
      <c r="I748" s="115">
        <v>168.64699999999999</v>
      </c>
      <c r="J748" s="115">
        <v>168.32599999999999</v>
      </c>
      <c r="K748" s="115">
        <v>156.03399999999999</v>
      </c>
      <c r="L748" s="115">
        <v>144.17099999999999</v>
      </c>
      <c r="M748" s="115">
        <v>132.35599999999999</v>
      </c>
      <c r="N748" s="115">
        <v>122.339</v>
      </c>
      <c r="O748" s="115">
        <v>83.052999999999997</v>
      </c>
      <c r="P748" s="115">
        <v>78.012</v>
      </c>
      <c r="Q748" s="115">
        <v>72.119</v>
      </c>
      <c r="R748" s="115">
        <v>66.459999999999994</v>
      </c>
      <c r="S748" s="115">
        <v>75.507000000000005</v>
      </c>
      <c r="T748" s="115">
        <v>52.606999999999999</v>
      </c>
      <c r="U748" s="115">
        <v>47.72</v>
      </c>
      <c r="V748" s="115">
        <v>42.865000000000002</v>
      </c>
      <c r="W748" s="115">
        <v>15.28</v>
      </c>
      <c r="X748" s="115">
        <v>17.327999999999999</v>
      </c>
      <c r="Y748" s="115">
        <v>13.885</v>
      </c>
      <c r="Z748" s="115">
        <v>12.832000000000001</v>
      </c>
      <c r="AA748" s="115">
        <v>10.260999999999999</v>
      </c>
      <c r="AB748" s="115">
        <v>7.8470000000000004</v>
      </c>
      <c r="AC748" s="115">
        <v>5.6710000000000003</v>
      </c>
      <c r="AD748" s="43"/>
      <c r="AE748" s="43"/>
      <c r="AF748" s="43"/>
      <c r="AG748" s="43"/>
      <c r="AH748" s="43"/>
      <c r="AI748" s="43"/>
    </row>
    <row r="749" spans="1:35" x14ac:dyDescent="0.25">
      <c r="A749" s="115" t="s">
        <v>26</v>
      </c>
      <c r="B749" s="115"/>
      <c r="C749" s="115">
        <v>61.33</v>
      </c>
      <c r="D749" s="115">
        <v>40.121000000000002</v>
      </c>
      <c r="E749" s="115">
        <v>29.405000000000001</v>
      </c>
      <c r="F749" s="115">
        <v>29.236999999999998</v>
      </c>
      <c r="G749" s="115">
        <v>22.59</v>
      </c>
      <c r="H749" s="115">
        <v>17.082999999999998</v>
      </c>
      <c r="I749" s="115">
        <v>13.109</v>
      </c>
      <c r="J749" s="115">
        <v>12.311</v>
      </c>
      <c r="K749" s="115">
        <v>9.9390000000000001</v>
      </c>
      <c r="L749" s="115">
        <v>8.3919999999999995</v>
      </c>
      <c r="M749" s="115">
        <v>7.2089999999999996</v>
      </c>
      <c r="N749" s="115">
        <v>6.1890000000000001</v>
      </c>
      <c r="O749" s="115">
        <v>5.15</v>
      </c>
      <c r="P749" s="115">
        <v>4.6310000000000002</v>
      </c>
      <c r="Q749" s="115">
        <v>4.04</v>
      </c>
      <c r="R749" s="115">
        <v>3.5059999999999998</v>
      </c>
      <c r="S749" s="115">
        <v>3.0739999999999998</v>
      </c>
      <c r="T749" s="115">
        <v>2.468</v>
      </c>
      <c r="U749" s="115">
        <v>2.0449999999999999</v>
      </c>
      <c r="V749" s="115">
        <v>1.6719999999999999</v>
      </c>
      <c r="W749" s="115">
        <v>0.78300000000000003</v>
      </c>
      <c r="X749" s="115">
        <v>0.72599999999999998</v>
      </c>
      <c r="Y749" s="115">
        <v>0.56200000000000006</v>
      </c>
      <c r="Z749" s="115">
        <v>0.45800000000000002</v>
      </c>
      <c r="AA749" s="115">
        <v>0.34200000000000003</v>
      </c>
      <c r="AB749" s="115">
        <v>0.245</v>
      </c>
      <c r="AC749" s="115">
        <v>0.159</v>
      </c>
      <c r="AD749" s="43"/>
      <c r="AE749" s="43"/>
      <c r="AF749" s="43"/>
      <c r="AG749" s="43"/>
      <c r="AH749" s="43"/>
      <c r="AI749" s="43"/>
    </row>
    <row r="750" spans="1:35" x14ac:dyDescent="0.25">
      <c r="A750" s="115" t="s">
        <v>25</v>
      </c>
      <c r="B750" s="115"/>
      <c r="C750" s="115">
        <v>0.77300000000000002</v>
      </c>
      <c r="D750" s="115">
        <v>0.31</v>
      </c>
      <c r="E750" s="115">
        <v>0.24099999999999999</v>
      </c>
      <c r="F750" s="115">
        <v>0.27900000000000003</v>
      </c>
      <c r="G750" s="115">
        <v>0.23</v>
      </c>
      <c r="H750" s="115">
        <v>0.182</v>
      </c>
      <c r="I750" s="115">
        <v>0.16</v>
      </c>
      <c r="J750" s="115">
        <v>0.14299999999999999</v>
      </c>
      <c r="K750" s="115">
        <v>0.14199999999999999</v>
      </c>
      <c r="L750" s="115">
        <v>0.125</v>
      </c>
      <c r="M750" s="115">
        <v>0.11</v>
      </c>
      <c r="N750" s="115">
        <v>9.7000000000000003E-2</v>
      </c>
      <c r="O750" s="115">
        <v>6.4000000000000001E-2</v>
      </c>
      <c r="P750" s="115">
        <v>5.7000000000000002E-2</v>
      </c>
      <c r="Q750" s="115">
        <v>0.05</v>
      </c>
      <c r="R750" s="115">
        <v>4.3999999999999997E-2</v>
      </c>
      <c r="S750" s="115">
        <v>3.7999999999999999E-2</v>
      </c>
      <c r="T750" s="115">
        <v>3.3000000000000002E-2</v>
      </c>
      <c r="U750" s="115">
        <v>2.8000000000000001E-2</v>
      </c>
      <c r="V750" s="115">
        <v>2.4E-2</v>
      </c>
      <c r="W750" s="115">
        <v>1.9E-2</v>
      </c>
      <c r="X750" s="115">
        <v>1.6E-2</v>
      </c>
      <c r="Y750" s="115">
        <v>1.2999999999999999E-2</v>
      </c>
      <c r="Z750" s="115">
        <v>1.0999999999999999E-2</v>
      </c>
      <c r="AA750" s="115">
        <v>8.0000000000000002E-3</v>
      </c>
      <c r="AB750" s="115">
        <v>6.0000000000000001E-3</v>
      </c>
      <c r="AC750" s="115">
        <v>4.0000000000000001E-3</v>
      </c>
      <c r="AD750" s="43"/>
      <c r="AE750" s="43"/>
      <c r="AF750" s="43"/>
      <c r="AG750" s="43"/>
      <c r="AH750" s="43"/>
      <c r="AI750" s="43"/>
    </row>
    <row r="751" spans="1:35" x14ac:dyDescent="0.25">
      <c r="A751" s="115" t="s">
        <v>24</v>
      </c>
      <c r="B751" s="115"/>
      <c r="C751" s="115">
        <v>5.8999999999999997E-2</v>
      </c>
      <c r="D751" s="115">
        <v>1.4E-2</v>
      </c>
      <c r="E751" s="115">
        <v>6.0000000000000001E-3</v>
      </c>
      <c r="F751" s="115">
        <v>3.0000000000000001E-3</v>
      </c>
      <c r="G751" s="115">
        <v>2E-3</v>
      </c>
      <c r="H751" s="115">
        <v>2E-3</v>
      </c>
      <c r="I751" s="115">
        <v>1E-3</v>
      </c>
      <c r="J751" s="115">
        <v>2E-3</v>
      </c>
      <c r="K751" s="115">
        <v>2E-3</v>
      </c>
      <c r="L751" s="115">
        <v>2E-3</v>
      </c>
      <c r="M751" s="115">
        <v>1E-3</v>
      </c>
      <c r="N751" s="115">
        <v>1E-3</v>
      </c>
      <c r="O751" s="115">
        <v>1E-3</v>
      </c>
      <c r="P751" s="115">
        <v>1E-3</v>
      </c>
      <c r="Q751" s="115">
        <v>1E-3</v>
      </c>
      <c r="R751" s="115">
        <v>1E-3</v>
      </c>
      <c r="S751" s="115">
        <v>1E-3</v>
      </c>
      <c r="T751" s="115">
        <v>0</v>
      </c>
      <c r="U751" s="115">
        <v>0</v>
      </c>
      <c r="V751" s="115">
        <v>0</v>
      </c>
      <c r="W751" s="115">
        <v>0</v>
      </c>
      <c r="X751" s="115">
        <v>0</v>
      </c>
      <c r="Y751" s="115">
        <v>0</v>
      </c>
      <c r="Z751" s="115">
        <v>0</v>
      </c>
      <c r="AA751" s="115">
        <v>0</v>
      </c>
      <c r="AB751" s="115">
        <v>0</v>
      </c>
      <c r="AC751" s="115">
        <v>0</v>
      </c>
      <c r="AD751" s="43"/>
      <c r="AE751" s="43"/>
      <c r="AF751" s="43"/>
      <c r="AG751" s="43"/>
      <c r="AH751" s="43"/>
      <c r="AI751" s="43"/>
    </row>
    <row r="752" spans="1:35" x14ac:dyDescent="0.25">
      <c r="A752" s="115" t="s">
        <v>241</v>
      </c>
      <c r="B752" s="115"/>
      <c r="C752" s="115">
        <v>1053.796</v>
      </c>
      <c r="D752" s="115">
        <v>833.35699999999997</v>
      </c>
      <c r="E752" s="115">
        <v>1043.0650000000001</v>
      </c>
      <c r="F752" s="115">
        <v>1067.777</v>
      </c>
      <c r="G752" s="115">
        <v>1106.2529999999999</v>
      </c>
      <c r="H752" s="115">
        <v>1139.6089999999999</v>
      </c>
      <c r="I752" s="115">
        <v>1238.97</v>
      </c>
      <c r="J752" s="115">
        <v>1373.93</v>
      </c>
      <c r="K752" s="115">
        <v>1390.194</v>
      </c>
      <c r="L752" s="115">
        <v>1323.316</v>
      </c>
      <c r="M752" s="115">
        <v>1265.67</v>
      </c>
      <c r="N752" s="115">
        <v>1205.3389999999999</v>
      </c>
      <c r="O752" s="115">
        <v>996.50800000000004</v>
      </c>
      <c r="P752" s="115">
        <v>1108.221</v>
      </c>
      <c r="Q752" s="115">
        <v>1035.9290000000001</v>
      </c>
      <c r="R752" s="115">
        <v>915.98</v>
      </c>
      <c r="S752" s="115">
        <v>1072.5809999999999</v>
      </c>
      <c r="T752" s="115">
        <v>859.11900000000003</v>
      </c>
      <c r="U752" s="115">
        <v>821.61800000000005</v>
      </c>
      <c r="V752" s="115">
        <v>728.92700000000002</v>
      </c>
      <c r="W752" s="115">
        <v>494.41199999999998</v>
      </c>
      <c r="X752" s="115">
        <v>479.16800000000001</v>
      </c>
      <c r="Y752" s="115">
        <v>487.47399999999999</v>
      </c>
      <c r="Z752" s="115">
        <v>440.34899999999999</v>
      </c>
      <c r="AA752" s="115">
        <v>421.464</v>
      </c>
      <c r="AB752" s="115">
        <v>405.29399999999998</v>
      </c>
      <c r="AC752" s="115">
        <v>388.61700000000002</v>
      </c>
      <c r="AD752" s="43"/>
      <c r="AE752" s="43"/>
      <c r="AF752" s="43"/>
      <c r="AG752" s="43"/>
      <c r="AH752" s="43"/>
      <c r="AI752" s="43"/>
    </row>
    <row r="753" spans="1:35" x14ac:dyDescent="0.25">
      <c r="A753" s="115" t="s">
        <v>242</v>
      </c>
      <c r="B753" s="115"/>
      <c r="C753" s="115">
        <v>667.84299999999996</v>
      </c>
      <c r="D753" s="115">
        <v>499.62</v>
      </c>
      <c r="E753" s="115">
        <v>572.23500000000001</v>
      </c>
      <c r="F753" s="115">
        <v>599.32500000000005</v>
      </c>
      <c r="G753" s="115">
        <v>556.64300000000003</v>
      </c>
      <c r="H753" s="115">
        <v>514.68499999999995</v>
      </c>
      <c r="I753" s="115">
        <v>544.71500000000003</v>
      </c>
      <c r="J753" s="115">
        <v>619.90300000000002</v>
      </c>
      <c r="K753" s="115">
        <v>588.32500000000005</v>
      </c>
      <c r="L753" s="115">
        <v>569.91700000000003</v>
      </c>
      <c r="M753" s="115">
        <v>551.91600000000005</v>
      </c>
      <c r="N753" s="115">
        <v>537.13599999999997</v>
      </c>
      <c r="O753" s="115">
        <v>397.005</v>
      </c>
      <c r="P753" s="115">
        <v>409.43099999999998</v>
      </c>
      <c r="Q753" s="115">
        <v>401.34899999999999</v>
      </c>
      <c r="R753" s="115">
        <v>371.06700000000001</v>
      </c>
      <c r="S753" s="115">
        <v>451.37200000000001</v>
      </c>
      <c r="T753" s="115">
        <v>344.61099999999999</v>
      </c>
      <c r="U753" s="115">
        <v>331.87700000000001</v>
      </c>
      <c r="V753" s="115">
        <v>300.36500000000001</v>
      </c>
      <c r="W753" s="115">
        <v>136.05199999999999</v>
      </c>
      <c r="X753" s="115">
        <v>144.03399999999999</v>
      </c>
      <c r="Y753" s="115">
        <v>142.22399999999999</v>
      </c>
      <c r="Z753" s="115">
        <v>129.52600000000001</v>
      </c>
      <c r="AA753" s="115">
        <v>119.922</v>
      </c>
      <c r="AB753" s="115">
        <v>110.611</v>
      </c>
      <c r="AC753" s="115">
        <v>101.50700000000001</v>
      </c>
      <c r="AD753" s="43"/>
      <c r="AE753" s="43"/>
      <c r="AF753" s="43"/>
      <c r="AG753" s="43"/>
      <c r="AH753" s="43"/>
      <c r="AI753" s="43"/>
    </row>
    <row r="754" spans="1:35" x14ac:dyDescent="0.25">
      <c r="A754" s="115" t="s">
        <v>322</v>
      </c>
      <c r="B754" s="115"/>
      <c r="C754" s="115">
        <v>2170.152</v>
      </c>
      <c r="D754" s="115">
        <v>2084.7020000000002</v>
      </c>
      <c r="E754" s="115">
        <v>2188.319</v>
      </c>
      <c r="F754" s="115">
        <v>2215.7640000000001</v>
      </c>
      <c r="G754" s="115">
        <v>2228.5729999999999</v>
      </c>
      <c r="H754" s="115">
        <v>2217.9580000000001</v>
      </c>
      <c r="I754" s="115">
        <v>2241.9560000000001</v>
      </c>
      <c r="J754" s="115">
        <v>2374.54</v>
      </c>
      <c r="K754" s="115">
        <v>2331.4810000000002</v>
      </c>
      <c r="L754" s="115">
        <v>2314.326</v>
      </c>
      <c r="M754" s="115">
        <v>2323.6889999999999</v>
      </c>
      <c r="N754" s="115">
        <v>2303.279</v>
      </c>
      <c r="O754" s="115">
        <v>2064.741</v>
      </c>
      <c r="P754" s="115">
        <v>2387.8710000000001</v>
      </c>
      <c r="Q754" s="115">
        <v>2344.174</v>
      </c>
      <c r="R754" s="115">
        <v>2161.6239999999998</v>
      </c>
      <c r="S754" s="115">
        <v>2454.3389999999999</v>
      </c>
      <c r="T754" s="115">
        <v>2264.6819999999998</v>
      </c>
      <c r="U754" s="115">
        <v>2216.377</v>
      </c>
      <c r="V754" s="115">
        <v>2036.229</v>
      </c>
      <c r="W754" s="115">
        <v>2361.6619999999998</v>
      </c>
      <c r="X754" s="115">
        <v>2073.0740000000001</v>
      </c>
      <c r="Y754" s="115">
        <v>2262.9009999999998</v>
      </c>
      <c r="Z754" s="115">
        <v>2133.0120000000002</v>
      </c>
      <c r="AA754" s="115">
        <v>2208.538</v>
      </c>
      <c r="AB754" s="115">
        <v>2303.848</v>
      </c>
      <c r="AC754" s="115">
        <v>2385.4070000000002</v>
      </c>
      <c r="AD754" s="43"/>
      <c r="AE754" s="43"/>
      <c r="AF754" s="43"/>
      <c r="AG754" s="43"/>
      <c r="AH754" s="43"/>
      <c r="AI754" s="43"/>
    </row>
    <row r="755" spans="1:35" x14ac:dyDescent="0.25">
      <c r="A755" s="115" t="s">
        <v>323</v>
      </c>
      <c r="B755" s="115"/>
      <c r="C755" s="115">
        <v>117.774</v>
      </c>
      <c r="D755" s="115">
        <v>78.822999999999993</v>
      </c>
      <c r="E755" s="115">
        <v>118.916</v>
      </c>
      <c r="F755" s="115">
        <v>128.33000000000001</v>
      </c>
      <c r="G755" s="115">
        <v>126.038</v>
      </c>
      <c r="H755" s="115">
        <v>118.759</v>
      </c>
      <c r="I755" s="115">
        <v>130.56100000000001</v>
      </c>
      <c r="J755" s="115">
        <v>169.01</v>
      </c>
      <c r="K755" s="115">
        <v>162.70099999999999</v>
      </c>
      <c r="L755" s="115">
        <v>156.70500000000001</v>
      </c>
      <c r="M755" s="115">
        <v>158.26900000000001</v>
      </c>
      <c r="N755" s="115">
        <v>150.17500000000001</v>
      </c>
      <c r="O755" s="115">
        <v>145.995</v>
      </c>
      <c r="P755" s="115">
        <v>199.542</v>
      </c>
      <c r="Q755" s="115">
        <v>189.37299999999999</v>
      </c>
      <c r="R755" s="115">
        <v>181.892</v>
      </c>
      <c r="S755" s="115">
        <v>234.12100000000001</v>
      </c>
      <c r="T755" s="115">
        <v>183.46100000000001</v>
      </c>
      <c r="U755" s="115">
        <v>176.23099999999999</v>
      </c>
      <c r="V755" s="115">
        <v>150.11000000000001</v>
      </c>
      <c r="W755" s="115">
        <v>151.88200000000001</v>
      </c>
      <c r="X755" s="115">
        <v>140.47200000000001</v>
      </c>
      <c r="Y755" s="115">
        <v>140.08199999999999</v>
      </c>
      <c r="Z755" s="115">
        <v>130.345</v>
      </c>
      <c r="AA755" s="115">
        <v>127.40600000000001</v>
      </c>
      <c r="AB755" s="115">
        <v>125.07599999999999</v>
      </c>
      <c r="AC755" s="115">
        <v>124.194</v>
      </c>
      <c r="AD755" s="43"/>
      <c r="AE755" s="43"/>
      <c r="AF755" s="43"/>
      <c r="AG755" s="43"/>
      <c r="AH755" s="43"/>
      <c r="AI755" s="43"/>
    </row>
    <row r="756" spans="1:35" x14ac:dyDescent="0.25">
      <c r="A756" s="115" t="s">
        <v>324</v>
      </c>
      <c r="B756" s="115"/>
      <c r="C756" s="115">
        <v>60.476999999999997</v>
      </c>
      <c r="D756" s="115">
        <v>36.064</v>
      </c>
      <c r="E756" s="115">
        <v>58.948</v>
      </c>
      <c r="F756" s="115">
        <v>63.073999999999998</v>
      </c>
      <c r="G756" s="115">
        <v>60.786000000000001</v>
      </c>
      <c r="H756" s="115">
        <v>56.125999999999998</v>
      </c>
      <c r="I756" s="115">
        <v>60.945</v>
      </c>
      <c r="J756" s="115">
        <v>94.096999999999994</v>
      </c>
      <c r="K756" s="115">
        <v>87.69</v>
      </c>
      <c r="L756" s="115">
        <v>81.287999999999997</v>
      </c>
      <c r="M756" s="115">
        <v>78.893000000000001</v>
      </c>
      <c r="N756" s="115">
        <v>73.013000000000005</v>
      </c>
      <c r="O756" s="115">
        <v>72.659000000000006</v>
      </c>
      <c r="P756" s="115">
        <v>108.111</v>
      </c>
      <c r="Q756" s="115">
        <v>100.736</v>
      </c>
      <c r="R756" s="115">
        <v>96.971000000000004</v>
      </c>
      <c r="S756" s="115">
        <v>123.718</v>
      </c>
      <c r="T756" s="115">
        <v>92.53</v>
      </c>
      <c r="U756" s="115">
        <v>87.781999999999996</v>
      </c>
      <c r="V756" s="115">
        <v>75.792000000000002</v>
      </c>
      <c r="W756" s="115">
        <v>76.207999999999998</v>
      </c>
      <c r="X756" s="115">
        <v>71.658000000000001</v>
      </c>
      <c r="Y756" s="115">
        <v>68.132999999999996</v>
      </c>
      <c r="Z756" s="115">
        <v>64.212999999999994</v>
      </c>
      <c r="AA756" s="115">
        <v>61.067</v>
      </c>
      <c r="AB756" s="115">
        <v>58.173000000000002</v>
      </c>
      <c r="AC756" s="115">
        <v>55.567</v>
      </c>
      <c r="AD756" s="43"/>
      <c r="AE756" s="43"/>
      <c r="AF756" s="43"/>
      <c r="AG756" s="43"/>
      <c r="AH756" s="43"/>
      <c r="AI756" s="43"/>
    </row>
    <row r="757" spans="1:35" x14ac:dyDescent="0.25">
      <c r="A757" s="115" t="s">
        <v>325</v>
      </c>
      <c r="B757" s="115"/>
      <c r="C757" s="115">
        <v>32.676000000000002</v>
      </c>
      <c r="D757" s="115">
        <v>17.494</v>
      </c>
      <c r="E757" s="115">
        <v>28.771000000000001</v>
      </c>
      <c r="F757" s="115">
        <v>29.004999999999999</v>
      </c>
      <c r="G757" s="115">
        <v>26.297999999999998</v>
      </c>
      <c r="H757" s="115">
        <v>23.170999999999999</v>
      </c>
      <c r="I757" s="115">
        <v>24.248999999999999</v>
      </c>
      <c r="J757" s="115">
        <v>39.125</v>
      </c>
      <c r="K757" s="115">
        <v>37.991</v>
      </c>
      <c r="L757" s="115">
        <v>34.276000000000003</v>
      </c>
      <c r="M757" s="115">
        <v>31.782</v>
      </c>
      <c r="N757" s="115">
        <v>28.597000000000001</v>
      </c>
      <c r="O757" s="115">
        <v>28.038</v>
      </c>
      <c r="P757" s="115">
        <v>40.097000000000001</v>
      </c>
      <c r="Q757" s="115">
        <v>36.779000000000003</v>
      </c>
      <c r="R757" s="115">
        <v>34.56</v>
      </c>
      <c r="S757" s="115">
        <v>55.856000000000002</v>
      </c>
      <c r="T757" s="115">
        <v>30.222000000000001</v>
      </c>
      <c r="U757" s="115">
        <v>28.356999999999999</v>
      </c>
      <c r="V757" s="115">
        <v>23.728999999999999</v>
      </c>
      <c r="W757" s="115">
        <v>23.603999999999999</v>
      </c>
      <c r="X757" s="115">
        <v>21.789000000000001</v>
      </c>
      <c r="Y757" s="115">
        <v>20.975999999999999</v>
      </c>
      <c r="Z757" s="115">
        <v>19.422000000000001</v>
      </c>
      <c r="AA757" s="115">
        <v>18.55</v>
      </c>
      <c r="AB757" s="115">
        <v>17.79</v>
      </c>
      <c r="AC757" s="115">
        <v>17.064</v>
      </c>
      <c r="AD757" s="43"/>
      <c r="AE757" s="43"/>
      <c r="AF757" s="43"/>
      <c r="AG757" s="43"/>
      <c r="AH757" s="43"/>
      <c r="AI757" s="43"/>
    </row>
    <row r="758" spans="1:35" x14ac:dyDescent="0.25">
      <c r="A758" s="115" t="s">
        <v>326</v>
      </c>
      <c r="B758" s="115"/>
      <c r="C758" s="115">
        <v>0.40699999999999997</v>
      </c>
      <c r="D758" s="115">
        <v>0.27600000000000002</v>
      </c>
      <c r="E758" s="115">
        <v>0.4</v>
      </c>
      <c r="F758" s="115">
        <v>0.505</v>
      </c>
      <c r="G758" s="115">
        <v>0.55300000000000005</v>
      </c>
      <c r="H758" s="115">
        <v>0.53100000000000003</v>
      </c>
      <c r="I758" s="115">
        <v>0.51500000000000001</v>
      </c>
      <c r="J758" s="115">
        <v>0.60699999999999998</v>
      </c>
      <c r="K758" s="115">
        <v>0.63700000000000001</v>
      </c>
      <c r="L758" s="115">
        <v>0.70699999999999996</v>
      </c>
      <c r="M758" s="115">
        <v>0.81299999999999994</v>
      </c>
      <c r="N758" s="115">
        <v>0.84</v>
      </c>
      <c r="O758" s="115">
        <v>0.76300000000000001</v>
      </c>
      <c r="P758" s="115">
        <v>0.70599999999999996</v>
      </c>
      <c r="Q758" s="115">
        <v>0.71299999999999997</v>
      </c>
      <c r="R758" s="115">
        <v>0.63600000000000001</v>
      </c>
      <c r="S758" s="115">
        <v>1.421</v>
      </c>
      <c r="T758" s="115">
        <v>0.65300000000000002</v>
      </c>
      <c r="U758" s="115">
        <v>0.66400000000000003</v>
      </c>
      <c r="V758" s="115">
        <v>0.47199999999999998</v>
      </c>
      <c r="W758" s="115">
        <v>0.504</v>
      </c>
      <c r="X758" s="115">
        <v>0.34699999999999998</v>
      </c>
      <c r="Y758" s="115">
        <v>0.55300000000000005</v>
      </c>
      <c r="Z758" s="115">
        <v>0.42199999999999999</v>
      </c>
      <c r="AA758" s="115">
        <v>0.51600000000000001</v>
      </c>
      <c r="AB758" s="115">
        <v>0.621</v>
      </c>
      <c r="AC758" s="115">
        <v>0.71099999999999997</v>
      </c>
      <c r="AD758" s="43"/>
      <c r="AE758" s="43"/>
      <c r="AF758" s="43"/>
      <c r="AG758" s="43"/>
      <c r="AH758" s="43"/>
      <c r="AI758" s="43"/>
    </row>
    <row r="759" spans="1:35" x14ac:dyDescent="0.25">
      <c r="A759" s="115" t="s">
        <v>1171</v>
      </c>
      <c r="B759" s="115"/>
      <c r="C759" s="115">
        <v>36.305999999999997</v>
      </c>
      <c r="D759" s="115">
        <v>37.674999999999997</v>
      </c>
      <c r="E759" s="115">
        <v>39.064</v>
      </c>
      <c r="F759" s="115">
        <v>40.271000000000001</v>
      </c>
      <c r="G759" s="115">
        <v>41.177</v>
      </c>
      <c r="H759" s="115">
        <v>42.304000000000002</v>
      </c>
      <c r="I759" s="115">
        <v>43.241999999999997</v>
      </c>
      <c r="J759" s="115">
        <v>44.454999999999998</v>
      </c>
      <c r="K759" s="115">
        <v>45.484000000000002</v>
      </c>
      <c r="L759" s="115">
        <v>46.497999999999998</v>
      </c>
      <c r="M759" s="115">
        <v>47.476999999999997</v>
      </c>
      <c r="N759" s="115">
        <v>48.424999999999997</v>
      </c>
      <c r="O759" s="115">
        <v>49.505000000000003</v>
      </c>
      <c r="P759" s="115">
        <v>50.585000000000001</v>
      </c>
      <c r="Q759" s="115">
        <v>51.661000000000001</v>
      </c>
      <c r="R759" s="115">
        <v>52.744999999999997</v>
      </c>
      <c r="S759" s="115">
        <v>54.143000000000001</v>
      </c>
      <c r="T759" s="115">
        <v>53.704000000000001</v>
      </c>
      <c r="U759" s="115">
        <v>55.61</v>
      </c>
      <c r="V759" s="115">
        <v>56.558999999999997</v>
      </c>
      <c r="W759" s="115">
        <v>56.514000000000003</v>
      </c>
      <c r="X759" s="115">
        <v>56.554000000000002</v>
      </c>
      <c r="Y759" s="115">
        <v>56.545000000000002</v>
      </c>
      <c r="Z759" s="115">
        <v>56.523000000000003</v>
      </c>
      <c r="AA759" s="115">
        <v>56.542000000000002</v>
      </c>
      <c r="AB759" s="115">
        <v>56.651000000000003</v>
      </c>
      <c r="AC759" s="115">
        <v>56.66</v>
      </c>
      <c r="AD759" s="43"/>
      <c r="AE759" s="43"/>
      <c r="AF759" s="43"/>
      <c r="AG759" s="43"/>
      <c r="AH759" s="43"/>
      <c r="AI759" s="43"/>
    </row>
    <row r="760" spans="1:35" x14ac:dyDescent="0.25">
      <c r="A760" s="115" t="s">
        <v>764</v>
      </c>
      <c r="B760" s="115"/>
      <c r="C760" s="115">
        <v>10.913</v>
      </c>
      <c r="D760" s="115">
        <v>11.38</v>
      </c>
      <c r="E760" s="115">
        <v>10.42</v>
      </c>
      <c r="F760" s="115">
        <v>10.763999999999999</v>
      </c>
      <c r="G760" s="115">
        <v>10.010999999999999</v>
      </c>
      <c r="H760" s="115">
        <v>9.1690000000000005</v>
      </c>
      <c r="I760" s="115">
        <v>8.3879999999999999</v>
      </c>
      <c r="J760" s="115">
        <v>9.5299999999999994</v>
      </c>
      <c r="K760" s="115">
        <v>8.6790000000000003</v>
      </c>
      <c r="L760" s="115">
        <v>8.9489999999999998</v>
      </c>
      <c r="M760" s="115">
        <v>9.2840000000000007</v>
      </c>
      <c r="N760" s="115">
        <v>9.5760000000000005</v>
      </c>
      <c r="O760" s="115">
        <v>8.3089999999999993</v>
      </c>
      <c r="P760" s="115">
        <v>8.7669999999999995</v>
      </c>
      <c r="Q760" s="115">
        <v>8.9830000000000005</v>
      </c>
      <c r="R760" s="115">
        <v>8.109</v>
      </c>
      <c r="S760" s="115">
        <v>9.3070000000000004</v>
      </c>
      <c r="T760" s="115">
        <v>8.3019999999999996</v>
      </c>
      <c r="U760" s="115">
        <v>8.234</v>
      </c>
      <c r="V760" s="115">
        <v>7.5839999999999996</v>
      </c>
      <c r="W760" s="115">
        <v>9.8490000000000002</v>
      </c>
      <c r="X760" s="115">
        <v>8.5020000000000007</v>
      </c>
      <c r="Y760" s="115">
        <v>9.0990000000000002</v>
      </c>
      <c r="Z760" s="115">
        <v>8.8040000000000003</v>
      </c>
      <c r="AA760" s="115">
        <v>8.8140000000000001</v>
      </c>
      <c r="AB760" s="115">
        <v>8.8469999999999995</v>
      </c>
      <c r="AC760" s="115">
        <v>8.8480000000000008</v>
      </c>
      <c r="AD760" s="43"/>
      <c r="AE760" s="43"/>
      <c r="AF760" s="43"/>
      <c r="AG760" s="43"/>
      <c r="AH760" s="43"/>
      <c r="AI760" s="43"/>
    </row>
    <row r="761" spans="1:35" x14ac:dyDescent="0.25">
      <c r="A761" s="115" t="s">
        <v>744</v>
      </c>
      <c r="B761" s="115"/>
      <c r="C761" s="115">
        <v>0.80600000000000005</v>
      </c>
      <c r="D761" s="115">
        <v>0.46800000000000003</v>
      </c>
      <c r="E761" s="115">
        <v>0.83099999999999996</v>
      </c>
      <c r="F761" s="115">
        <v>0.9</v>
      </c>
      <c r="G761" s="115">
        <v>0.76100000000000001</v>
      </c>
      <c r="H761" s="115">
        <v>0.63500000000000001</v>
      </c>
      <c r="I761" s="115">
        <v>0.95799999999999996</v>
      </c>
      <c r="J761" s="115">
        <v>0.995</v>
      </c>
      <c r="K761" s="115">
        <v>0.96899999999999997</v>
      </c>
      <c r="L761" s="115">
        <v>0.85199999999999998</v>
      </c>
      <c r="M761" s="115">
        <v>0.75</v>
      </c>
      <c r="N761" s="115">
        <v>0.627</v>
      </c>
      <c r="O761" s="115">
        <v>0.63600000000000001</v>
      </c>
      <c r="P761" s="115">
        <v>0.67700000000000005</v>
      </c>
      <c r="Q761" s="115">
        <v>0.61399999999999999</v>
      </c>
      <c r="R761" s="115">
        <v>0.56200000000000006</v>
      </c>
      <c r="S761" s="115">
        <v>1.296</v>
      </c>
      <c r="T761" s="115">
        <v>0.55300000000000005</v>
      </c>
      <c r="U761" s="115">
        <v>0.51700000000000002</v>
      </c>
      <c r="V761" s="115">
        <v>0.44400000000000001</v>
      </c>
      <c r="W761" s="115">
        <v>0.435</v>
      </c>
      <c r="X761" s="115">
        <v>0.41899999999999998</v>
      </c>
      <c r="Y761" s="115">
        <v>0.4</v>
      </c>
      <c r="Z761" s="115">
        <v>0.38500000000000001</v>
      </c>
      <c r="AA761" s="115">
        <v>0.37</v>
      </c>
      <c r="AB761" s="115">
        <v>0.35599999999999998</v>
      </c>
      <c r="AC761" s="115">
        <v>0.34300000000000003</v>
      </c>
      <c r="AD761" s="43"/>
      <c r="AE761" s="43"/>
      <c r="AF761" s="43"/>
      <c r="AG761" s="43"/>
      <c r="AH761" s="43"/>
      <c r="AI761" s="43"/>
    </row>
    <row r="762" spans="1:35" x14ac:dyDescent="0.25">
      <c r="A762" s="115" t="s">
        <v>771</v>
      </c>
      <c r="B762" s="115"/>
      <c r="C762" s="115">
        <v>1.3420000000000001</v>
      </c>
      <c r="D762" s="115">
        <v>1.0760000000000001</v>
      </c>
      <c r="E762" s="115">
        <v>1.331</v>
      </c>
      <c r="F762" s="115">
        <v>1.3360000000000001</v>
      </c>
      <c r="G762" s="115">
        <v>1.111</v>
      </c>
      <c r="H762" s="115">
        <v>0.95599999999999996</v>
      </c>
      <c r="I762" s="115">
        <v>1.349</v>
      </c>
      <c r="J762" s="115">
        <v>1.0649999999999999</v>
      </c>
      <c r="K762" s="115">
        <v>1.101</v>
      </c>
      <c r="L762" s="115">
        <v>1</v>
      </c>
      <c r="M762" s="115">
        <v>0.86499999999999999</v>
      </c>
      <c r="N762" s="115">
        <v>0.754</v>
      </c>
      <c r="O762" s="115">
        <v>0.76800000000000002</v>
      </c>
      <c r="P762" s="115">
        <v>0.54200000000000004</v>
      </c>
      <c r="Q762" s="115">
        <v>0.51700000000000002</v>
      </c>
      <c r="R762" s="115">
        <v>0.48299999999999998</v>
      </c>
      <c r="S762" s="115">
        <v>0.91800000000000004</v>
      </c>
      <c r="T762" s="115">
        <v>0.44500000000000001</v>
      </c>
      <c r="U762" s="115">
        <v>0.435</v>
      </c>
      <c r="V762" s="115">
        <v>0.42</v>
      </c>
      <c r="W762" s="115">
        <v>0.41</v>
      </c>
      <c r="X762" s="115">
        <v>0.41499999999999998</v>
      </c>
      <c r="Y762" s="115">
        <v>0.41599999999999998</v>
      </c>
      <c r="Z762" s="115">
        <v>0.41899999999999998</v>
      </c>
      <c r="AA762" s="115">
        <v>0.42199999999999999</v>
      </c>
      <c r="AB762" s="115">
        <v>0.42399999999999999</v>
      </c>
      <c r="AC762" s="115">
        <v>0.42599999999999999</v>
      </c>
      <c r="AD762" s="43"/>
      <c r="AE762" s="43"/>
      <c r="AF762" s="43"/>
      <c r="AG762" s="43"/>
      <c r="AH762" s="43"/>
      <c r="AI762" s="43"/>
    </row>
    <row r="763" spans="1:35" x14ac:dyDescent="0.25">
      <c r="A763" s="115" t="s">
        <v>979</v>
      </c>
      <c r="B763" s="115"/>
      <c r="C763" s="115">
        <v>0</v>
      </c>
      <c r="D763" s="115">
        <v>0</v>
      </c>
      <c r="E763" s="115">
        <v>0</v>
      </c>
      <c r="F763" s="115">
        <v>0</v>
      </c>
      <c r="G763" s="115">
        <v>0</v>
      </c>
      <c r="H763" s="115">
        <v>0</v>
      </c>
      <c r="I763" s="115">
        <v>0</v>
      </c>
      <c r="J763" s="115">
        <v>0</v>
      </c>
      <c r="K763" s="115">
        <v>0</v>
      </c>
      <c r="L763" s="115">
        <v>0</v>
      </c>
      <c r="M763" s="115">
        <v>0</v>
      </c>
      <c r="N763" s="115">
        <v>0</v>
      </c>
      <c r="O763" s="115">
        <v>0</v>
      </c>
      <c r="P763" s="115">
        <v>0</v>
      </c>
      <c r="Q763" s="115">
        <v>0</v>
      </c>
      <c r="R763" s="115">
        <v>0</v>
      </c>
      <c r="S763" s="115">
        <v>0</v>
      </c>
      <c r="T763" s="115">
        <v>0</v>
      </c>
      <c r="U763" s="115">
        <v>0</v>
      </c>
      <c r="V763" s="115">
        <v>0</v>
      </c>
      <c r="W763" s="115">
        <v>0</v>
      </c>
      <c r="X763" s="115">
        <v>0</v>
      </c>
      <c r="Y763" s="115">
        <v>0</v>
      </c>
      <c r="Z763" s="115">
        <v>0</v>
      </c>
      <c r="AA763" s="115">
        <v>0</v>
      </c>
      <c r="AB763" s="115">
        <v>0</v>
      </c>
      <c r="AC763" s="115">
        <v>0</v>
      </c>
      <c r="AD763" s="43"/>
      <c r="AE763" s="43"/>
      <c r="AF763" s="43"/>
      <c r="AG763" s="43"/>
      <c r="AH763" s="43"/>
      <c r="AI763" s="43"/>
    </row>
    <row r="764" spans="1:35" x14ac:dyDescent="0.25">
      <c r="A764" s="115" t="s">
        <v>980</v>
      </c>
      <c r="B764" s="115"/>
      <c r="C764" s="115">
        <v>0</v>
      </c>
      <c r="D764" s="115">
        <v>0</v>
      </c>
      <c r="E764" s="115">
        <v>0</v>
      </c>
      <c r="F764" s="115">
        <v>671.351</v>
      </c>
      <c r="G764" s="115">
        <v>592.80100000000004</v>
      </c>
      <c r="H764" s="115">
        <v>516.40800000000002</v>
      </c>
      <c r="I764" s="115">
        <v>1609.0530000000001</v>
      </c>
      <c r="J764" s="115">
        <v>1504.124</v>
      </c>
      <c r="K764" s="115">
        <v>1380.2470000000001</v>
      </c>
      <c r="L764" s="115">
        <v>1273.279</v>
      </c>
      <c r="M764" s="115">
        <v>1164.9870000000001</v>
      </c>
      <c r="N764" s="115">
        <v>1055.644</v>
      </c>
      <c r="O764" s="115">
        <v>969.59799999999996</v>
      </c>
      <c r="P764" s="115">
        <v>901.92499999999995</v>
      </c>
      <c r="Q764" s="115">
        <v>834.601</v>
      </c>
      <c r="R764" s="115">
        <v>770.33500000000004</v>
      </c>
      <c r="S764" s="115">
        <v>542.42999999999995</v>
      </c>
      <c r="T764" s="115">
        <v>475.387</v>
      </c>
      <c r="U764" s="115">
        <v>442.964</v>
      </c>
      <c r="V764" s="115">
        <v>412.46899999999999</v>
      </c>
      <c r="W764" s="115">
        <v>392.04599999999999</v>
      </c>
      <c r="X764" s="115">
        <v>370.09699999999998</v>
      </c>
      <c r="Y764" s="115">
        <v>348.73899999999998</v>
      </c>
      <c r="Z764" s="115">
        <v>328.00900000000001</v>
      </c>
      <c r="AA764" s="115">
        <v>307.89600000000002</v>
      </c>
      <c r="AB764" s="115">
        <v>288.26600000000002</v>
      </c>
      <c r="AC764" s="115">
        <v>277.70100000000002</v>
      </c>
      <c r="AD764" s="43"/>
      <c r="AE764" s="43"/>
      <c r="AF764" s="43"/>
      <c r="AG764" s="43"/>
      <c r="AH764" s="43"/>
      <c r="AI764" s="43"/>
    </row>
    <row r="765" spans="1:35" x14ac:dyDescent="0.25">
      <c r="A765" s="115" t="s">
        <v>981</v>
      </c>
      <c r="B765" s="115"/>
      <c r="C765" s="115">
        <v>1506.9639999999999</v>
      </c>
      <c r="D765" s="115">
        <v>636.16399999999999</v>
      </c>
      <c r="E765" s="115">
        <v>644.30399999999997</v>
      </c>
      <c r="F765" s="115">
        <v>1379.8710000000001</v>
      </c>
      <c r="G765" s="115">
        <v>1288.5329999999999</v>
      </c>
      <c r="H765" s="115">
        <v>1201.96</v>
      </c>
      <c r="I765" s="115">
        <v>2612.6309999999999</v>
      </c>
      <c r="J765" s="115">
        <v>2437.9920000000002</v>
      </c>
      <c r="K765" s="115">
        <v>2349.6660000000002</v>
      </c>
      <c r="L765" s="115">
        <v>2176.451</v>
      </c>
      <c r="M765" s="115">
        <v>1998.1120000000001</v>
      </c>
      <c r="N765" s="115">
        <v>1814.6479999999999</v>
      </c>
      <c r="O765" s="115">
        <v>1734.5139999999999</v>
      </c>
      <c r="P765" s="115">
        <v>1640.751</v>
      </c>
      <c r="Q765" s="115">
        <v>1547.55</v>
      </c>
      <c r="R765" s="115">
        <v>1463.4639999999999</v>
      </c>
      <c r="S765" s="115">
        <v>2335.1570000000002</v>
      </c>
      <c r="T765" s="115">
        <v>969.976</v>
      </c>
      <c r="U765" s="115">
        <v>941.91099999999994</v>
      </c>
      <c r="V765" s="115">
        <v>918.25599999999997</v>
      </c>
      <c r="W765" s="115">
        <v>909.48900000000003</v>
      </c>
      <c r="X765" s="115">
        <v>899.38599999999997</v>
      </c>
      <c r="Y765" s="115">
        <v>886.71699999999998</v>
      </c>
      <c r="Z765" s="115">
        <v>877.02</v>
      </c>
      <c r="AA765" s="115">
        <v>869.79899999999998</v>
      </c>
      <c r="AB765" s="115">
        <v>862.03800000000001</v>
      </c>
      <c r="AC765" s="115">
        <v>853.04499999999996</v>
      </c>
      <c r="AD765" s="43"/>
      <c r="AE765" s="43"/>
      <c r="AF765" s="43"/>
      <c r="AG765" s="43"/>
      <c r="AH765" s="43"/>
      <c r="AI765" s="43"/>
    </row>
    <row r="766" spans="1:35" x14ac:dyDescent="0.25">
      <c r="A766" s="115" t="s">
        <v>982</v>
      </c>
      <c r="B766" s="115"/>
      <c r="C766" s="115">
        <v>1383.01</v>
      </c>
      <c r="D766" s="115">
        <v>802.48</v>
      </c>
      <c r="E766" s="115">
        <v>803.9</v>
      </c>
      <c r="F766" s="115">
        <v>1432.8019999999999</v>
      </c>
      <c r="G766" s="115">
        <v>1350.9290000000001</v>
      </c>
      <c r="H766" s="115">
        <v>1274.383</v>
      </c>
      <c r="I766" s="115">
        <v>2593.183</v>
      </c>
      <c r="J766" s="115">
        <v>2431.5100000000002</v>
      </c>
      <c r="K766" s="115">
        <v>2406.7190000000001</v>
      </c>
      <c r="L766" s="115">
        <v>2234.8510000000001</v>
      </c>
      <c r="M766" s="115">
        <v>2058.2629999999999</v>
      </c>
      <c r="N766" s="115">
        <v>1879.663</v>
      </c>
      <c r="O766" s="115">
        <v>1748.644</v>
      </c>
      <c r="P766" s="115">
        <v>1662.3019999999999</v>
      </c>
      <c r="Q766" s="115">
        <v>1582.663</v>
      </c>
      <c r="R766" s="115">
        <v>1505.1990000000001</v>
      </c>
      <c r="S766" s="115">
        <v>2312.2289999999998</v>
      </c>
      <c r="T766" s="115">
        <v>977.54</v>
      </c>
      <c r="U766" s="115">
        <v>954.03300000000002</v>
      </c>
      <c r="V766" s="115">
        <v>934.58900000000006</v>
      </c>
      <c r="W766" s="115">
        <v>940.38599999999997</v>
      </c>
      <c r="X766" s="115">
        <v>932.64300000000003</v>
      </c>
      <c r="Y766" s="115">
        <v>922.18700000000001</v>
      </c>
      <c r="Z766" s="115">
        <v>914.99599999999998</v>
      </c>
      <c r="AA766" s="115">
        <v>908.92899999999997</v>
      </c>
      <c r="AB766" s="115">
        <v>903.74800000000005</v>
      </c>
      <c r="AC766" s="115">
        <v>897.19100000000003</v>
      </c>
      <c r="AD766" s="43"/>
      <c r="AE766" s="43"/>
      <c r="AF766" s="43"/>
      <c r="AG766" s="43"/>
      <c r="AH766" s="43"/>
      <c r="AI766" s="43"/>
    </row>
    <row r="767" spans="1:35" x14ac:dyDescent="0.25">
      <c r="A767" s="115" t="s">
        <v>983</v>
      </c>
      <c r="B767" s="115"/>
      <c r="C767" s="115">
        <v>1983.193</v>
      </c>
      <c r="D767" s="115">
        <v>1551.4380000000001</v>
      </c>
      <c r="E767" s="115">
        <v>1469.2729999999999</v>
      </c>
      <c r="F767" s="115">
        <v>1905.8050000000001</v>
      </c>
      <c r="G767" s="115">
        <v>1781.7</v>
      </c>
      <c r="H767" s="115">
        <v>1679.5129999999999</v>
      </c>
      <c r="I767" s="115">
        <v>2453.0219999999999</v>
      </c>
      <c r="J767" s="115">
        <v>2312.44</v>
      </c>
      <c r="K767" s="115">
        <v>2573.0010000000002</v>
      </c>
      <c r="L767" s="115">
        <v>2362.4409999999998</v>
      </c>
      <c r="M767" s="115">
        <v>2155.6379999999999</v>
      </c>
      <c r="N767" s="115">
        <v>1956.4880000000001</v>
      </c>
      <c r="O767" s="115">
        <v>1750.2080000000001</v>
      </c>
      <c r="P767" s="115">
        <v>1633.7660000000001</v>
      </c>
      <c r="Q767" s="115">
        <v>1506.5730000000001</v>
      </c>
      <c r="R767" s="115">
        <v>1387.0409999999999</v>
      </c>
      <c r="S767" s="115">
        <v>2051.5329999999999</v>
      </c>
      <c r="T767" s="115">
        <v>1076.097</v>
      </c>
      <c r="U767" s="115">
        <v>1074.992</v>
      </c>
      <c r="V767" s="115">
        <v>1078.806</v>
      </c>
      <c r="W767" s="115">
        <v>1092.471</v>
      </c>
      <c r="X767" s="115">
        <v>1107.077</v>
      </c>
      <c r="Y767" s="115">
        <v>1115.0319999999999</v>
      </c>
      <c r="Z767" s="115">
        <v>1127.921</v>
      </c>
      <c r="AA767" s="115">
        <v>1140.549</v>
      </c>
      <c r="AB767" s="115">
        <v>1152.5820000000001</v>
      </c>
      <c r="AC767" s="115">
        <v>1162.979</v>
      </c>
      <c r="AD767" s="43"/>
      <c r="AE767" s="43"/>
      <c r="AF767" s="43"/>
      <c r="AG767" s="43"/>
      <c r="AH767" s="43"/>
      <c r="AI767" s="43"/>
    </row>
    <row r="768" spans="1:35" x14ac:dyDescent="0.25">
      <c r="A768" s="115" t="s">
        <v>984</v>
      </c>
      <c r="B768" s="115"/>
      <c r="C768" s="115">
        <v>0</v>
      </c>
      <c r="D768" s="115">
        <v>0</v>
      </c>
      <c r="E768" s="115">
        <v>0</v>
      </c>
      <c r="F768" s="115">
        <v>0</v>
      </c>
      <c r="G768" s="115">
        <v>0</v>
      </c>
      <c r="H768" s="115">
        <v>0</v>
      </c>
      <c r="I768" s="115">
        <v>0</v>
      </c>
      <c r="J768" s="115">
        <v>0</v>
      </c>
      <c r="K768" s="115">
        <v>0</v>
      </c>
      <c r="L768" s="115">
        <v>0</v>
      </c>
      <c r="M768" s="115">
        <v>0</v>
      </c>
      <c r="N768" s="115">
        <v>0</v>
      </c>
      <c r="O768" s="115">
        <v>0</v>
      </c>
      <c r="P768" s="115">
        <v>0</v>
      </c>
      <c r="Q768" s="115">
        <v>0</v>
      </c>
      <c r="R768" s="115">
        <v>0</v>
      </c>
      <c r="S768" s="115">
        <v>0</v>
      </c>
      <c r="T768" s="115">
        <v>0</v>
      </c>
      <c r="U768" s="115">
        <v>0</v>
      </c>
      <c r="V768" s="115">
        <v>0</v>
      </c>
      <c r="W768" s="115">
        <v>0</v>
      </c>
      <c r="X768" s="115">
        <v>0</v>
      </c>
      <c r="Y768" s="115">
        <v>0</v>
      </c>
      <c r="Z768" s="115">
        <v>0</v>
      </c>
      <c r="AA768" s="115">
        <v>0</v>
      </c>
      <c r="AB768" s="115">
        <v>0</v>
      </c>
      <c r="AC768" s="115">
        <v>0</v>
      </c>
      <c r="AD768" s="43"/>
      <c r="AE768" s="43"/>
      <c r="AF768" s="43"/>
      <c r="AG768" s="43"/>
      <c r="AH768" s="43"/>
      <c r="AI768" s="43"/>
    </row>
    <row r="769" spans="1:35" x14ac:dyDescent="0.25">
      <c r="A769" s="115" t="s">
        <v>985</v>
      </c>
      <c r="B769" s="115"/>
      <c r="C769" s="115">
        <v>624.66600000000005</v>
      </c>
      <c r="D769" s="115">
        <v>1941.3150000000001</v>
      </c>
      <c r="E769" s="115">
        <v>2672.364</v>
      </c>
      <c r="F769" s="115">
        <v>2575.8249999999998</v>
      </c>
      <c r="G769" s="115">
        <v>2466.08</v>
      </c>
      <c r="H769" s="115">
        <v>2340.4</v>
      </c>
      <c r="I769" s="115">
        <v>2198.09</v>
      </c>
      <c r="J769" s="115">
        <v>1099.819</v>
      </c>
      <c r="K769" s="115">
        <v>1031.9860000000001</v>
      </c>
      <c r="L769" s="115">
        <v>955.78300000000002</v>
      </c>
      <c r="M769" s="115">
        <v>870.49099999999999</v>
      </c>
      <c r="N769" s="115">
        <v>777.16800000000001</v>
      </c>
      <c r="O769" s="115">
        <v>728.53099999999995</v>
      </c>
      <c r="P769" s="115">
        <v>242.33699999999999</v>
      </c>
      <c r="Q769" s="115">
        <v>233.99199999999999</v>
      </c>
      <c r="R769" s="115">
        <v>227.06200000000001</v>
      </c>
      <c r="S769" s="115">
        <v>255.86699999999999</v>
      </c>
      <c r="T769" s="115">
        <v>217.749</v>
      </c>
      <c r="U769" s="115">
        <v>215.04300000000001</v>
      </c>
      <c r="V769" s="115">
        <v>213.39400000000001</v>
      </c>
      <c r="W769" s="115">
        <v>213.50700000000001</v>
      </c>
      <c r="X769" s="115">
        <v>213.93299999999999</v>
      </c>
      <c r="Y769" s="115">
        <v>215.10400000000001</v>
      </c>
      <c r="Z769" s="115">
        <v>216.41300000000001</v>
      </c>
      <c r="AA769" s="115">
        <v>218.232</v>
      </c>
      <c r="AB769" s="115">
        <v>220.333</v>
      </c>
      <c r="AC769" s="115">
        <v>225.98099999999999</v>
      </c>
      <c r="AD769" s="43"/>
      <c r="AE769" s="43"/>
      <c r="AF769" s="43"/>
      <c r="AG769" s="43"/>
      <c r="AH769" s="43"/>
      <c r="AI769" s="43"/>
    </row>
    <row r="770" spans="1:35" x14ac:dyDescent="0.25">
      <c r="A770" s="115" t="s">
        <v>986</v>
      </c>
      <c r="B770" s="115"/>
      <c r="C770" s="115">
        <v>1712.1990000000001</v>
      </c>
      <c r="D770" s="115">
        <v>3126.89</v>
      </c>
      <c r="E770" s="115">
        <v>4423.5230000000001</v>
      </c>
      <c r="F770" s="115">
        <v>4201.7370000000001</v>
      </c>
      <c r="G770" s="115">
        <v>3951.6559999999999</v>
      </c>
      <c r="H770" s="115">
        <v>3670.9769999999999</v>
      </c>
      <c r="I770" s="115">
        <v>3363.085</v>
      </c>
      <c r="J770" s="115">
        <v>1815.69</v>
      </c>
      <c r="K770" s="115">
        <v>1680.6759999999999</v>
      </c>
      <c r="L770" s="115">
        <v>1517.3920000000001</v>
      </c>
      <c r="M770" s="115">
        <v>1339.796</v>
      </c>
      <c r="N770" s="115">
        <v>1151.152</v>
      </c>
      <c r="O770" s="115">
        <v>1062.3589999999999</v>
      </c>
      <c r="P770" s="115">
        <v>396.81</v>
      </c>
      <c r="Q770" s="115">
        <v>394.101</v>
      </c>
      <c r="R770" s="115">
        <v>393.68200000000002</v>
      </c>
      <c r="S770" s="115">
        <v>541.70500000000004</v>
      </c>
      <c r="T770" s="115">
        <v>393.80799999999999</v>
      </c>
      <c r="U770" s="115">
        <v>398.72800000000001</v>
      </c>
      <c r="V770" s="115">
        <v>406.06900000000002</v>
      </c>
      <c r="W770" s="115">
        <v>414.12</v>
      </c>
      <c r="X770" s="115">
        <v>425.714</v>
      </c>
      <c r="Y770" s="115">
        <v>433.66500000000002</v>
      </c>
      <c r="Z770" s="115">
        <v>443.06200000000001</v>
      </c>
      <c r="AA770" s="115">
        <v>452.27100000000002</v>
      </c>
      <c r="AB770" s="115">
        <v>460.74700000000001</v>
      </c>
      <c r="AC770" s="115">
        <v>467.94900000000001</v>
      </c>
      <c r="AD770" s="43"/>
      <c r="AE770" s="43"/>
      <c r="AF770" s="43"/>
      <c r="AG770" s="43"/>
      <c r="AH770" s="43"/>
      <c r="AI770" s="43"/>
    </row>
    <row r="771" spans="1:35" x14ac:dyDescent="0.25">
      <c r="A771" s="115" t="s">
        <v>987</v>
      </c>
      <c r="B771" s="115"/>
      <c r="C771" s="115">
        <v>2158.9940000000001</v>
      </c>
      <c r="D771" s="115">
        <v>2682.83</v>
      </c>
      <c r="E771" s="115">
        <v>4203.6289999999999</v>
      </c>
      <c r="F771" s="115">
        <v>3969.77</v>
      </c>
      <c r="G771" s="115">
        <v>3708.51</v>
      </c>
      <c r="H771" s="115">
        <v>3418.99</v>
      </c>
      <c r="I771" s="115">
        <v>3108.37</v>
      </c>
      <c r="J771" s="115">
        <v>1424.816</v>
      </c>
      <c r="K771" s="115">
        <v>1319.164</v>
      </c>
      <c r="L771" s="115">
        <v>1191.298</v>
      </c>
      <c r="M771" s="115">
        <v>1055.422</v>
      </c>
      <c r="N771" s="115">
        <v>913.952</v>
      </c>
      <c r="O771" s="115">
        <v>847.75199999999995</v>
      </c>
      <c r="P771" s="115">
        <v>349.13200000000001</v>
      </c>
      <c r="Q771" s="115">
        <v>347.72899999999998</v>
      </c>
      <c r="R771" s="115">
        <v>348.565</v>
      </c>
      <c r="S771" s="115">
        <v>495.298</v>
      </c>
      <c r="T771" s="115">
        <v>349.88299999999998</v>
      </c>
      <c r="U771" s="115">
        <v>355.22699999999998</v>
      </c>
      <c r="V771" s="115">
        <v>362.75</v>
      </c>
      <c r="W771" s="115">
        <v>370.93099999999998</v>
      </c>
      <c r="X771" s="115">
        <v>380.65300000000002</v>
      </c>
      <c r="Y771" s="115">
        <v>388.39800000000002</v>
      </c>
      <c r="Z771" s="115">
        <v>398.96300000000002</v>
      </c>
      <c r="AA771" s="115">
        <v>407.83300000000003</v>
      </c>
      <c r="AB771" s="115">
        <v>415.87</v>
      </c>
      <c r="AC771" s="115">
        <v>422.58199999999999</v>
      </c>
      <c r="AD771" s="43"/>
      <c r="AE771" s="43"/>
      <c r="AF771" s="43"/>
      <c r="AG771" s="43"/>
      <c r="AH771" s="43"/>
      <c r="AI771" s="43"/>
    </row>
    <row r="772" spans="1:35" x14ac:dyDescent="0.25">
      <c r="A772" s="115" t="s">
        <v>988</v>
      </c>
      <c r="B772" s="115"/>
      <c r="C772" s="115">
        <v>1677.633</v>
      </c>
      <c r="D772" s="115">
        <v>1596.5530000000001</v>
      </c>
      <c r="E772" s="115">
        <v>2760.0390000000002</v>
      </c>
      <c r="F772" s="115">
        <v>2562.1439999999998</v>
      </c>
      <c r="G772" s="115">
        <v>2345.0030000000002</v>
      </c>
      <c r="H772" s="115">
        <v>2113.538</v>
      </c>
      <c r="I772" s="115">
        <v>1873.9</v>
      </c>
      <c r="J772" s="115">
        <v>739.32899999999995</v>
      </c>
      <c r="K772" s="115">
        <v>683.44600000000003</v>
      </c>
      <c r="L772" s="115">
        <v>605.65800000000002</v>
      </c>
      <c r="M772" s="115">
        <v>526.13900000000001</v>
      </c>
      <c r="N772" s="115">
        <v>446.68400000000003</v>
      </c>
      <c r="O772" s="115">
        <v>414.10700000000003</v>
      </c>
      <c r="P772" s="115">
        <v>251.42599999999999</v>
      </c>
      <c r="Q772" s="115">
        <v>257.60700000000003</v>
      </c>
      <c r="R772" s="115">
        <v>265.16800000000001</v>
      </c>
      <c r="S772" s="115">
        <v>415.99299999999999</v>
      </c>
      <c r="T772" s="115">
        <v>274.048</v>
      </c>
      <c r="U772" s="115">
        <v>282.98700000000002</v>
      </c>
      <c r="V772" s="115">
        <v>293.27199999999999</v>
      </c>
      <c r="W772" s="115">
        <v>303.19600000000003</v>
      </c>
      <c r="X772" s="115">
        <v>314.20100000000002</v>
      </c>
      <c r="Y772" s="115">
        <v>322.05099999999999</v>
      </c>
      <c r="Z772" s="115">
        <v>330.94</v>
      </c>
      <c r="AA772" s="115">
        <v>338.72199999999998</v>
      </c>
      <c r="AB772" s="115">
        <v>344.97699999999998</v>
      </c>
      <c r="AC772" s="115">
        <v>349.53100000000001</v>
      </c>
      <c r="AD772" s="43"/>
      <c r="AE772" s="43"/>
      <c r="AF772" s="43"/>
      <c r="AG772" s="43"/>
      <c r="AH772" s="43"/>
      <c r="AI772" s="43"/>
    </row>
    <row r="773" spans="1:35" x14ac:dyDescent="0.25">
      <c r="A773" s="115" t="s">
        <v>989</v>
      </c>
      <c r="B773" s="115"/>
      <c r="C773" s="115">
        <v>1159.749</v>
      </c>
      <c r="D773" s="115">
        <v>639.08699999999999</v>
      </c>
      <c r="E773" s="115">
        <v>402.43799999999999</v>
      </c>
      <c r="F773" s="115">
        <v>397.97</v>
      </c>
      <c r="G773" s="115">
        <v>315.46800000000002</v>
      </c>
      <c r="H773" s="115">
        <v>239.13</v>
      </c>
      <c r="I773" s="115">
        <v>251.96199999999999</v>
      </c>
      <c r="J773" s="115">
        <v>264.12599999999998</v>
      </c>
      <c r="K773" s="115">
        <v>334.56799999999998</v>
      </c>
      <c r="L773" s="115">
        <v>358.41399999999999</v>
      </c>
      <c r="M773" s="115">
        <v>335.25599999999997</v>
      </c>
      <c r="N773" s="115">
        <v>274.87099999999998</v>
      </c>
      <c r="O773" s="115">
        <v>299.96199999999999</v>
      </c>
      <c r="P773" s="115">
        <v>308.98399999999998</v>
      </c>
      <c r="Q773" s="115">
        <v>285.404</v>
      </c>
      <c r="R773" s="115">
        <v>255.4</v>
      </c>
      <c r="S773" s="115">
        <v>356.25200000000001</v>
      </c>
      <c r="T773" s="115">
        <v>224.589</v>
      </c>
      <c r="U773" s="115">
        <v>214.273</v>
      </c>
      <c r="V773" s="115">
        <v>134.19999999999999</v>
      </c>
      <c r="W773" s="115">
        <v>136.29300000000001</v>
      </c>
      <c r="X773" s="115">
        <v>138.36600000000001</v>
      </c>
      <c r="Y773" s="115">
        <v>140.041</v>
      </c>
      <c r="Z773" s="115">
        <v>141.88200000000001</v>
      </c>
      <c r="AA773" s="115">
        <v>143.71600000000001</v>
      </c>
      <c r="AB773" s="115">
        <v>145.52199999999999</v>
      </c>
      <c r="AC773" s="115">
        <v>147.304</v>
      </c>
      <c r="AD773" s="43"/>
      <c r="AE773" s="43"/>
      <c r="AF773" s="43"/>
      <c r="AG773" s="43"/>
      <c r="AH773" s="43"/>
      <c r="AI773" s="43"/>
    </row>
    <row r="774" spans="1:35" x14ac:dyDescent="0.25">
      <c r="A774" s="115" t="s">
        <v>767</v>
      </c>
      <c r="B774" s="115"/>
      <c r="C774" s="115">
        <v>11.72</v>
      </c>
      <c r="D774" s="115">
        <v>11.848000000000001</v>
      </c>
      <c r="E774" s="115">
        <v>11.25</v>
      </c>
      <c r="F774" s="115">
        <v>11.663</v>
      </c>
      <c r="G774" s="115">
        <v>10.773</v>
      </c>
      <c r="H774" s="115">
        <v>9.8040000000000003</v>
      </c>
      <c r="I774" s="115">
        <v>9.3460000000000001</v>
      </c>
      <c r="J774" s="115">
        <v>10.525</v>
      </c>
      <c r="K774" s="115">
        <v>9.6479999999999997</v>
      </c>
      <c r="L774" s="115">
        <v>9.8010000000000002</v>
      </c>
      <c r="M774" s="115">
        <v>10.034000000000001</v>
      </c>
      <c r="N774" s="115">
        <v>10.202999999999999</v>
      </c>
      <c r="O774" s="115">
        <v>8.9450000000000003</v>
      </c>
      <c r="P774" s="115">
        <v>9.4450000000000003</v>
      </c>
      <c r="Q774" s="115">
        <v>9.5969999999999995</v>
      </c>
      <c r="R774" s="115">
        <v>8.6709999999999994</v>
      </c>
      <c r="S774" s="115">
        <v>10.602</v>
      </c>
      <c r="T774" s="115">
        <v>8.8550000000000004</v>
      </c>
      <c r="U774" s="115">
        <v>8.7509999999999994</v>
      </c>
      <c r="V774" s="115">
        <v>8.0280000000000005</v>
      </c>
      <c r="W774" s="115">
        <v>10.284000000000001</v>
      </c>
      <c r="X774" s="115">
        <v>8.9209999999999994</v>
      </c>
      <c r="Y774" s="115">
        <v>9.5</v>
      </c>
      <c r="Z774" s="115">
        <v>9.1890000000000001</v>
      </c>
      <c r="AA774" s="115">
        <v>9.1839999999999993</v>
      </c>
      <c r="AB774" s="115">
        <v>9.202</v>
      </c>
      <c r="AC774" s="115">
        <v>9.19</v>
      </c>
      <c r="AD774" s="43"/>
      <c r="AE774" s="43"/>
      <c r="AF774" s="43"/>
      <c r="AG774" s="43"/>
      <c r="AH774" s="43"/>
      <c r="AI774" s="43"/>
    </row>
    <row r="775" spans="1:35" x14ac:dyDescent="0.25">
      <c r="A775" s="115" t="s">
        <v>382</v>
      </c>
      <c r="B775" s="115"/>
      <c r="C775" s="115">
        <v>0.03</v>
      </c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43"/>
      <c r="AE775" s="43"/>
      <c r="AF775" s="43"/>
      <c r="AG775" s="43"/>
      <c r="AH775" s="43"/>
      <c r="AI775" s="43"/>
    </row>
    <row r="776" spans="1:35" x14ac:dyDescent="0.25">
      <c r="A776" s="115" t="s">
        <v>773</v>
      </c>
      <c r="B776" s="115"/>
      <c r="C776" s="115">
        <v>0.42499999999999999</v>
      </c>
      <c r="D776" s="115">
        <v>0</v>
      </c>
      <c r="E776" s="115">
        <v>0</v>
      </c>
      <c r="F776" s="115">
        <v>0</v>
      </c>
      <c r="G776" s="115">
        <v>0</v>
      </c>
      <c r="H776" s="115">
        <v>0</v>
      </c>
      <c r="I776" s="115">
        <v>0</v>
      </c>
      <c r="J776" s="115">
        <v>0</v>
      </c>
      <c r="K776" s="115">
        <v>0</v>
      </c>
      <c r="L776" s="115">
        <v>0</v>
      </c>
      <c r="M776" s="115">
        <v>0</v>
      </c>
      <c r="N776" s="115">
        <v>0</v>
      </c>
      <c r="O776" s="115">
        <v>0</v>
      </c>
      <c r="P776" s="115">
        <v>0</v>
      </c>
      <c r="Q776" s="115">
        <v>0</v>
      </c>
      <c r="R776" s="115">
        <v>0</v>
      </c>
      <c r="S776" s="115">
        <v>0</v>
      </c>
      <c r="T776" s="115">
        <v>0</v>
      </c>
      <c r="U776" s="115">
        <v>0</v>
      </c>
      <c r="V776" s="115">
        <v>0</v>
      </c>
      <c r="W776" s="115">
        <v>0</v>
      </c>
      <c r="X776" s="115">
        <v>0</v>
      </c>
      <c r="Y776" s="115">
        <v>0</v>
      </c>
      <c r="Z776" s="115">
        <v>0</v>
      </c>
      <c r="AA776" s="115">
        <v>0</v>
      </c>
      <c r="AB776" s="115">
        <v>0</v>
      </c>
      <c r="AC776" s="115">
        <v>0</v>
      </c>
      <c r="AD776" s="43"/>
      <c r="AE776" s="43"/>
      <c r="AF776" s="43"/>
      <c r="AG776" s="43"/>
      <c r="AH776" s="43"/>
      <c r="AI776" s="43"/>
    </row>
    <row r="777" spans="1:35" x14ac:dyDescent="0.25">
      <c r="A777" s="115" t="s">
        <v>774</v>
      </c>
      <c r="B777" s="115"/>
      <c r="C777" s="115">
        <v>0.379</v>
      </c>
      <c r="D777" s="115">
        <v>0</v>
      </c>
      <c r="E777" s="115">
        <v>0</v>
      </c>
      <c r="F777" s="115">
        <v>0</v>
      </c>
      <c r="G777" s="115">
        <v>0</v>
      </c>
      <c r="H777" s="115">
        <v>0</v>
      </c>
      <c r="I777" s="115">
        <v>0</v>
      </c>
      <c r="J777" s="115">
        <v>0</v>
      </c>
      <c r="K777" s="115">
        <v>0</v>
      </c>
      <c r="L777" s="115">
        <v>0</v>
      </c>
      <c r="M777" s="115">
        <v>0</v>
      </c>
      <c r="N777" s="115">
        <v>0</v>
      </c>
      <c r="O777" s="115">
        <v>0</v>
      </c>
      <c r="P777" s="115">
        <v>0</v>
      </c>
      <c r="Q777" s="115">
        <v>0</v>
      </c>
      <c r="R777" s="115">
        <v>0</v>
      </c>
      <c r="S777" s="115">
        <v>0</v>
      </c>
      <c r="T777" s="115">
        <v>0</v>
      </c>
      <c r="U777" s="115">
        <v>0</v>
      </c>
      <c r="V777" s="115">
        <v>0</v>
      </c>
      <c r="W777" s="115">
        <v>0</v>
      </c>
      <c r="X777" s="115">
        <v>0</v>
      </c>
      <c r="Y777" s="115">
        <v>0</v>
      </c>
      <c r="Z777" s="115">
        <v>0</v>
      </c>
      <c r="AA777" s="115">
        <v>0</v>
      </c>
      <c r="AB777" s="115">
        <v>0</v>
      </c>
      <c r="AC777" s="115">
        <v>0</v>
      </c>
      <c r="AD777" s="43"/>
      <c r="AE777" s="43"/>
      <c r="AF777" s="43"/>
      <c r="AG777" s="43"/>
      <c r="AH777" s="43"/>
      <c r="AI777" s="43"/>
    </row>
    <row r="778" spans="1:35" x14ac:dyDescent="0.25">
      <c r="A778" s="115" t="s">
        <v>775</v>
      </c>
      <c r="B778" s="115"/>
      <c r="C778" s="115">
        <v>0.27600000000000002</v>
      </c>
      <c r="D778" s="115">
        <v>0</v>
      </c>
      <c r="E778" s="115">
        <v>0</v>
      </c>
      <c r="F778" s="115">
        <v>0</v>
      </c>
      <c r="G778" s="115">
        <v>0</v>
      </c>
      <c r="H778" s="115">
        <v>0</v>
      </c>
      <c r="I778" s="115">
        <v>0</v>
      </c>
      <c r="J778" s="115">
        <v>0</v>
      </c>
      <c r="K778" s="115">
        <v>0</v>
      </c>
      <c r="L778" s="115">
        <v>0</v>
      </c>
      <c r="M778" s="115">
        <v>0</v>
      </c>
      <c r="N778" s="115">
        <v>0</v>
      </c>
      <c r="O778" s="115">
        <v>0</v>
      </c>
      <c r="P778" s="115">
        <v>0</v>
      </c>
      <c r="Q778" s="115">
        <v>0</v>
      </c>
      <c r="R778" s="115">
        <v>0</v>
      </c>
      <c r="S778" s="115">
        <v>0</v>
      </c>
      <c r="T778" s="115">
        <v>0</v>
      </c>
      <c r="U778" s="115">
        <v>0</v>
      </c>
      <c r="V778" s="115">
        <v>0</v>
      </c>
      <c r="W778" s="115">
        <v>0</v>
      </c>
      <c r="X778" s="115">
        <v>0</v>
      </c>
      <c r="Y778" s="115">
        <v>0</v>
      </c>
      <c r="Z778" s="115">
        <v>0</v>
      </c>
      <c r="AA778" s="115">
        <v>0</v>
      </c>
      <c r="AB778" s="115">
        <v>0</v>
      </c>
      <c r="AC778" s="115">
        <v>0</v>
      </c>
      <c r="AD778" s="43"/>
      <c r="AE778" s="43"/>
      <c r="AF778" s="43"/>
      <c r="AG778" s="43"/>
      <c r="AH778" s="43"/>
      <c r="AI778" s="43"/>
    </row>
    <row r="779" spans="1:35" x14ac:dyDescent="0.25">
      <c r="A779" s="115" t="s">
        <v>776</v>
      </c>
      <c r="B779" s="115"/>
      <c r="C779" s="115">
        <v>0.216</v>
      </c>
      <c r="D779" s="115">
        <v>0</v>
      </c>
      <c r="E779" s="115">
        <v>0</v>
      </c>
      <c r="F779" s="115">
        <v>0</v>
      </c>
      <c r="G779" s="115">
        <v>0</v>
      </c>
      <c r="H779" s="115">
        <v>0</v>
      </c>
      <c r="I779" s="115">
        <v>0</v>
      </c>
      <c r="J779" s="115">
        <v>0</v>
      </c>
      <c r="K779" s="115">
        <v>0</v>
      </c>
      <c r="L779" s="115">
        <v>0</v>
      </c>
      <c r="M779" s="115">
        <v>0</v>
      </c>
      <c r="N779" s="115">
        <v>0</v>
      </c>
      <c r="O779" s="115">
        <v>0</v>
      </c>
      <c r="P779" s="115">
        <v>0</v>
      </c>
      <c r="Q779" s="115">
        <v>0</v>
      </c>
      <c r="R779" s="115">
        <v>0</v>
      </c>
      <c r="S779" s="115">
        <v>0</v>
      </c>
      <c r="T779" s="115">
        <v>0</v>
      </c>
      <c r="U779" s="115">
        <v>0</v>
      </c>
      <c r="V779" s="115">
        <v>0</v>
      </c>
      <c r="W779" s="115">
        <v>0</v>
      </c>
      <c r="X779" s="115">
        <v>0</v>
      </c>
      <c r="Y779" s="115">
        <v>0</v>
      </c>
      <c r="Z779" s="115">
        <v>0</v>
      </c>
      <c r="AA779" s="115">
        <v>0</v>
      </c>
      <c r="AB779" s="115">
        <v>0</v>
      </c>
      <c r="AC779" s="115">
        <v>0</v>
      </c>
      <c r="AD779" s="43"/>
      <c r="AE779" s="43"/>
      <c r="AF779" s="43"/>
      <c r="AG779" s="43"/>
      <c r="AH779" s="43"/>
      <c r="AI779" s="43"/>
    </row>
    <row r="780" spans="1:35" x14ac:dyDescent="0.25">
      <c r="A780" s="115" t="s">
        <v>777</v>
      </c>
      <c r="B780" s="115"/>
      <c r="C780" s="115">
        <v>0.11799999999999999</v>
      </c>
      <c r="D780" s="115">
        <v>0</v>
      </c>
      <c r="E780" s="115">
        <v>0</v>
      </c>
      <c r="F780" s="115">
        <v>0</v>
      </c>
      <c r="G780" s="115">
        <v>0</v>
      </c>
      <c r="H780" s="115">
        <v>0</v>
      </c>
      <c r="I780" s="115">
        <v>0</v>
      </c>
      <c r="J780" s="115">
        <v>0</v>
      </c>
      <c r="K780" s="115">
        <v>0</v>
      </c>
      <c r="L780" s="115">
        <v>0</v>
      </c>
      <c r="M780" s="115">
        <v>0</v>
      </c>
      <c r="N780" s="115">
        <v>0</v>
      </c>
      <c r="O780" s="115">
        <v>0</v>
      </c>
      <c r="P780" s="115">
        <v>0</v>
      </c>
      <c r="Q780" s="115">
        <v>0</v>
      </c>
      <c r="R780" s="115">
        <v>0</v>
      </c>
      <c r="S780" s="115">
        <v>0</v>
      </c>
      <c r="T780" s="115">
        <v>0</v>
      </c>
      <c r="U780" s="115">
        <v>0</v>
      </c>
      <c r="V780" s="115">
        <v>0</v>
      </c>
      <c r="W780" s="115">
        <v>0</v>
      </c>
      <c r="X780" s="115">
        <v>0</v>
      </c>
      <c r="Y780" s="115">
        <v>0</v>
      </c>
      <c r="Z780" s="115">
        <v>0</v>
      </c>
      <c r="AA780" s="115">
        <v>0</v>
      </c>
      <c r="AB780" s="115">
        <v>0</v>
      </c>
      <c r="AC780" s="115">
        <v>0</v>
      </c>
      <c r="AD780" s="43"/>
      <c r="AE780" s="43"/>
      <c r="AF780" s="43"/>
      <c r="AG780" s="43"/>
      <c r="AH780" s="43"/>
      <c r="AI780" s="43"/>
    </row>
    <row r="781" spans="1:35" x14ac:dyDescent="0.25">
      <c r="A781" s="115" t="s">
        <v>213</v>
      </c>
      <c r="B781" s="115">
        <v>30.225000000000001</v>
      </c>
      <c r="C781" s="115">
        <v>30.445</v>
      </c>
      <c r="D781" s="115">
        <v>30.713000000000001</v>
      </c>
      <c r="E781" s="115">
        <v>30.981000000000002</v>
      </c>
      <c r="F781" s="115">
        <v>31.248000000000001</v>
      </c>
      <c r="G781" s="115">
        <v>31.515000000000001</v>
      </c>
      <c r="H781" s="115">
        <v>31.782</v>
      </c>
      <c r="I781" s="115">
        <v>31.960999999999999</v>
      </c>
      <c r="J781" s="115">
        <v>32.139000000000003</v>
      </c>
      <c r="K781" s="115">
        <v>32.316000000000003</v>
      </c>
      <c r="L781" s="115">
        <v>32.494</v>
      </c>
      <c r="M781" s="115">
        <v>32.671999999999997</v>
      </c>
      <c r="N781" s="115">
        <v>32.848999999999997</v>
      </c>
      <c r="O781" s="115">
        <v>33.026000000000003</v>
      </c>
      <c r="P781" s="115">
        <v>33.203000000000003</v>
      </c>
      <c r="Q781" s="115">
        <v>33.380000000000003</v>
      </c>
      <c r="R781" s="115">
        <v>33.557000000000002</v>
      </c>
      <c r="S781" s="115">
        <v>33.606000000000002</v>
      </c>
      <c r="T781" s="115">
        <v>33.655999999999999</v>
      </c>
      <c r="U781" s="115">
        <v>33.704999999999998</v>
      </c>
      <c r="V781" s="115">
        <v>33.755000000000003</v>
      </c>
      <c r="W781" s="115">
        <v>33.804000000000002</v>
      </c>
      <c r="X781" s="115">
        <v>33.853000000000002</v>
      </c>
      <c r="Y781" s="115">
        <v>33.902999999999999</v>
      </c>
      <c r="Z781" s="115">
        <v>33.951999999999998</v>
      </c>
      <c r="AA781" s="115">
        <v>34.000999999999998</v>
      </c>
      <c r="AB781" s="115">
        <v>34.049999999999997</v>
      </c>
      <c r="AC781" s="115">
        <v>34.091999999999999</v>
      </c>
      <c r="AD781" s="43"/>
      <c r="AE781" s="43"/>
      <c r="AF781" s="43"/>
      <c r="AG781" s="43"/>
      <c r="AH781" s="43"/>
      <c r="AI781" s="43"/>
    </row>
    <row r="782" spans="1:35" x14ac:dyDescent="0.25">
      <c r="A782" s="115" t="s">
        <v>9</v>
      </c>
      <c r="B782" s="115">
        <v>0.39700000000000002</v>
      </c>
      <c r="C782" s="115">
        <v>0.54500000000000004</v>
      </c>
      <c r="D782" s="115">
        <v>0.75700000000000001</v>
      </c>
      <c r="E782" s="115">
        <v>0.96899999999999997</v>
      </c>
      <c r="F782" s="115">
        <v>1.1819999999999999</v>
      </c>
      <c r="G782" s="115">
        <v>1.395</v>
      </c>
      <c r="H782" s="115">
        <v>1.6060000000000001</v>
      </c>
      <c r="I782" s="115">
        <v>1.7569999999999999</v>
      </c>
      <c r="J782" s="115">
        <v>1.913</v>
      </c>
      <c r="K782" s="115">
        <v>2.0670000000000002</v>
      </c>
      <c r="L782" s="115">
        <v>2.2250000000000001</v>
      </c>
      <c r="M782" s="115">
        <v>2.3849999999999998</v>
      </c>
      <c r="N782" s="115">
        <v>2.5489999999999999</v>
      </c>
      <c r="O782" s="115">
        <v>2.7130000000000001</v>
      </c>
      <c r="P782" s="115">
        <v>2.8820000000000001</v>
      </c>
      <c r="Q782" s="115">
        <v>3.0539999999999998</v>
      </c>
      <c r="R782" s="115">
        <v>3.2290000000000001</v>
      </c>
      <c r="S782" s="115">
        <v>3.33</v>
      </c>
      <c r="T782" s="115">
        <v>3.4319999999999999</v>
      </c>
      <c r="U782" s="115">
        <v>3.536</v>
      </c>
      <c r="V782" s="115">
        <v>3.64</v>
      </c>
      <c r="W782" s="115">
        <v>3.7080000000000002</v>
      </c>
      <c r="X782" s="115">
        <v>3.794</v>
      </c>
      <c r="Y782" s="115">
        <v>3.883</v>
      </c>
      <c r="Z782" s="115">
        <v>3.97</v>
      </c>
      <c r="AA782" s="115">
        <v>4.0570000000000004</v>
      </c>
      <c r="AB782" s="115">
        <v>4.1440000000000001</v>
      </c>
      <c r="AC782" s="115">
        <v>4.2320000000000002</v>
      </c>
      <c r="AD782" s="43"/>
      <c r="AE782" s="43"/>
      <c r="AF782" s="43"/>
      <c r="AG782" s="43"/>
      <c r="AH782" s="43"/>
      <c r="AI782" s="43"/>
    </row>
    <row r="783" spans="1:35" x14ac:dyDescent="0.25">
      <c r="A783" s="115" t="s">
        <v>10</v>
      </c>
      <c r="B783" s="115">
        <v>2.1560000000000001</v>
      </c>
      <c r="C783" s="115">
        <v>2.4350000000000001</v>
      </c>
      <c r="D783" s="115">
        <v>2.6859999999999999</v>
      </c>
      <c r="E783" s="115">
        <v>2.9470000000000001</v>
      </c>
      <c r="F783" s="115">
        <v>3.2240000000000002</v>
      </c>
      <c r="G783" s="115">
        <v>3.5190000000000001</v>
      </c>
      <c r="H783" s="115">
        <v>3.8340000000000001</v>
      </c>
      <c r="I783" s="115">
        <v>4.141</v>
      </c>
      <c r="J783" s="115">
        <v>4.4649999999999999</v>
      </c>
      <c r="K783" s="115">
        <v>4.8179999999999996</v>
      </c>
      <c r="L783" s="115">
        <v>5.194</v>
      </c>
      <c r="M783" s="115">
        <v>5.5949999999999998</v>
      </c>
      <c r="N783" s="115">
        <v>6.0179999999999998</v>
      </c>
      <c r="O783" s="115">
        <v>6.4039999999999999</v>
      </c>
      <c r="P783" s="115">
        <v>6.8079999999999998</v>
      </c>
      <c r="Q783" s="115">
        <v>7.2309999999999999</v>
      </c>
      <c r="R783" s="115">
        <v>7.6459999999999999</v>
      </c>
      <c r="S783" s="115">
        <v>8.0660000000000007</v>
      </c>
      <c r="T783" s="115">
        <v>8.4809999999999999</v>
      </c>
      <c r="U783" s="115">
        <v>8.9030000000000005</v>
      </c>
      <c r="V783" s="115">
        <v>9.3059999999999992</v>
      </c>
      <c r="W783" s="115">
        <v>9.5500000000000007</v>
      </c>
      <c r="X783" s="115">
        <v>9.8070000000000004</v>
      </c>
      <c r="Y783" s="115">
        <v>10.074999999999999</v>
      </c>
      <c r="Z783" s="115">
        <v>10.324</v>
      </c>
      <c r="AA783" s="115">
        <v>10.569000000000001</v>
      </c>
      <c r="AB783" s="115">
        <v>10.808999999999999</v>
      </c>
      <c r="AC783" s="115">
        <v>11.044</v>
      </c>
      <c r="AD783" s="43"/>
      <c r="AE783" s="43"/>
      <c r="AF783" s="43"/>
      <c r="AG783" s="43"/>
      <c r="AH783" s="43"/>
      <c r="AI783" s="43"/>
    </row>
    <row r="784" spans="1:35" x14ac:dyDescent="0.25">
      <c r="A784" s="115" t="s">
        <v>11</v>
      </c>
      <c r="B784" s="115">
        <v>5.55</v>
      </c>
      <c r="C784" s="115">
        <v>6.0179999999999998</v>
      </c>
      <c r="D784" s="115">
        <v>6.359</v>
      </c>
      <c r="E784" s="115">
        <v>6.835</v>
      </c>
      <c r="F784" s="115">
        <v>7.3259999999999996</v>
      </c>
      <c r="G784" s="115">
        <v>7.843</v>
      </c>
      <c r="H784" s="115">
        <v>8.3770000000000007</v>
      </c>
      <c r="I784" s="115">
        <v>8.9450000000000003</v>
      </c>
      <c r="J784" s="115">
        <v>9.5090000000000003</v>
      </c>
      <c r="K784" s="115">
        <v>10.092000000000001</v>
      </c>
      <c r="L784" s="115">
        <v>10.634</v>
      </c>
      <c r="M784" s="115">
        <v>11.148</v>
      </c>
      <c r="N784" s="115">
        <v>11.615</v>
      </c>
      <c r="O784" s="115">
        <v>11.957000000000001</v>
      </c>
      <c r="P784" s="115">
        <v>12.417</v>
      </c>
      <c r="Q784" s="115">
        <v>12.785</v>
      </c>
      <c r="R784" s="115">
        <v>13.061</v>
      </c>
      <c r="S784" s="115">
        <v>13.427</v>
      </c>
      <c r="T784" s="115">
        <v>13.611000000000001</v>
      </c>
      <c r="U784" s="115">
        <v>13.746</v>
      </c>
      <c r="V784" s="115">
        <v>13.816000000000001</v>
      </c>
      <c r="W784" s="115">
        <v>13.888</v>
      </c>
      <c r="X784" s="115">
        <v>13.92</v>
      </c>
      <c r="Y784" s="115">
        <v>13.938000000000001</v>
      </c>
      <c r="Z784" s="115">
        <v>13.946</v>
      </c>
      <c r="AA784" s="115">
        <v>13.944000000000001</v>
      </c>
      <c r="AB784" s="115">
        <v>13.930999999999999</v>
      </c>
      <c r="AC784" s="115">
        <v>13.907999999999999</v>
      </c>
      <c r="AD784" s="43"/>
      <c r="AE784" s="43"/>
      <c r="AF784" s="43"/>
      <c r="AG784" s="43"/>
      <c r="AH784" s="43"/>
      <c r="AI784" s="43"/>
    </row>
    <row r="785" spans="1:35" x14ac:dyDescent="0.25">
      <c r="A785" s="115" t="s">
        <v>12</v>
      </c>
      <c r="B785" s="115">
        <v>12.773999999999999</v>
      </c>
      <c r="C785" s="115">
        <v>12.688000000000001</v>
      </c>
      <c r="D785" s="115">
        <v>12.638999999999999</v>
      </c>
      <c r="E785" s="115">
        <v>12.526999999999999</v>
      </c>
      <c r="F785" s="115">
        <v>12.387</v>
      </c>
      <c r="G785" s="115">
        <v>12.167999999999999</v>
      </c>
      <c r="H785" s="115">
        <v>11.875999999999999</v>
      </c>
      <c r="I785" s="115">
        <v>11.561999999999999</v>
      </c>
      <c r="J785" s="115">
        <v>11.433</v>
      </c>
      <c r="K785" s="115">
        <v>11.183999999999999</v>
      </c>
      <c r="L785" s="115">
        <v>10.872999999999999</v>
      </c>
      <c r="M785" s="115">
        <v>10.478999999999999</v>
      </c>
      <c r="N785" s="115">
        <v>10.039</v>
      </c>
      <c r="O785" s="115">
        <v>9.6530000000000005</v>
      </c>
      <c r="P785" s="115">
        <v>9.0909999999999993</v>
      </c>
      <c r="Q785" s="115">
        <v>8.5649999999999995</v>
      </c>
      <c r="R785" s="115">
        <v>8.1029999999999998</v>
      </c>
      <c r="S785" s="115">
        <v>7.548</v>
      </c>
      <c r="T785" s="115">
        <v>7.077</v>
      </c>
      <c r="U785" s="115">
        <v>6.6280000000000001</v>
      </c>
      <c r="V785" s="115">
        <v>6.2430000000000003</v>
      </c>
      <c r="W785" s="115">
        <v>6.0129999999999999</v>
      </c>
      <c r="X785" s="115">
        <v>5.7850000000000001</v>
      </c>
      <c r="Y785" s="115">
        <v>5.55</v>
      </c>
      <c r="Z785" s="115">
        <v>5.3369999999999997</v>
      </c>
      <c r="AA785" s="115">
        <v>5.1319999999999997</v>
      </c>
      <c r="AB785" s="115">
        <v>4.9349999999999996</v>
      </c>
      <c r="AC785" s="115">
        <v>4.7460000000000004</v>
      </c>
      <c r="AD785" s="43"/>
      <c r="AE785" s="43"/>
      <c r="AF785" s="43"/>
      <c r="AG785" s="43"/>
      <c r="AH785" s="43"/>
      <c r="AI785" s="43"/>
    </row>
    <row r="786" spans="1:35" x14ac:dyDescent="0.25">
      <c r="A786" s="115" t="s">
        <v>16</v>
      </c>
      <c r="B786" s="115">
        <v>8.3170000000000002</v>
      </c>
      <c r="C786" s="115">
        <v>8.0120000000000005</v>
      </c>
      <c r="D786" s="115">
        <v>7.7679999999999998</v>
      </c>
      <c r="E786" s="115">
        <v>7.4989999999999997</v>
      </c>
      <c r="F786" s="115">
        <v>7.2409999999999997</v>
      </c>
      <c r="G786" s="115">
        <v>6.9640000000000004</v>
      </c>
      <c r="H786" s="115">
        <v>6.6660000000000004</v>
      </c>
      <c r="I786" s="115">
        <v>6.3319999999999999</v>
      </c>
      <c r="J786" s="115">
        <v>6.03</v>
      </c>
      <c r="K786" s="115">
        <v>5.7069999999999999</v>
      </c>
      <c r="L786" s="115">
        <v>5.3929999999999998</v>
      </c>
      <c r="M786" s="115">
        <v>5.09</v>
      </c>
      <c r="N786" s="115">
        <v>4.7949999999999999</v>
      </c>
      <c r="O786" s="115">
        <v>4.4969999999999999</v>
      </c>
      <c r="P786" s="115">
        <v>4.2130000000000001</v>
      </c>
      <c r="Q786" s="115">
        <v>3.9380000000000002</v>
      </c>
      <c r="R786" s="115">
        <v>3.6669999999999998</v>
      </c>
      <c r="S786" s="115">
        <v>3.4039999999999999</v>
      </c>
      <c r="T786" s="115">
        <v>3.1360000000000001</v>
      </c>
      <c r="U786" s="115">
        <v>2.8719999999999999</v>
      </c>
      <c r="V786" s="115">
        <v>2.609</v>
      </c>
      <c r="W786" s="115">
        <v>2.5430000000000001</v>
      </c>
      <c r="X786" s="115">
        <v>2.44</v>
      </c>
      <c r="Y786" s="115">
        <v>2.36</v>
      </c>
      <c r="Z786" s="115">
        <v>2.27</v>
      </c>
      <c r="AA786" s="115">
        <v>2.1949999999999998</v>
      </c>
      <c r="AB786" s="115">
        <v>2.1360000000000001</v>
      </c>
      <c r="AC786" s="115">
        <v>2.09</v>
      </c>
      <c r="AD786" s="43"/>
      <c r="AE786" s="43"/>
      <c r="AF786" s="43"/>
      <c r="AG786" s="43"/>
      <c r="AH786" s="43"/>
      <c r="AI786" s="43"/>
    </row>
    <row r="787" spans="1:35" x14ac:dyDescent="0.25">
      <c r="A787" s="115" t="s">
        <v>21</v>
      </c>
      <c r="B787" s="115">
        <v>1.421</v>
      </c>
      <c r="C787" s="115">
        <v>1.5649999999999999</v>
      </c>
      <c r="D787" s="115">
        <v>1.619</v>
      </c>
      <c r="E787" s="115">
        <v>1.8680000000000001</v>
      </c>
      <c r="F787" s="115">
        <v>2.0470000000000002</v>
      </c>
      <c r="G787" s="115">
        <v>2.375</v>
      </c>
      <c r="H787" s="115">
        <v>2.8740000000000001</v>
      </c>
      <c r="I787" s="115">
        <v>3.5219999999999998</v>
      </c>
      <c r="J787" s="115">
        <v>3.919</v>
      </c>
      <c r="K787" s="115">
        <v>4.4909999999999997</v>
      </c>
      <c r="L787" s="115">
        <v>4.9969999999999999</v>
      </c>
      <c r="M787" s="115">
        <v>5.4219999999999997</v>
      </c>
      <c r="N787" s="115">
        <v>5.7770000000000001</v>
      </c>
      <c r="O787" s="115">
        <v>6.07</v>
      </c>
      <c r="P787" s="115">
        <v>6.2629999999999999</v>
      </c>
      <c r="Q787" s="115">
        <v>6.4059999999999997</v>
      </c>
      <c r="R787" s="115">
        <v>6.4980000000000002</v>
      </c>
      <c r="S787" s="115">
        <v>6.4989999999999997</v>
      </c>
      <c r="T787" s="115">
        <v>6.53</v>
      </c>
      <c r="U787" s="115">
        <v>6.56</v>
      </c>
      <c r="V787" s="115">
        <v>6.59</v>
      </c>
      <c r="W787" s="115">
        <v>6.6189999999999998</v>
      </c>
      <c r="X787" s="115">
        <v>6.6479999999999997</v>
      </c>
      <c r="Y787" s="115">
        <v>6.6760000000000002</v>
      </c>
      <c r="Z787" s="115">
        <v>6.7039999999999997</v>
      </c>
      <c r="AA787" s="115">
        <v>6.7320000000000002</v>
      </c>
      <c r="AB787" s="115">
        <v>6.7590000000000003</v>
      </c>
      <c r="AC787" s="115">
        <v>6.7839999999999998</v>
      </c>
      <c r="AD787" s="43"/>
      <c r="AE787" s="43"/>
      <c r="AF787" s="43"/>
      <c r="AG787" s="43"/>
      <c r="AH787" s="43"/>
      <c r="AI787" s="43"/>
    </row>
    <row r="788" spans="1:35" x14ac:dyDescent="0.25">
      <c r="A788" s="115" t="s">
        <v>13</v>
      </c>
      <c r="B788" s="115">
        <v>5.024</v>
      </c>
      <c r="C788" s="115">
        <v>4.8410000000000002</v>
      </c>
      <c r="D788" s="115">
        <v>4.6470000000000002</v>
      </c>
      <c r="E788" s="115">
        <v>4.4459999999999997</v>
      </c>
      <c r="F788" s="115">
        <v>4.2290000000000001</v>
      </c>
      <c r="G788" s="115">
        <v>4.0010000000000003</v>
      </c>
      <c r="H788" s="115">
        <v>3.77</v>
      </c>
      <c r="I788" s="115">
        <v>3.54</v>
      </c>
      <c r="J788" s="115">
        <v>3.0720000000000001</v>
      </c>
      <c r="K788" s="115">
        <v>2.66</v>
      </c>
      <c r="L788" s="115">
        <v>2.294</v>
      </c>
      <c r="M788" s="115">
        <v>1.988</v>
      </c>
      <c r="N788" s="115">
        <v>1.7230000000000001</v>
      </c>
      <c r="O788" s="115">
        <v>1.5149999999999999</v>
      </c>
      <c r="P788" s="115">
        <v>1.329</v>
      </c>
      <c r="Q788" s="115">
        <v>1.163</v>
      </c>
      <c r="R788" s="115">
        <v>1.0189999999999999</v>
      </c>
      <c r="S788" s="115">
        <v>0.84199999999999997</v>
      </c>
      <c r="T788" s="115">
        <v>0.72299999999999998</v>
      </c>
      <c r="U788" s="115">
        <v>0.61599999999999999</v>
      </c>
      <c r="V788" s="115">
        <v>0.52100000000000002</v>
      </c>
      <c r="W788" s="115">
        <v>0.44700000000000001</v>
      </c>
      <c r="X788" s="115">
        <v>0.379</v>
      </c>
      <c r="Y788" s="115">
        <v>0.316</v>
      </c>
      <c r="Z788" s="115">
        <v>0.25900000000000001</v>
      </c>
      <c r="AA788" s="115">
        <v>0.20699999999999999</v>
      </c>
      <c r="AB788" s="115">
        <v>0.159</v>
      </c>
      <c r="AC788" s="115">
        <v>0.111</v>
      </c>
      <c r="AD788" s="43"/>
      <c r="AE788" s="43"/>
      <c r="AF788" s="43"/>
      <c r="AG788" s="43"/>
      <c r="AH788" s="43"/>
      <c r="AI788" s="43"/>
    </row>
    <row r="789" spans="1:35" x14ac:dyDescent="0.25">
      <c r="A789" s="115" t="s">
        <v>613</v>
      </c>
      <c r="B789" s="115">
        <v>2.5529999999999999</v>
      </c>
      <c r="C789" s="115">
        <v>2.98</v>
      </c>
      <c r="D789" s="115">
        <v>3.4430000000000001</v>
      </c>
      <c r="E789" s="115">
        <v>3.9159999999999999</v>
      </c>
      <c r="F789" s="115">
        <v>4.407</v>
      </c>
      <c r="G789" s="115">
        <v>4.9139999999999997</v>
      </c>
      <c r="H789" s="115">
        <v>5.44</v>
      </c>
      <c r="I789" s="115">
        <v>5.8979999999999997</v>
      </c>
      <c r="J789" s="115">
        <v>6.3780000000000001</v>
      </c>
      <c r="K789" s="115">
        <v>6.8849999999999998</v>
      </c>
      <c r="L789" s="115">
        <v>7.4189999999999996</v>
      </c>
      <c r="M789" s="115">
        <v>7.98</v>
      </c>
      <c r="N789" s="115">
        <v>8.5670000000000002</v>
      </c>
      <c r="O789" s="115">
        <v>9.1170000000000009</v>
      </c>
      <c r="P789" s="115">
        <v>9.69</v>
      </c>
      <c r="Q789" s="115">
        <v>10.286</v>
      </c>
      <c r="R789" s="115">
        <v>10.875</v>
      </c>
      <c r="S789" s="115">
        <v>11.397</v>
      </c>
      <c r="T789" s="115">
        <v>11.913</v>
      </c>
      <c r="U789" s="115">
        <v>12.439</v>
      </c>
      <c r="V789" s="115">
        <v>12.946</v>
      </c>
      <c r="W789" s="115">
        <v>13.257999999999999</v>
      </c>
      <c r="X789" s="115">
        <v>13.601000000000001</v>
      </c>
      <c r="Y789" s="115">
        <v>13.958</v>
      </c>
      <c r="Z789" s="115">
        <v>14.294</v>
      </c>
      <c r="AA789" s="115">
        <v>14.625999999999999</v>
      </c>
      <c r="AB789" s="115">
        <v>14.952999999999999</v>
      </c>
      <c r="AC789" s="115">
        <v>15.276</v>
      </c>
      <c r="AD789" s="43"/>
      <c r="AE789" s="43"/>
      <c r="AF789" s="43"/>
      <c r="AG789" s="43"/>
      <c r="AH789" s="43"/>
      <c r="AI789" s="43"/>
    </row>
    <row r="790" spans="1:35" x14ac:dyDescent="0.25">
      <c r="A790" s="115" t="s">
        <v>332</v>
      </c>
      <c r="B790" s="115">
        <v>0.57899999999999996</v>
      </c>
      <c r="C790" s="115">
        <v>0.91300000000000003</v>
      </c>
      <c r="D790" s="115">
        <v>1.39</v>
      </c>
      <c r="E790" s="115">
        <v>1.8360000000000001</v>
      </c>
      <c r="F790" s="115">
        <v>2.3220000000000001</v>
      </c>
      <c r="G790" s="115">
        <v>2.782</v>
      </c>
      <c r="H790" s="115">
        <v>3.2120000000000002</v>
      </c>
      <c r="I790" s="115">
        <v>3.601</v>
      </c>
      <c r="J790" s="115">
        <v>4.0529999999999999</v>
      </c>
      <c r="K790" s="115">
        <v>4.4729999999999999</v>
      </c>
      <c r="L790" s="115">
        <v>4.9130000000000003</v>
      </c>
      <c r="M790" s="115">
        <v>5.3780000000000001</v>
      </c>
      <c r="N790" s="115">
        <v>5.8659999999999997</v>
      </c>
      <c r="O790" s="115">
        <v>6.2729999999999997</v>
      </c>
      <c r="P790" s="115">
        <v>6.7069999999999999</v>
      </c>
      <c r="Q790" s="115">
        <v>7.1559999999999997</v>
      </c>
      <c r="R790" s="115">
        <v>7.5739999999999998</v>
      </c>
      <c r="S790" s="115">
        <v>8.0190000000000001</v>
      </c>
      <c r="T790" s="115">
        <v>8.4169999999999998</v>
      </c>
      <c r="U790" s="115">
        <v>8.8109999999999999</v>
      </c>
      <c r="V790" s="115">
        <v>9.1769999999999996</v>
      </c>
      <c r="W790" s="115">
        <v>9.48</v>
      </c>
      <c r="X790" s="115">
        <v>9.6649999999999991</v>
      </c>
      <c r="Y790" s="115">
        <v>9.8699999999999992</v>
      </c>
      <c r="Z790" s="115">
        <v>10.055</v>
      </c>
      <c r="AA790" s="115">
        <v>10.238</v>
      </c>
      <c r="AB790" s="115">
        <v>10.420999999999999</v>
      </c>
      <c r="AC790" s="115">
        <v>10.601000000000001</v>
      </c>
      <c r="AD790" s="43"/>
      <c r="AE790" s="43"/>
      <c r="AF790" s="43"/>
      <c r="AG790" s="43"/>
      <c r="AH790" s="43"/>
      <c r="AI790" s="43"/>
    </row>
    <row r="791" spans="1:35" x14ac:dyDescent="0.25">
      <c r="A791" s="115" t="s">
        <v>318</v>
      </c>
      <c r="B791" s="115">
        <v>2.3170000000000002</v>
      </c>
      <c r="C791" s="115">
        <v>2.7290000000000001</v>
      </c>
      <c r="D791" s="115">
        <v>2.9780000000000002</v>
      </c>
      <c r="E791" s="115">
        <v>3.218</v>
      </c>
      <c r="F791" s="115">
        <v>3.4769999999999999</v>
      </c>
      <c r="G791" s="115">
        <v>3.7290000000000001</v>
      </c>
      <c r="H791" s="115">
        <v>3.972</v>
      </c>
      <c r="I791" s="115">
        <v>4.1550000000000002</v>
      </c>
      <c r="J791" s="115">
        <v>4.3650000000000002</v>
      </c>
      <c r="K791" s="115">
        <v>4.5659999999999998</v>
      </c>
      <c r="L791" s="115">
        <v>4.7779999999999996</v>
      </c>
      <c r="M791" s="115">
        <v>5.0030000000000001</v>
      </c>
      <c r="N791" s="115">
        <v>5.2409999999999997</v>
      </c>
      <c r="O791" s="115">
        <v>5.44</v>
      </c>
      <c r="P791" s="115">
        <v>5.6509999999999998</v>
      </c>
      <c r="Q791" s="115">
        <v>5.8680000000000003</v>
      </c>
      <c r="R791" s="115">
        <v>6.069</v>
      </c>
      <c r="S791" s="115">
        <v>6.2489999999999997</v>
      </c>
      <c r="T791" s="115">
        <v>6.4059999999999997</v>
      </c>
      <c r="U791" s="115">
        <v>6.5620000000000003</v>
      </c>
      <c r="V791" s="115">
        <v>6.7050000000000001</v>
      </c>
      <c r="W791" s="115">
        <v>6.6840000000000002</v>
      </c>
      <c r="X791" s="115">
        <v>6.7759999999999998</v>
      </c>
      <c r="Y791" s="115">
        <v>6.8760000000000003</v>
      </c>
      <c r="Z791" s="115">
        <v>6.9630000000000001</v>
      </c>
      <c r="AA791" s="115">
        <v>7.0490000000000004</v>
      </c>
      <c r="AB791" s="115">
        <v>7.133</v>
      </c>
      <c r="AC791" s="115">
        <v>7.2160000000000002</v>
      </c>
      <c r="AD791" s="43"/>
      <c r="AE791" s="43"/>
      <c r="AF791" s="43"/>
      <c r="AG791" s="43"/>
      <c r="AH791" s="43"/>
      <c r="AI791" s="43"/>
    </row>
    <row r="792" spans="1:35" x14ac:dyDescent="0.25">
      <c r="A792" s="115" t="s">
        <v>616</v>
      </c>
      <c r="B792" s="115">
        <v>8.3170000000000002</v>
      </c>
      <c r="C792" s="115">
        <v>8.0120000000000005</v>
      </c>
      <c r="D792" s="115">
        <v>7.7679999999999998</v>
      </c>
      <c r="E792" s="115">
        <v>7.4989999999999997</v>
      </c>
      <c r="F792" s="115">
        <v>7.2409999999999997</v>
      </c>
      <c r="G792" s="115">
        <v>6.9640000000000004</v>
      </c>
      <c r="H792" s="115">
        <v>6.6660000000000004</v>
      </c>
      <c r="I792" s="115">
        <v>6.3319999999999999</v>
      </c>
      <c r="J792" s="115">
        <v>6.03</v>
      </c>
      <c r="K792" s="115">
        <v>5.7069999999999999</v>
      </c>
      <c r="L792" s="115">
        <v>5.3929999999999998</v>
      </c>
      <c r="M792" s="115">
        <v>5.09</v>
      </c>
      <c r="N792" s="115">
        <v>4.7949999999999999</v>
      </c>
      <c r="O792" s="115">
        <v>4.4969999999999999</v>
      </c>
      <c r="P792" s="115">
        <v>4.2130000000000001</v>
      </c>
      <c r="Q792" s="115">
        <v>3.9380000000000002</v>
      </c>
      <c r="R792" s="115">
        <v>3.6669999999999998</v>
      </c>
      <c r="S792" s="115">
        <v>3.4039999999999999</v>
      </c>
      <c r="T792" s="115">
        <v>3.1360000000000001</v>
      </c>
      <c r="U792" s="115">
        <v>2.8719999999999999</v>
      </c>
      <c r="V792" s="115">
        <v>2.609</v>
      </c>
      <c r="W792" s="115">
        <v>2.5430000000000001</v>
      </c>
      <c r="X792" s="115">
        <v>2.44</v>
      </c>
      <c r="Y792" s="115">
        <v>2.36</v>
      </c>
      <c r="Z792" s="115">
        <v>2.27</v>
      </c>
      <c r="AA792" s="115">
        <v>2.1949999999999998</v>
      </c>
      <c r="AB792" s="115">
        <v>2.1360000000000001</v>
      </c>
      <c r="AC792" s="115">
        <v>2.09</v>
      </c>
      <c r="AD792" s="43"/>
      <c r="AE792" s="43"/>
      <c r="AF792" s="43"/>
      <c r="AG792" s="43"/>
      <c r="AH792" s="43"/>
      <c r="AI792" s="43"/>
    </row>
    <row r="793" spans="1:35" x14ac:dyDescent="0.25">
      <c r="A793" s="115" t="s">
        <v>214</v>
      </c>
      <c r="B793" s="115">
        <v>30.225000000000001</v>
      </c>
      <c r="C793" s="115">
        <v>30.195</v>
      </c>
      <c r="D793" s="115">
        <v>30.164999999999999</v>
      </c>
      <c r="E793" s="115">
        <v>30.134</v>
      </c>
      <c r="F793" s="115">
        <v>30.103000000000002</v>
      </c>
      <c r="G793" s="115">
        <v>30.071999999999999</v>
      </c>
      <c r="H793" s="115">
        <v>30.04</v>
      </c>
      <c r="I793" s="115">
        <v>30.007999999999999</v>
      </c>
      <c r="J793" s="115">
        <v>29.975999999999999</v>
      </c>
      <c r="K793" s="115">
        <v>29.943999999999999</v>
      </c>
      <c r="L793" s="115">
        <v>29.911999999999999</v>
      </c>
      <c r="M793" s="115">
        <v>29.879000000000001</v>
      </c>
      <c r="N793" s="115">
        <v>29.847000000000001</v>
      </c>
      <c r="O793" s="115">
        <v>29.814</v>
      </c>
      <c r="P793" s="115">
        <v>29.780999999999999</v>
      </c>
      <c r="Q793" s="115">
        <v>29.748000000000001</v>
      </c>
      <c r="R793" s="115">
        <v>29.713999999999999</v>
      </c>
      <c r="S793" s="115">
        <v>29.664000000000001</v>
      </c>
      <c r="T793" s="115">
        <v>29.614000000000001</v>
      </c>
      <c r="U793" s="115">
        <v>29.562999999999999</v>
      </c>
      <c r="V793" s="115">
        <v>29.513000000000002</v>
      </c>
      <c r="W793" s="115">
        <v>29.462</v>
      </c>
      <c r="X793" s="115">
        <v>29.411000000000001</v>
      </c>
      <c r="Y793" s="115">
        <v>29.36</v>
      </c>
      <c r="Z793" s="115">
        <v>29.31</v>
      </c>
      <c r="AA793" s="115">
        <v>29.259</v>
      </c>
      <c r="AB793" s="115">
        <v>29.207999999999998</v>
      </c>
      <c r="AC793" s="115">
        <v>29.15</v>
      </c>
      <c r="AD793" s="43"/>
      <c r="AE793" s="43"/>
      <c r="AF793" s="43"/>
      <c r="AG793" s="43"/>
      <c r="AH793" s="43"/>
      <c r="AI793" s="43"/>
    </row>
    <row r="794" spans="1:35" x14ac:dyDescent="0.25">
      <c r="A794" s="115" t="s">
        <v>14</v>
      </c>
      <c r="B794" s="115">
        <v>2.927</v>
      </c>
      <c r="C794" s="115">
        <v>2.7549999999999999</v>
      </c>
      <c r="D794" s="115">
        <v>2.62</v>
      </c>
      <c r="E794" s="115">
        <v>2.3849999999999998</v>
      </c>
      <c r="F794" s="115">
        <v>2.17</v>
      </c>
      <c r="G794" s="115">
        <v>1.984</v>
      </c>
      <c r="H794" s="115">
        <v>1.823</v>
      </c>
      <c r="I794" s="115">
        <v>1.613</v>
      </c>
      <c r="J794" s="115">
        <v>1.4239999999999999</v>
      </c>
      <c r="K794" s="115">
        <v>1.248</v>
      </c>
      <c r="L794" s="115">
        <v>1.089</v>
      </c>
      <c r="M794" s="115">
        <v>0.94499999999999995</v>
      </c>
      <c r="N794" s="115">
        <v>0.81599999999999995</v>
      </c>
      <c r="O794" s="115">
        <v>0.71</v>
      </c>
      <c r="P794" s="115">
        <v>0.61399999999999999</v>
      </c>
      <c r="Q794" s="115">
        <v>0.52900000000000003</v>
      </c>
      <c r="R794" s="115">
        <v>0.45600000000000002</v>
      </c>
      <c r="S794" s="115">
        <v>0.35799999999999998</v>
      </c>
      <c r="T794" s="115">
        <v>0.30399999999999999</v>
      </c>
      <c r="U794" s="115">
        <v>0.255</v>
      </c>
      <c r="V794" s="115">
        <v>0.21099999999999999</v>
      </c>
      <c r="W794" s="115">
        <v>0.183</v>
      </c>
      <c r="X794" s="115">
        <v>0.155</v>
      </c>
      <c r="Y794" s="115">
        <v>0.13</v>
      </c>
      <c r="Z794" s="115">
        <v>0.107</v>
      </c>
      <c r="AA794" s="115">
        <v>8.5999999999999993E-2</v>
      </c>
      <c r="AB794" s="115">
        <v>6.7000000000000004E-2</v>
      </c>
      <c r="AC794" s="115">
        <v>4.7E-2</v>
      </c>
      <c r="AD794" s="43"/>
      <c r="AE794" s="43"/>
      <c r="AF794" s="43"/>
      <c r="AG794" s="43"/>
      <c r="AH794" s="43"/>
      <c r="AI794" s="43"/>
    </row>
    <row r="795" spans="1:35" x14ac:dyDescent="0.25">
      <c r="A795" s="115" t="s">
        <v>15</v>
      </c>
      <c r="B795" s="115">
        <v>1.3979999999999999</v>
      </c>
      <c r="C795" s="115">
        <v>1.1619999999999999</v>
      </c>
      <c r="D795" s="115">
        <v>1.006</v>
      </c>
      <c r="E795" s="115">
        <v>0.872</v>
      </c>
      <c r="F795" s="115">
        <v>0.72899999999999998</v>
      </c>
      <c r="G795" s="115">
        <v>0.60499999999999998</v>
      </c>
      <c r="H795" s="115">
        <v>0.497</v>
      </c>
      <c r="I795" s="115">
        <v>0.40300000000000002</v>
      </c>
      <c r="J795" s="115">
        <v>0.32200000000000001</v>
      </c>
      <c r="K795" s="115">
        <v>0.247</v>
      </c>
      <c r="L795" s="115">
        <v>0.184</v>
      </c>
      <c r="M795" s="115">
        <v>0.13200000000000001</v>
      </c>
      <c r="N795" s="115">
        <v>8.8999999999999996E-2</v>
      </c>
      <c r="O795" s="115">
        <v>7.3999999999999996E-2</v>
      </c>
      <c r="P795" s="115">
        <v>6.2E-2</v>
      </c>
      <c r="Q795" s="115">
        <v>5.0999999999999997E-2</v>
      </c>
      <c r="R795" s="115">
        <v>4.2999999999999997E-2</v>
      </c>
      <c r="S795" s="115">
        <v>3.4000000000000002E-2</v>
      </c>
      <c r="T795" s="115">
        <v>2.8000000000000001E-2</v>
      </c>
      <c r="U795" s="115">
        <v>2.1999999999999999E-2</v>
      </c>
      <c r="V795" s="115">
        <v>1.7999999999999999E-2</v>
      </c>
      <c r="W795" s="115">
        <v>1.4999999999999999E-2</v>
      </c>
      <c r="X795" s="115">
        <v>1.2E-2</v>
      </c>
      <c r="Y795" s="115">
        <v>0.01</v>
      </c>
      <c r="Z795" s="115">
        <v>8.0000000000000002E-3</v>
      </c>
      <c r="AA795" s="115">
        <v>6.0000000000000001E-3</v>
      </c>
      <c r="AB795" s="115">
        <v>5.0000000000000001E-3</v>
      </c>
      <c r="AC795" s="115">
        <v>3.0000000000000001E-3</v>
      </c>
      <c r="AD795" s="43"/>
      <c r="AE795" s="43"/>
      <c r="AF795" s="43"/>
      <c r="AG795" s="43"/>
      <c r="AH795" s="43"/>
      <c r="AI795" s="43"/>
    </row>
    <row r="796" spans="1:35" x14ac:dyDescent="0.25">
      <c r="A796" s="115" t="s">
        <v>17</v>
      </c>
      <c r="B796" s="115">
        <v>2.8959999999999999</v>
      </c>
      <c r="C796" s="115">
        <v>3.6419999999999999</v>
      </c>
      <c r="D796" s="115">
        <v>4.3680000000000003</v>
      </c>
      <c r="E796" s="115">
        <v>5.0540000000000003</v>
      </c>
      <c r="F796" s="115">
        <v>5.7990000000000004</v>
      </c>
      <c r="G796" s="115">
        <v>6.5110000000000001</v>
      </c>
      <c r="H796" s="115">
        <v>7.1840000000000002</v>
      </c>
      <c r="I796" s="115">
        <v>7.7560000000000002</v>
      </c>
      <c r="J796" s="115">
        <v>8.4190000000000005</v>
      </c>
      <c r="K796" s="115">
        <v>9.0389999999999997</v>
      </c>
      <c r="L796" s="115">
        <v>9.6920000000000002</v>
      </c>
      <c r="M796" s="115">
        <v>10.382</v>
      </c>
      <c r="N796" s="115">
        <v>11.106999999999999</v>
      </c>
      <c r="O796" s="115">
        <v>11.712999999999999</v>
      </c>
      <c r="P796" s="115">
        <v>12.358000000000001</v>
      </c>
      <c r="Q796" s="115">
        <v>13.023999999999999</v>
      </c>
      <c r="R796" s="115">
        <v>13.643000000000001</v>
      </c>
      <c r="S796" s="115">
        <v>14.268000000000001</v>
      </c>
      <c r="T796" s="115">
        <v>14.823</v>
      </c>
      <c r="U796" s="115">
        <v>15.372999999999999</v>
      </c>
      <c r="V796" s="115">
        <v>15.882999999999999</v>
      </c>
      <c r="W796" s="115">
        <v>16.164000000000001</v>
      </c>
      <c r="X796" s="115">
        <v>16.440999999999999</v>
      </c>
      <c r="Y796" s="115">
        <v>16.747</v>
      </c>
      <c r="Z796" s="115">
        <v>17.018000000000001</v>
      </c>
      <c r="AA796" s="115">
        <v>17.286999999999999</v>
      </c>
      <c r="AB796" s="115">
        <v>17.553999999999998</v>
      </c>
      <c r="AC796" s="115">
        <v>17.817</v>
      </c>
      <c r="AD796" s="43"/>
      <c r="AE796" s="43"/>
      <c r="AF796" s="43"/>
      <c r="AG796" s="43"/>
      <c r="AH796" s="43"/>
      <c r="AI796" s="43"/>
    </row>
    <row r="797" spans="1:35" x14ac:dyDescent="0.25">
      <c r="A797" s="115" t="s">
        <v>617</v>
      </c>
      <c r="B797" s="115">
        <v>1.421</v>
      </c>
      <c r="C797" s="115">
        <v>1.5649999999999999</v>
      </c>
      <c r="D797" s="115">
        <v>1.619</v>
      </c>
      <c r="E797" s="115">
        <v>1.8680000000000001</v>
      </c>
      <c r="F797" s="115">
        <v>2.0470000000000002</v>
      </c>
      <c r="G797" s="115">
        <v>2.375</v>
      </c>
      <c r="H797" s="115">
        <v>2.8740000000000001</v>
      </c>
      <c r="I797" s="115">
        <v>3.5219999999999998</v>
      </c>
      <c r="J797" s="115">
        <v>3.919</v>
      </c>
      <c r="K797" s="115">
        <v>4.4909999999999997</v>
      </c>
      <c r="L797" s="115">
        <v>4.9969999999999999</v>
      </c>
      <c r="M797" s="115">
        <v>5.4219999999999997</v>
      </c>
      <c r="N797" s="115">
        <v>5.7770000000000001</v>
      </c>
      <c r="O797" s="115">
        <v>6.07</v>
      </c>
      <c r="P797" s="115">
        <v>6.2629999999999999</v>
      </c>
      <c r="Q797" s="115">
        <v>6.4059999999999997</v>
      </c>
      <c r="R797" s="115">
        <v>6.4980000000000002</v>
      </c>
      <c r="S797" s="115">
        <v>6.4989999999999997</v>
      </c>
      <c r="T797" s="115">
        <v>6.53</v>
      </c>
      <c r="U797" s="115">
        <v>6.56</v>
      </c>
      <c r="V797" s="115">
        <v>6.59</v>
      </c>
      <c r="W797" s="115">
        <v>6.6189999999999998</v>
      </c>
      <c r="X797" s="115">
        <v>6.6479999999999997</v>
      </c>
      <c r="Y797" s="115">
        <v>6.6760000000000002</v>
      </c>
      <c r="Z797" s="115">
        <v>6.7039999999999997</v>
      </c>
      <c r="AA797" s="115">
        <v>6.7320000000000002</v>
      </c>
      <c r="AB797" s="115">
        <v>6.7590000000000003</v>
      </c>
      <c r="AC797" s="115">
        <v>6.7839999999999998</v>
      </c>
      <c r="AD797" s="43"/>
      <c r="AE797" s="43"/>
      <c r="AF797" s="43"/>
      <c r="AG797" s="43"/>
      <c r="AH797" s="43"/>
      <c r="AI797" s="43"/>
    </row>
    <row r="798" spans="1:35" x14ac:dyDescent="0.25">
      <c r="A798" s="115" t="s">
        <v>614</v>
      </c>
      <c r="B798" s="115">
        <v>4.3250000000000002</v>
      </c>
      <c r="C798" s="115">
        <v>3.9180000000000001</v>
      </c>
      <c r="D798" s="115">
        <v>3.625</v>
      </c>
      <c r="E798" s="115">
        <v>3.2570000000000001</v>
      </c>
      <c r="F798" s="115">
        <v>2.899</v>
      </c>
      <c r="G798" s="115">
        <v>2.589</v>
      </c>
      <c r="H798" s="115">
        <v>2.3199999999999998</v>
      </c>
      <c r="I798" s="115">
        <v>2.016</v>
      </c>
      <c r="J798" s="115">
        <v>1.746</v>
      </c>
      <c r="K798" s="115">
        <v>1.4950000000000001</v>
      </c>
      <c r="L798" s="115">
        <v>1.2729999999999999</v>
      </c>
      <c r="M798" s="115">
        <v>1.077</v>
      </c>
      <c r="N798" s="115">
        <v>0.90500000000000003</v>
      </c>
      <c r="O798" s="115">
        <v>0.78400000000000003</v>
      </c>
      <c r="P798" s="115">
        <v>0.67600000000000005</v>
      </c>
      <c r="Q798" s="115">
        <v>0.58099999999999996</v>
      </c>
      <c r="R798" s="115">
        <v>0.499</v>
      </c>
      <c r="S798" s="115">
        <v>0.39300000000000002</v>
      </c>
      <c r="T798" s="115">
        <v>0.33100000000000002</v>
      </c>
      <c r="U798" s="115">
        <v>0.27700000000000002</v>
      </c>
      <c r="V798" s="115">
        <v>0.22900000000000001</v>
      </c>
      <c r="W798" s="115">
        <v>0.19800000000000001</v>
      </c>
      <c r="X798" s="115">
        <v>0.16700000000000001</v>
      </c>
      <c r="Y798" s="115">
        <v>0.14000000000000001</v>
      </c>
      <c r="Z798" s="115">
        <v>0.115</v>
      </c>
      <c r="AA798" s="115">
        <v>9.1999999999999998E-2</v>
      </c>
      <c r="AB798" s="115">
        <v>7.0999999999999994E-2</v>
      </c>
      <c r="AC798" s="115">
        <v>0.05</v>
      </c>
      <c r="AD798" s="43"/>
      <c r="AE798" s="43"/>
      <c r="AF798" s="43"/>
      <c r="AG798" s="43"/>
      <c r="AH798" s="43"/>
      <c r="AI798" s="43"/>
    </row>
    <row r="799" spans="1:35" x14ac:dyDescent="0.25">
      <c r="A799" s="115" t="s">
        <v>778</v>
      </c>
      <c r="B799" s="115"/>
      <c r="C799" s="115">
        <v>404211.08899999998</v>
      </c>
      <c r="D799" s="115">
        <v>408400.86599999998</v>
      </c>
      <c r="E799" s="115">
        <v>412561.07299999997</v>
      </c>
      <c r="F799" s="115">
        <v>416681.90899999999</v>
      </c>
      <c r="G799" s="115">
        <v>420759.56199999998</v>
      </c>
      <c r="H799" s="115">
        <v>424792.20299999998</v>
      </c>
      <c r="I799" s="115">
        <v>427591.342</v>
      </c>
      <c r="J799" s="115">
        <v>430338.58199999999</v>
      </c>
      <c r="K799" s="115">
        <v>432979.62300000002</v>
      </c>
      <c r="L799" s="115">
        <v>435498.22399999999</v>
      </c>
      <c r="M799" s="115">
        <v>437874.92599999998</v>
      </c>
      <c r="N799" s="115">
        <v>440094.43800000002</v>
      </c>
      <c r="O799" s="115">
        <v>442136.32799999998</v>
      </c>
      <c r="P799" s="115">
        <v>444073.58100000001</v>
      </c>
      <c r="Q799" s="115">
        <v>445898.43300000002</v>
      </c>
      <c r="R799" s="115">
        <v>447603.56099999999</v>
      </c>
      <c r="S799" s="115">
        <v>446470.424</v>
      </c>
      <c r="T799" s="115">
        <v>444985.59299999999</v>
      </c>
      <c r="U799" s="115">
        <v>443315.42300000001</v>
      </c>
      <c r="V799" s="115">
        <v>441452.13199999998</v>
      </c>
      <c r="W799" s="115">
        <v>439389.962</v>
      </c>
      <c r="X799" s="115">
        <v>437221.97200000001</v>
      </c>
      <c r="Y799" s="115">
        <v>434934.21399999998</v>
      </c>
      <c r="Z799" s="115">
        <v>432538.45899999997</v>
      </c>
      <c r="AA799" s="115">
        <v>430034.446</v>
      </c>
      <c r="AB799" s="115">
        <v>427434.91</v>
      </c>
      <c r="AC799" s="115">
        <v>424373.41700000002</v>
      </c>
      <c r="AD799" s="43"/>
      <c r="AE799" s="43"/>
      <c r="AF799" s="43"/>
      <c r="AG799" s="43"/>
      <c r="AH799" s="43"/>
      <c r="AI799" s="43"/>
    </row>
    <row r="800" spans="1:35" x14ac:dyDescent="0.25">
      <c r="A800" s="115" t="s">
        <v>779</v>
      </c>
      <c r="B800" s="115"/>
      <c r="C800" s="115">
        <v>521108.32400000002</v>
      </c>
      <c r="D800" s="115">
        <v>526618.50399999996</v>
      </c>
      <c r="E800" s="115">
        <v>532100.18999999994</v>
      </c>
      <c r="F800" s="115">
        <v>537542.36699999997</v>
      </c>
      <c r="G800" s="115">
        <v>542941.826</v>
      </c>
      <c r="H800" s="115">
        <v>548296.58200000005</v>
      </c>
      <c r="I800" s="115">
        <v>552074.72199999995</v>
      </c>
      <c r="J800" s="115">
        <v>555797.85800000001</v>
      </c>
      <c r="K800" s="115">
        <v>559409.75300000003</v>
      </c>
      <c r="L800" s="115">
        <v>562893.33700000006</v>
      </c>
      <c r="M800" s="115">
        <v>566230.14300000004</v>
      </c>
      <c r="N800" s="115">
        <v>569407.35699999996</v>
      </c>
      <c r="O800" s="115">
        <v>572407.81799999997</v>
      </c>
      <c r="P800" s="115">
        <v>575314.38899999997</v>
      </c>
      <c r="Q800" s="115">
        <v>578123.99699999997</v>
      </c>
      <c r="R800" s="115">
        <v>580834.24600000004</v>
      </c>
      <c r="S800" s="115">
        <v>580228.44999999995</v>
      </c>
      <c r="T800" s="115">
        <v>579337.473</v>
      </c>
      <c r="U800" s="115">
        <v>578312.1</v>
      </c>
      <c r="V800" s="115">
        <v>577150.94900000002</v>
      </c>
      <c r="W800" s="115">
        <v>575849.179</v>
      </c>
      <c r="X800" s="115">
        <v>574494.56900000002</v>
      </c>
      <c r="Y800" s="115">
        <v>573070.70499999996</v>
      </c>
      <c r="Z800" s="115">
        <v>571601.18200000003</v>
      </c>
      <c r="AA800" s="115">
        <v>570080.89300000004</v>
      </c>
      <c r="AB800" s="115">
        <v>568526.62</v>
      </c>
      <c r="AC800" s="115">
        <v>566716.06999999995</v>
      </c>
      <c r="AD800" s="43"/>
      <c r="AE800" s="43"/>
      <c r="AF800" s="43"/>
      <c r="AG800" s="43"/>
      <c r="AH800" s="43"/>
      <c r="AI800" s="43"/>
    </row>
    <row r="801" spans="1:35" x14ac:dyDescent="0.25">
      <c r="A801" s="115" t="s">
        <v>780</v>
      </c>
      <c r="B801" s="115"/>
      <c r="C801" s="115">
        <v>721766.60100000002</v>
      </c>
      <c r="D801" s="115">
        <v>729441.59900000005</v>
      </c>
      <c r="E801" s="115">
        <v>737087.68900000001</v>
      </c>
      <c r="F801" s="115">
        <v>744690.14800000004</v>
      </c>
      <c r="G801" s="115">
        <v>752248.24100000004</v>
      </c>
      <c r="H801" s="115">
        <v>759759.41</v>
      </c>
      <c r="I801" s="115">
        <v>765101.43799999997</v>
      </c>
      <c r="J801" s="115">
        <v>770381.75300000003</v>
      </c>
      <c r="K801" s="115">
        <v>775535.94799999997</v>
      </c>
      <c r="L801" s="115">
        <v>780544.674</v>
      </c>
      <c r="M801" s="115">
        <v>785390.61499999999</v>
      </c>
      <c r="N801" s="115">
        <v>790065.58400000003</v>
      </c>
      <c r="O801" s="115">
        <v>794557.86100000003</v>
      </c>
      <c r="P801" s="115">
        <v>798969.201</v>
      </c>
      <c r="Q801" s="115">
        <v>803304.60800000001</v>
      </c>
      <c r="R801" s="115">
        <v>807568.42799999996</v>
      </c>
      <c r="S801" s="115">
        <v>807595.38100000005</v>
      </c>
      <c r="T801" s="115">
        <v>807526.36100000003</v>
      </c>
      <c r="U801" s="115">
        <v>807380.30099999998</v>
      </c>
      <c r="V801" s="115">
        <v>807158.17</v>
      </c>
      <c r="W801" s="115">
        <v>806852.21</v>
      </c>
      <c r="X801" s="115">
        <v>806548.26300000004</v>
      </c>
      <c r="Y801" s="115">
        <v>806226.96600000001</v>
      </c>
      <c r="Z801" s="115">
        <v>805915.13</v>
      </c>
      <c r="AA801" s="115">
        <v>805603.84299999999</v>
      </c>
      <c r="AB801" s="115">
        <v>805308.84</v>
      </c>
      <c r="AC801" s="115">
        <v>804966.01899999997</v>
      </c>
      <c r="AD801" s="43"/>
      <c r="AE801" s="43"/>
      <c r="AF801" s="43"/>
      <c r="AG801" s="43"/>
      <c r="AH801" s="43"/>
      <c r="AI801" s="43"/>
    </row>
    <row r="802" spans="1:35" x14ac:dyDescent="0.25">
      <c r="A802" s="115" t="s">
        <v>781</v>
      </c>
      <c r="B802" s="115"/>
      <c r="C802" s="115">
        <v>955601.18900000001</v>
      </c>
      <c r="D802" s="115">
        <v>965814.69700000004</v>
      </c>
      <c r="E802" s="115">
        <v>975989.89399999997</v>
      </c>
      <c r="F802" s="115">
        <v>986106.13699999999</v>
      </c>
      <c r="G802" s="115">
        <v>996161.99699999997</v>
      </c>
      <c r="H802" s="115">
        <v>1006152.302</v>
      </c>
      <c r="I802" s="115">
        <v>1013265.13</v>
      </c>
      <c r="J802" s="115">
        <v>1020289.186</v>
      </c>
      <c r="K802" s="115">
        <v>1027142.175</v>
      </c>
      <c r="L802" s="115">
        <v>1033794.42</v>
      </c>
      <c r="M802" s="115">
        <v>1040221.325</v>
      </c>
      <c r="N802" s="115">
        <v>1046410.3320000001</v>
      </c>
      <c r="O802" s="115">
        <v>1052343.93</v>
      </c>
      <c r="P802" s="115">
        <v>1058160.4269999999</v>
      </c>
      <c r="Q802" s="115">
        <v>1063867.723</v>
      </c>
      <c r="R802" s="115">
        <v>1069471.8389999999</v>
      </c>
      <c r="S802" s="115">
        <v>1069435.2120000001</v>
      </c>
      <c r="T802" s="115">
        <v>1069254.58</v>
      </c>
      <c r="U802" s="115">
        <v>1068959.382</v>
      </c>
      <c r="V802" s="115">
        <v>1068549.9350000001</v>
      </c>
      <c r="W802" s="115">
        <v>1068015.5149999999</v>
      </c>
      <c r="X802" s="115">
        <v>1067475.07</v>
      </c>
      <c r="Y802" s="115">
        <v>1066902.622</v>
      </c>
      <c r="Z802" s="115">
        <v>1066333.125</v>
      </c>
      <c r="AA802" s="115">
        <v>1065755.469</v>
      </c>
      <c r="AB802" s="115">
        <v>1065190.8559999999</v>
      </c>
      <c r="AC802" s="115">
        <v>1064530.801</v>
      </c>
      <c r="AD802" s="43"/>
      <c r="AE802" s="43"/>
      <c r="AF802" s="43"/>
      <c r="AG802" s="43"/>
      <c r="AH802" s="43"/>
      <c r="AI802" s="43"/>
    </row>
    <row r="803" spans="1:35" x14ac:dyDescent="0.25">
      <c r="A803" s="115" t="s">
        <v>782</v>
      </c>
      <c r="B803" s="115"/>
      <c r="C803" s="115">
        <v>1391179.3859999999</v>
      </c>
      <c r="D803" s="115">
        <v>1405737.7679999999</v>
      </c>
      <c r="E803" s="115">
        <v>1420246.6440000001</v>
      </c>
      <c r="F803" s="115">
        <v>1434670.0379999999</v>
      </c>
      <c r="G803" s="115">
        <v>1449010.459</v>
      </c>
      <c r="H803" s="115">
        <v>1463258.844</v>
      </c>
      <c r="I803" s="115">
        <v>1473317.696</v>
      </c>
      <c r="J803" s="115">
        <v>1483243.105</v>
      </c>
      <c r="K803" s="115">
        <v>1492911.2790000001</v>
      </c>
      <c r="L803" s="115">
        <v>1502280.422</v>
      </c>
      <c r="M803" s="115">
        <v>1511320.4450000001</v>
      </c>
      <c r="N803" s="115">
        <v>1520023.3030000001</v>
      </c>
      <c r="O803" s="115">
        <v>1528374.6170000001</v>
      </c>
      <c r="P803" s="115">
        <v>1536600.4040000001</v>
      </c>
      <c r="Q803" s="115">
        <v>1544721.976</v>
      </c>
      <c r="R803" s="115">
        <v>1552753.5919999999</v>
      </c>
      <c r="S803" s="115">
        <v>1552598.7290000001</v>
      </c>
      <c r="T803" s="115">
        <v>1552870.97</v>
      </c>
      <c r="U803" s="115">
        <v>1553021.7590000001</v>
      </c>
      <c r="V803" s="115">
        <v>1553043.4580000001</v>
      </c>
      <c r="W803" s="115">
        <v>1552921.264</v>
      </c>
      <c r="X803" s="115">
        <v>1552814.392</v>
      </c>
      <c r="Y803" s="115">
        <v>1552694.3430000001</v>
      </c>
      <c r="Z803" s="115">
        <v>1552587.564</v>
      </c>
      <c r="AA803" s="115">
        <v>1552485.73</v>
      </c>
      <c r="AB803" s="115">
        <v>1552407.4539999999</v>
      </c>
      <c r="AC803" s="115">
        <v>1552278.3419999999</v>
      </c>
      <c r="AD803" s="43"/>
      <c r="AE803" s="43"/>
      <c r="AF803" s="43"/>
      <c r="AG803" s="43"/>
      <c r="AH803" s="43"/>
      <c r="AI803" s="43"/>
    </row>
    <row r="804" spans="1:35" x14ac:dyDescent="0.25">
      <c r="A804" s="115" t="s">
        <v>783</v>
      </c>
      <c r="B804" s="115"/>
      <c r="C804" s="115">
        <v>1559144.9280000001</v>
      </c>
      <c r="D804" s="115">
        <v>1576102.8189999999</v>
      </c>
      <c r="E804" s="115">
        <v>1593043.0379999999</v>
      </c>
      <c r="F804" s="115">
        <v>1609977.074</v>
      </c>
      <c r="G804" s="115">
        <v>1626883.186</v>
      </c>
      <c r="H804" s="115">
        <v>1643747.977</v>
      </c>
      <c r="I804" s="115">
        <v>1655982.4820000001</v>
      </c>
      <c r="J804" s="115">
        <v>1668134.983</v>
      </c>
      <c r="K804" s="115">
        <v>1680453.662</v>
      </c>
      <c r="L804" s="115">
        <v>1692918.6780000001</v>
      </c>
      <c r="M804" s="115">
        <v>1705514.79</v>
      </c>
      <c r="N804" s="115">
        <v>1718236.1869999999</v>
      </c>
      <c r="O804" s="115">
        <v>1731073.7039999999</v>
      </c>
      <c r="P804" s="115">
        <v>1744038.1510000001</v>
      </c>
      <c r="Q804" s="115">
        <v>1757117.318</v>
      </c>
      <c r="R804" s="115">
        <v>1770300.49</v>
      </c>
      <c r="S804" s="115">
        <v>1776699.01</v>
      </c>
      <c r="T804" s="115">
        <v>1783188.909</v>
      </c>
      <c r="U804" s="115">
        <v>1789806.47</v>
      </c>
      <c r="V804" s="115">
        <v>1796537.48</v>
      </c>
      <c r="W804" s="115">
        <v>1803369.575</v>
      </c>
      <c r="X804" s="115">
        <v>1810302.379</v>
      </c>
      <c r="Y804" s="115">
        <v>1817322.175</v>
      </c>
      <c r="Z804" s="115">
        <v>1824417.7009999999</v>
      </c>
      <c r="AA804" s="115">
        <v>1831579.6910000001</v>
      </c>
      <c r="AB804" s="115">
        <v>1838799.2590000001</v>
      </c>
      <c r="AC804" s="115">
        <v>1846930.9469999999</v>
      </c>
      <c r="AD804" s="43"/>
      <c r="AE804" s="43"/>
      <c r="AF804" s="43"/>
      <c r="AG804" s="43"/>
      <c r="AH804" s="43"/>
      <c r="AI804" s="43"/>
    </row>
    <row r="805" spans="1:35" x14ac:dyDescent="0.25">
      <c r="A805" s="115" t="s">
        <v>784</v>
      </c>
      <c r="B805" s="115"/>
      <c r="C805" s="115">
        <v>1293854.902</v>
      </c>
      <c r="D805" s="115">
        <v>1308173.405</v>
      </c>
      <c r="E805" s="115">
        <v>1322473.1129999999</v>
      </c>
      <c r="F805" s="115">
        <v>1336761.4380000001</v>
      </c>
      <c r="G805" s="115">
        <v>1351024.2509999999</v>
      </c>
      <c r="H805" s="115">
        <v>1365254.398</v>
      </c>
      <c r="I805" s="115">
        <v>1375648.3289999999</v>
      </c>
      <c r="J805" s="115">
        <v>1385985.882</v>
      </c>
      <c r="K805" s="115">
        <v>1396442.966</v>
      </c>
      <c r="L805" s="115">
        <v>1407006.3189999999</v>
      </c>
      <c r="M805" s="115">
        <v>1417664.5109999999</v>
      </c>
      <c r="N805" s="115">
        <v>1428412.693</v>
      </c>
      <c r="O805" s="115">
        <v>1439243.8559999999</v>
      </c>
      <c r="P805" s="115">
        <v>1450163.2009999999</v>
      </c>
      <c r="Q805" s="115">
        <v>1461161.8870000001</v>
      </c>
      <c r="R805" s="115">
        <v>1472232.3640000001</v>
      </c>
      <c r="S805" s="115">
        <v>1477719.642</v>
      </c>
      <c r="T805" s="115">
        <v>1483270.9809999999</v>
      </c>
      <c r="U805" s="115">
        <v>1488909.9439999999</v>
      </c>
      <c r="V805" s="115">
        <v>1494626.7960000001</v>
      </c>
      <c r="W805" s="115">
        <v>1500412.952</v>
      </c>
      <c r="X805" s="115">
        <v>1506268.2879999999</v>
      </c>
      <c r="Y805" s="115">
        <v>1512183.1939999999</v>
      </c>
      <c r="Z805" s="115">
        <v>1518150.0830000001</v>
      </c>
      <c r="AA805" s="115">
        <v>1524162.456</v>
      </c>
      <c r="AB805" s="115">
        <v>1530214.2560000001</v>
      </c>
      <c r="AC805" s="115">
        <v>1537023.058</v>
      </c>
      <c r="AD805" s="43"/>
      <c r="AE805" s="43"/>
      <c r="AF805" s="43"/>
      <c r="AG805" s="43"/>
      <c r="AH805" s="43"/>
      <c r="AI805" s="43"/>
    </row>
    <row r="806" spans="1:35" x14ac:dyDescent="0.25">
      <c r="A806" s="115" t="s">
        <v>785</v>
      </c>
      <c r="B806" s="115"/>
      <c r="C806" s="115">
        <v>1159494.8</v>
      </c>
      <c r="D806" s="115">
        <v>1172348.0589999999</v>
      </c>
      <c r="E806" s="115">
        <v>1185180.689</v>
      </c>
      <c r="F806" s="115">
        <v>1198002.098</v>
      </c>
      <c r="G806" s="115">
        <v>1210800.1969999999</v>
      </c>
      <c r="H806" s="115">
        <v>1223569.7579999999</v>
      </c>
      <c r="I806" s="115">
        <v>1232903.523</v>
      </c>
      <c r="J806" s="115">
        <v>1242190.183</v>
      </c>
      <c r="K806" s="115">
        <v>1251585.034</v>
      </c>
      <c r="L806" s="115">
        <v>1261076.5179999999</v>
      </c>
      <c r="M806" s="115">
        <v>1270654.0149999999</v>
      </c>
      <c r="N806" s="115">
        <v>1280312.6910000001</v>
      </c>
      <c r="O806" s="115">
        <v>1290045.9240000001</v>
      </c>
      <c r="P806" s="115">
        <v>1299857.5970000001</v>
      </c>
      <c r="Q806" s="115">
        <v>1309739.496</v>
      </c>
      <c r="R806" s="115">
        <v>1319684.733</v>
      </c>
      <c r="S806" s="115">
        <v>1324637.2819999999</v>
      </c>
      <c r="T806" s="115">
        <v>1329647.237</v>
      </c>
      <c r="U806" s="115">
        <v>1334733.639</v>
      </c>
      <c r="V806" s="115">
        <v>1339887.838</v>
      </c>
      <c r="W806" s="115">
        <v>1345102.192</v>
      </c>
      <c r="X806" s="115">
        <v>1350375.344</v>
      </c>
      <c r="Y806" s="115">
        <v>1355699.19</v>
      </c>
      <c r="Z806" s="115">
        <v>1361067.156</v>
      </c>
      <c r="AA806" s="115">
        <v>1366473.6740000001</v>
      </c>
      <c r="AB806" s="115">
        <v>1371913.52</v>
      </c>
      <c r="AC806" s="115">
        <v>1378031.9280000001</v>
      </c>
      <c r="AD806" s="43"/>
      <c r="AE806" s="43"/>
      <c r="AF806" s="43"/>
      <c r="AG806" s="43"/>
      <c r="AH806" s="43"/>
      <c r="AI806" s="43"/>
    </row>
    <row r="807" spans="1:35" x14ac:dyDescent="0.25">
      <c r="A807" s="115" t="s">
        <v>786</v>
      </c>
      <c r="B807" s="115"/>
      <c r="C807" s="115">
        <v>987150.90500000003</v>
      </c>
      <c r="D807" s="115">
        <v>997989.60400000005</v>
      </c>
      <c r="E807" s="115">
        <v>1008807.931</v>
      </c>
      <c r="F807" s="115">
        <v>1019614.6139999999</v>
      </c>
      <c r="G807" s="115">
        <v>1030397.821</v>
      </c>
      <c r="H807" s="115">
        <v>1041151.5919999999</v>
      </c>
      <c r="I807" s="115">
        <v>1048973.287</v>
      </c>
      <c r="J807" s="115">
        <v>1056745.31</v>
      </c>
      <c r="K807" s="115">
        <v>1064618.0730000001</v>
      </c>
      <c r="L807" s="115">
        <v>1072580.375</v>
      </c>
      <c r="M807" s="115">
        <v>1080622.6200000001</v>
      </c>
      <c r="N807" s="115">
        <v>1088740.848</v>
      </c>
      <c r="O807" s="115">
        <v>1096929.2749999999</v>
      </c>
      <c r="P807" s="115">
        <v>1105193.8729999999</v>
      </c>
      <c r="Q807" s="115">
        <v>1113527.173</v>
      </c>
      <c r="R807" s="115">
        <v>1121922.6810000001</v>
      </c>
      <c r="S807" s="115">
        <v>1126042.0430000001</v>
      </c>
      <c r="T807" s="115">
        <v>1130219.612</v>
      </c>
      <c r="U807" s="115">
        <v>1134472.19</v>
      </c>
      <c r="V807" s="115">
        <v>1138791.328</v>
      </c>
      <c r="W807" s="115">
        <v>1143169.3189999999</v>
      </c>
      <c r="X807" s="115">
        <v>1147606.064</v>
      </c>
      <c r="Y807" s="115">
        <v>1152093.0179999999</v>
      </c>
      <c r="Z807" s="115">
        <v>1156624.112</v>
      </c>
      <c r="AA807" s="115">
        <v>1161193.5060000001</v>
      </c>
      <c r="AB807" s="115">
        <v>1165796.1939999999</v>
      </c>
      <c r="AC807" s="115">
        <v>1170977.7960000001</v>
      </c>
      <c r="AD807" s="43"/>
      <c r="AE807" s="43"/>
      <c r="AF807" s="43"/>
      <c r="AG807" s="43"/>
      <c r="AH807" s="43"/>
      <c r="AI807" s="43"/>
    </row>
    <row r="808" spans="1:35" x14ac:dyDescent="0.25">
      <c r="A808" s="115" t="s">
        <v>787</v>
      </c>
      <c r="B808" s="115"/>
      <c r="C808" s="115">
        <v>784780.17299999995</v>
      </c>
      <c r="D808" s="115">
        <v>793196.16500000004</v>
      </c>
      <c r="E808" s="115">
        <v>801590.58400000003</v>
      </c>
      <c r="F808" s="115">
        <v>809972.61699999997</v>
      </c>
      <c r="G808" s="115">
        <v>818330.66399999999</v>
      </c>
      <c r="H808" s="115">
        <v>826657.30500000005</v>
      </c>
      <c r="I808" s="115">
        <v>832641.45499999996</v>
      </c>
      <c r="J808" s="115">
        <v>838569.61399999994</v>
      </c>
      <c r="K808" s="115">
        <v>844596.48600000003</v>
      </c>
      <c r="L808" s="115">
        <v>850709.674</v>
      </c>
      <c r="M808" s="115">
        <v>856900.51100000006</v>
      </c>
      <c r="N808" s="115">
        <v>863166.06299999997</v>
      </c>
      <c r="O808" s="115">
        <v>869501.30599999998</v>
      </c>
      <c r="P808" s="115">
        <v>875913.42799999996</v>
      </c>
      <c r="Q808" s="115">
        <v>882395.7</v>
      </c>
      <c r="R808" s="115">
        <v>888941.87399999995</v>
      </c>
      <c r="S808" s="115">
        <v>892042.8</v>
      </c>
      <c r="T808" s="115">
        <v>895204.67700000003</v>
      </c>
      <c r="U808" s="115">
        <v>898444.15700000001</v>
      </c>
      <c r="V808" s="115">
        <v>901752.54099999997</v>
      </c>
      <c r="W808" s="115">
        <v>905121.85699999996</v>
      </c>
      <c r="X808" s="115">
        <v>908552.58700000006</v>
      </c>
      <c r="Y808" s="115">
        <v>912035.72699999996</v>
      </c>
      <c r="Z808" s="115">
        <v>915565.13100000005</v>
      </c>
      <c r="AA808" s="115">
        <v>919134.65500000003</v>
      </c>
      <c r="AB808" s="115">
        <v>922739.196</v>
      </c>
      <c r="AC808" s="115">
        <v>926805.24199999997</v>
      </c>
      <c r="AD808" s="43"/>
      <c r="AE808" s="43"/>
      <c r="AF808" s="43"/>
      <c r="AG808" s="43"/>
      <c r="AH808" s="43"/>
      <c r="AI808" s="43"/>
    </row>
    <row r="809" spans="1:35" x14ac:dyDescent="0.25">
      <c r="A809" s="115" t="s">
        <v>788</v>
      </c>
      <c r="B809" s="115"/>
      <c r="C809" s="115">
        <v>1649942.8130000001</v>
      </c>
      <c r="D809" s="115">
        <v>1669173.9080000001</v>
      </c>
      <c r="E809" s="115">
        <v>1688417.243</v>
      </c>
      <c r="F809" s="115">
        <v>1707678.077</v>
      </c>
      <c r="G809" s="115">
        <v>1726963.6629999999</v>
      </c>
      <c r="H809" s="115">
        <v>1746291.55</v>
      </c>
      <c r="I809" s="115">
        <v>1760829.355</v>
      </c>
      <c r="J809" s="115">
        <v>1775426.29</v>
      </c>
      <c r="K809" s="115">
        <v>1790083.004</v>
      </c>
      <c r="L809" s="115">
        <v>1804828.7749999999</v>
      </c>
      <c r="M809" s="115">
        <v>1819678.327</v>
      </c>
      <c r="N809" s="115">
        <v>1834564.5959999999</v>
      </c>
      <c r="O809" s="115">
        <v>1849449.8459999999</v>
      </c>
      <c r="P809" s="115">
        <v>1864333.713</v>
      </c>
      <c r="Q809" s="115">
        <v>1879216.0009999999</v>
      </c>
      <c r="R809" s="115">
        <v>1894096.6529999999</v>
      </c>
      <c r="S809" s="115">
        <v>1902120.138</v>
      </c>
      <c r="T809" s="115">
        <v>1910139.3559999999</v>
      </c>
      <c r="U809" s="115">
        <v>1918156.577</v>
      </c>
      <c r="V809" s="115">
        <v>1926172.0449999999</v>
      </c>
      <c r="W809" s="115">
        <v>1934185.73</v>
      </c>
      <c r="X809" s="115">
        <v>1942197.4650000001</v>
      </c>
      <c r="Y809" s="115">
        <v>1950207.07</v>
      </c>
      <c r="Z809" s="115">
        <v>1958214.922</v>
      </c>
      <c r="AA809" s="115">
        <v>1966220.7879999999</v>
      </c>
      <c r="AB809" s="115">
        <v>1974224.7860000001</v>
      </c>
      <c r="AC809" s="115">
        <v>1983181.7660000001</v>
      </c>
      <c r="AD809" s="43"/>
      <c r="AE809" s="43"/>
      <c r="AF809" s="43"/>
      <c r="AG809" s="43"/>
      <c r="AH809" s="43"/>
      <c r="AI809" s="43"/>
    </row>
    <row r="810" spans="1:35" x14ac:dyDescent="0.25">
      <c r="A810" s="115" t="s">
        <v>789</v>
      </c>
      <c r="B810" s="115"/>
      <c r="C810" s="115">
        <v>1146584.5730000001</v>
      </c>
      <c r="D810" s="115">
        <v>1159910.196</v>
      </c>
      <c r="E810" s="115">
        <v>1173246.3089999999</v>
      </c>
      <c r="F810" s="115">
        <v>1186597.865</v>
      </c>
      <c r="G810" s="115">
        <v>1199970.8529999999</v>
      </c>
      <c r="H810" s="115">
        <v>1213378.439</v>
      </c>
      <c r="I810" s="115">
        <v>1223462.2</v>
      </c>
      <c r="J810" s="115">
        <v>1233592.392</v>
      </c>
      <c r="K810" s="115">
        <v>1243769.4909999999</v>
      </c>
      <c r="L810" s="115">
        <v>1254014.4509999999</v>
      </c>
      <c r="M810" s="115">
        <v>1264336.53</v>
      </c>
      <c r="N810" s="115">
        <v>1274683.294</v>
      </c>
      <c r="O810" s="115">
        <v>1285029.219</v>
      </c>
      <c r="P810" s="115">
        <v>1295374.3600000001</v>
      </c>
      <c r="Q810" s="115">
        <v>1305718.6170000001</v>
      </c>
      <c r="R810" s="115">
        <v>1316061.9680000001</v>
      </c>
      <c r="S810" s="115">
        <v>1321641.3740000001</v>
      </c>
      <c r="T810" s="115">
        <v>1327218.3759999999</v>
      </c>
      <c r="U810" s="115">
        <v>1332794.3160000001</v>
      </c>
      <c r="V810" s="115">
        <v>1338369.3430000001</v>
      </c>
      <c r="W810" s="115">
        <v>1343943.4669999999</v>
      </c>
      <c r="X810" s="115">
        <v>1349516.4680000001</v>
      </c>
      <c r="Y810" s="115">
        <v>1355088.2760000001</v>
      </c>
      <c r="Z810" s="115">
        <v>1360659.0930000001</v>
      </c>
      <c r="AA810" s="115">
        <v>1366228.801</v>
      </c>
      <c r="AB810" s="115">
        <v>1371797.463</v>
      </c>
      <c r="AC810" s="115">
        <v>1378029.4979999999</v>
      </c>
      <c r="AD810" s="43"/>
      <c r="AE810" s="43"/>
      <c r="AF810" s="43"/>
      <c r="AG810" s="43"/>
      <c r="AH810" s="43"/>
      <c r="AI810" s="43"/>
    </row>
    <row r="811" spans="1:35" x14ac:dyDescent="0.25">
      <c r="A811" s="115" t="s">
        <v>790</v>
      </c>
      <c r="B811" s="115"/>
      <c r="C811" s="115">
        <v>683891.74899999995</v>
      </c>
      <c r="D811" s="115">
        <v>691870.89500000002</v>
      </c>
      <c r="E811" s="115">
        <v>699856.61499999999</v>
      </c>
      <c r="F811" s="115">
        <v>707851.38699999999</v>
      </c>
      <c r="G811" s="115">
        <v>715858.48800000001</v>
      </c>
      <c r="H811" s="115">
        <v>723883.49300000002</v>
      </c>
      <c r="I811" s="115">
        <v>729921.66399999999</v>
      </c>
      <c r="J811" s="115">
        <v>735982.6</v>
      </c>
      <c r="K811" s="115">
        <v>742066.5</v>
      </c>
      <c r="L811" s="115">
        <v>748184.29200000002</v>
      </c>
      <c r="M811" s="115">
        <v>754341.21100000001</v>
      </c>
      <c r="N811" s="115">
        <v>760511.30500000005</v>
      </c>
      <c r="O811" s="115">
        <v>766680.86300000001</v>
      </c>
      <c r="P811" s="115">
        <v>772849.87600000005</v>
      </c>
      <c r="Q811" s="115">
        <v>779018.28200000001</v>
      </c>
      <c r="R811" s="115">
        <v>785186.06799999997</v>
      </c>
      <c r="S811" s="115">
        <v>788511.71200000006</v>
      </c>
      <c r="T811" s="115">
        <v>791835.72400000005</v>
      </c>
      <c r="U811" s="115">
        <v>795159.05799999996</v>
      </c>
      <c r="V811" s="115">
        <v>798481.82900000003</v>
      </c>
      <c r="W811" s="115">
        <v>801804.06499999994</v>
      </c>
      <c r="X811" s="115">
        <v>805125.51599999995</v>
      </c>
      <c r="Y811" s="115">
        <v>808446.16799999995</v>
      </c>
      <c r="Z811" s="115">
        <v>811766.13</v>
      </c>
      <c r="AA811" s="115">
        <v>815085.34</v>
      </c>
      <c r="AB811" s="115">
        <v>818403.826</v>
      </c>
      <c r="AC811" s="115">
        <v>822117.46200000006</v>
      </c>
      <c r="AD811" s="43"/>
      <c r="AE811" s="43"/>
      <c r="AF811" s="43"/>
      <c r="AG811" s="43"/>
      <c r="AH811" s="43"/>
      <c r="AI811" s="43"/>
    </row>
    <row r="812" spans="1:35" x14ac:dyDescent="0.25">
      <c r="A812" s="115" t="s">
        <v>791</v>
      </c>
      <c r="B812" s="115"/>
      <c r="C812" s="115">
        <v>334760.54700000002</v>
      </c>
      <c r="D812" s="115">
        <v>338669.54</v>
      </c>
      <c r="E812" s="115">
        <v>342582.54399999999</v>
      </c>
      <c r="F812" s="115">
        <v>346500.56400000001</v>
      </c>
      <c r="G812" s="115">
        <v>350425.33199999999</v>
      </c>
      <c r="H812" s="115">
        <v>354358.85200000001</v>
      </c>
      <c r="I812" s="115">
        <v>357319.06199999998</v>
      </c>
      <c r="J812" s="115">
        <v>360289.48</v>
      </c>
      <c r="K812" s="115">
        <v>363270.152</v>
      </c>
      <c r="L812" s="115">
        <v>366266.02500000002</v>
      </c>
      <c r="M812" s="115">
        <v>369279.56199999998</v>
      </c>
      <c r="N812" s="115">
        <v>372299.27100000001</v>
      </c>
      <c r="O812" s="115">
        <v>375318.73100000003</v>
      </c>
      <c r="P812" s="115">
        <v>378337.90899999999</v>
      </c>
      <c r="Q812" s="115">
        <v>381356.77600000001</v>
      </c>
      <c r="R812" s="115">
        <v>384375.33</v>
      </c>
      <c r="S812" s="115">
        <v>386002.41399999999</v>
      </c>
      <c r="T812" s="115">
        <v>387628.658</v>
      </c>
      <c r="U812" s="115">
        <v>389254.587</v>
      </c>
      <c r="V812" s="115">
        <v>390880.26699999999</v>
      </c>
      <c r="W812" s="115">
        <v>392505.72899999999</v>
      </c>
      <c r="X812" s="115">
        <v>394130.77</v>
      </c>
      <c r="Y812" s="115">
        <v>395755.40500000003</v>
      </c>
      <c r="Z812" s="115">
        <v>397379.67200000002</v>
      </c>
      <c r="AA812" s="115">
        <v>399003.55499999999</v>
      </c>
      <c r="AB812" s="115">
        <v>400627.05800000002</v>
      </c>
      <c r="AC812" s="115">
        <v>402443.82799999998</v>
      </c>
      <c r="AD812" s="43"/>
      <c r="AE812" s="43"/>
      <c r="AF812" s="43"/>
      <c r="AG812" s="43"/>
      <c r="AH812" s="43"/>
      <c r="AI812" s="43"/>
    </row>
    <row r="813" spans="1:35" x14ac:dyDescent="0.25">
      <c r="A813" s="115" t="s">
        <v>792</v>
      </c>
      <c r="B813" s="115"/>
      <c r="C813" s="115">
        <v>115926.35400000001</v>
      </c>
      <c r="D813" s="115">
        <v>117255.871</v>
      </c>
      <c r="E813" s="115">
        <v>118587.874</v>
      </c>
      <c r="F813" s="115">
        <v>119922.871</v>
      </c>
      <c r="G813" s="115">
        <v>121261.92</v>
      </c>
      <c r="H813" s="115">
        <v>122605.98699999999</v>
      </c>
      <c r="I813" s="115">
        <v>123614.81600000001</v>
      </c>
      <c r="J813" s="115">
        <v>124629.485</v>
      </c>
      <c r="K813" s="115">
        <v>125650.126</v>
      </c>
      <c r="L813" s="115">
        <v>126679.88400000001</v>
      </c>
      <c r="M813" s="115">
        <v>127720.507</v>
      </c>
      <c r="N813" s="115">
        <v>128765.143</v>
      </c>
      <c r="O813" s="115">
        <v>129809.614</v>
      </c>
      <c r="P813" s="115">
        <v>130853.898</v>
      </c>
      <c r="Q813" s="115">
        <v>131897.976</v>
      </c>
      <c r="R813" s="115">
        <v>132941.84599999999</v>
      </c>
      <c r="S813" s="115">
        <v>133502.77600000001</v>
      </c>
      <c r="T813" s="115">
        <v>134063.14499999999</v>
      </c>
      <c r="U813" s="115">
        <v>134623.30600000001</v>
      </c>
      <c r="V813" s="115">
        <v>135183.304</v>
      </c>
      <c r="W813" s="115">
        <v>135743.158</v>
      </c>
      <c r="X813" s="115">
        <v>136302.73300000001</v>
      </c>
      <c r="Y813" s="115">
        <v>136862.038</v>
      </c>
      <c r="Z813" s="115">
        <v>137421.10399999999</v>
      </c>
      <c r="AA813" s="115">
        <v>137979.916</v>
      </c>
      <c r="AB813" s="115">
        <v>138538.48199999999</v>
      </c>
      <c r="AC813" s="115">
        <v>139163.36499999999</v>
      </c>
      <c r="AD813" s="43"/>
      <c r="AE813" s="43"/>
      <c r="AF813" s="43"/>
      <c r="AG813" s="43"/>
      <c r="AH813" s="43"/>
      <c r="AI813" s="43"/>
    </row>
    <row r="814" spans="1:35" x14ac:dyDescent="0.25">
      <c r="A814" s="115" t="s">
        <v>363</v>
      </c>
      <c r="B814" s="115">
        <v>0.19600000000000001</v>
      </c>
      <c r="C814" s="115">
        <v>0.30199999999999999</v>
      </c>
      <c r="D814" s="115">
        <v>0.46800000000000003</v>
      </c>
      <c r="E814" s="115">
        <v>0.6</v>
      </c>
      <c r="F814" s="115">
        <v>0.75</v>
      </c>
      <c r="G814" s="115">
        <v>0.87</v>
      </c>
      <c r="H814" s="115">
        <v>0.95499999999999996</v>
      </c>
      <c r="I814" s="115">
        <v>1.0029999999999999</v>
      </c>
      <c r="J814" s="115">
        <v>1.1040000000000001</v>
      </c>
      <c r="K814" s="115">
        <v>1.1639999999999999</v>
      </c>
      <c r="L814" s="115">
        <v>1.2370000000000001</v>
      </c>
      <c r="M814" s="115">
        <v>1.327</v>
      </c>
      <c r="N814" s="115">
        <v>1.4319999999999999</v>
      </c>
      <c r="O814" s="115">
        <v>1.54</v>
      </c>
      <c r="P814" s="115">
        <v>1.6719999999999999</v>
      </c>
      <c r="Q814" s="115">
        <v>1.8160000000000001</v>
      </c>
      <c r="R814" s="115">
        <v>1.958</v>
      </c>
      <c r="S814" s="115">
        <v>2.1219999999999999</v>
      </c>
      <c r="T814" s="115">
        <v>2.2669999999999999</v>
      </c>
      <c r="U814" s="115">
        <v>2.411</v>
      </c>
      <c r="V814" s="115">
        <v>2.5470000000000002</v>
      </c>
      <c r="W814" s="115">
        <v>2.6459999999999999</v>
      </c>
      <c r="X814" s="115">
        <v>2.714</v>
      </c>
      <c r="Y814" s="115">
        <v>2.7879999999999998</v>
      </c>
      <c r="Z814" s="115">
        <v>2.8559999999999999</v>
      </c>
      <c r="AA814" s="115">
        <v>2.9220000000000002</v>
      </c>
      <c r="AB814" s="115">
        <v>2.9870000000000001</v>
      </c>
      <c r="AC814" s="115">
        <v>3.0529999999999999</v>
      </c>
      <c r="AD814" s="43"/>
      <c r="AE814" s="43"/>
      <c r="AF814" s="43"/>
      <c r="AG814" s="43"/>
      <c r="AH814" s="43"/>
      <c r="AI814" s="43"/>
    </row>
    <row r="815" spans="1:35" x14ac:dyDescent="0.25">
      <c r="A815" s="115" t="s">
        <v>365</v>
      </c>
      <c r="B815" s="115">
        <v>0.78300000000000003</v>
      </c>
      <c r="C815" s="115">
        <v>0.90300000000000002</v>
      </c>
      <c r="D815" s="115">
        <v>1.006</v>
      </c>
      <c r="E815" s="115">
        <v>1.097</v>
      </c>
      <c r="F815" s="115">
        <v>1.196</v>
      </c>
      <c r="G815" s="115">
        <v>1.2849999999999999</v>
      </c>
      <c r="H815" s="115">
        <v>1.361</v>
      </c>
      <c r="I815" s="115">
        <v>1.4059999999999999</v>
      </c>
      <c r="J815" s="115">
        <v>1.4730000000000001</v>
      </c>
      <c r="K815" s="115">
        <v>1.5249999999999999</v>
      </c>
      <c r="L815" s="115">
        <v>1.583</v>
      </c>
      <c r="M815" s="115">
        <v>1.649</v>
      </c>
      <c r="N815" s="115">
        <v>1.722</v>
      </c>
      <c r="O815" s="115">
        <v>1.796</v>
      </c>
      <c r="P815" s="115">
        <v>1.881</v>
      </c>
      <c r="Q815" s="115">
        <v>1.9710000000000001</v>
      </c>
      <c r="R815" s="115">
        <v>2.06</v>
      </c>
      <c r="S815" s="115">
        <v>2.1440000000000001</v>
      </c>
      <c r="T815" s="115">
        <v>2.2200000000000002</v>
      </c>
      <c r="U815" s="115">
        <v>2.2949999999999999</v>
      </c>
      <c r="V815" s="115">
        <v>2.3679999999999999</v>
      </c>
      <c r="W815" s="115">
        <v>2.3839999999999999</v>
      </c>
      <c r="X815" s="115">
        <v>2.4329999999999998</v>
      </c>
      <c r="Y815" s="115">
        <v>2.4849999999999999</v>
      </c>
      <c r="Z815" s="115">
        <v>2.5329999999999999</v>
      </c>
      <c r="AA815" s="115">
        <v>2.58</v>
      </c>
      <c r="AB815" s="115">
        <v>2.6269999999999998</v>
      </c>
      <c r="AC815" s="115">
        <v>2.6789999999999998</v>
      </c>
      <c r="AD815" s="43"/>
      <c r="AE815" s="43"/>
      <c r="AF815" s="43"/>
      <c r="AG815" s="43"/>
      <c r="AH815" s="43"/>
      <c r="AI815" s="43"/>
    </row>
    <row r="816" spans="1:35" x14ac:dyDescent="0.25">
      <c r="A816" s="115" t="s">
        <v>367</v>
      </c>
      <c r="B816" s="115">
        <v>3.9329999999999998</v>
      </c>
      <c r="C816" s="115">
        <v>3.806</v>
      </c>
      <c r="D816" s="115">
        <v>3.714</v>
      </c>
      <c r="E816" s="115">
        <v>3.597</v>
      </c>
      <c r="F816" s="115">
        <v>3.4889999999999999</v>
      </c>
      <c r="G816" s="115">
        <v>3.3620000000000001</v>
      </c>
      <c r="H816" s="115">
        <v>3.214</v>
      </c>
      <c r="I816" s="115">
        <v>3.0329999999999999</v>
      </c>
      <c r="J816" s="115">
        <v>2.8839999999999999</v>
      </c>
      <c r="K816" s="115">
        <v>2.714</v>
      </c>
      <c r="L816" s="115">
        <v>2.5529999999999999</v>
      </c>
      <c r="M816" s="115">
        <v>2.403</v>
      </c>
      <c r="N816" s="115">
        <v>2.2629999999999999</v>
      </c>
      <c r="O816" s="115">
        <v>2.1259999999999999</v>
      </c>
      <c r="P816" s="115">
        <v>2.0049999999999999</v>
      </c>
      <c r="Q816" s="115">
        <v>1.891</v>
      </c>
      <c r="R816" s="115">
        <v>1.782</v>
      </c>
      <c r="S816" s="115">
        <v>1.681</v>
      </c>
      <c r="T816" s="115">
        <v>1.573</v>
      </c>
      <c r="U816" s="115">
        <v>1.466</v>
      </c>
      <c r="V816" s="115">
        <v>1.3580000000000001</v>
      </c>
      <c r="W816" s="115">
        <v>1.335</v>
      </c>
      <c r="X816" s="115">
        <v>1.294</v>
      </c>
      <c r="Y816" s="115">
        <v>1.2649999999999999</v>
      </c>
      <c r="Z816" s="115">
        <v>1.23</v>
      </c>
      <c r="AA816" s="115">
        <v>1.202</v>
      </c>
      <c r="AB816" s="115">
        <v>1.1819999999999999</v>
      </c>
      <c r="AC816" s="115">
        <v>1.169</v>
      </c>
      <c r="AD816" s="43"/>
      <c r="AE816" s="43"/>
      <c r="AF816" s="43"/>
      <c r="AG816" s="43"/>
      <c r="AH816" s="43"/>
      <c r="AI816" s="43"/>
    </row>
    <row r="817" spans="1:35" x14ac:dyDescent="0.25">
      <c r="A817" s="115" t="s">
        <v>369</v>
      </c>
      <c r="B817" s="115">
        <v>1.1559999999999999</v>
      </c>
      <c r="C817" s="115">
        <v>1.3</v>
      </c>
      <c r="D817" s="115">
        <v>1.353</v>
      </c>
      <c r="E817" s="115">
        <v>1.6020000000000001</v>
      </c>
      <c r="F817" s="115">
        <v>1.7809999999999999</v>
      </c>
      <c r="G817" s="115">
        <v>2.11</v>
      </c>
      <c r="H817" s="115">
        <v>2.6080000000000001</v>
      </c>
      <c r="I817" s="115">
        <v>3.2559999999999998</v>
      </c>
      <c r="J817" s="115">
        <v>3.653</v>
      </c>
      <c r="K817" s="115">
        <v>4.2249999999999996</v>
      </c>
      <c r="L817" s="115">
        <v>4.7309999999999999</v>
      </c>
      <c r="M817" s="115">
        <v>5.157</v>
      </c>
      <c r="N817" s="115">
        <v>5.5110000000000001</v>
      </c>
      <c r="O817" s="115">
        <v>5.8049999999999997</v>
      </c>
      <c r="P817" s="115">
        <v>5.9980000000000002</v>
      </c>
      <c r="Q817" s="115">
        <v>6.14</v>
      </c>
      <c r="R817" s="115">
        <v>6.2329999999999997</v>
      </c>
      <c r="S817" s="115">
        <v>6.2329999999999997</v>
      </c>
      <c r="T817" s="115">
        <v>6.2649999999999997</v>
      </c>
      <c r="U817" s="115">
        <v>6.2949999999999999</v>
      </c>
      <c r="V817" s="115">
        <v>6.3250000000000002</v>
      </c>
      <c r="W817" s="115">
        <v>6.3540000000000001</v>
      </c>
      <c r="X817" s="115">
        <v>6.383</v>
      </c>
      <c r="Y817" s="115">
        <v>6.4109999999999996</v>
      </c>
      <c r="Z817" s="115">
        <v>6.4390000000000001</v>
      </c>
      <c r="AA817" s="115">
        <v>6.4669999999999996</v>
      </c>
      <c r="AB817" s="115">
        <v>6.4939999999999998</v>
      </c>
      <c r="AC817" s="115">
        <v>6.5190000000000001</v>
      </c>
      <c r="AD817" s="43"/>
      <c r="AE817" s="43"/>
      <c r="AF817" s="43"/>
      <c r="AG817" s="43"/>
      <c r="AH817" s="43"/>
      <c r="AI817" s="43"/>
    </row>
    <row r="818" spans="1:35" x14ac:dyDescent="0.25">
      <c r="A818" s="115" t="s">
        <v>370</v>
      </c>
      <c r="B818" s="115">
        <v>6.9269999999999996</v>
      </c>
      <c r="C818" s="115">
        <v>6.8579999999999997</v>
      </c>
      <c r="D818" s="115">
        <v>6.8289999999999997</v>
      </c>
      <c r="E818" s="115">
        <v>6.6760000000000002</v>
      </c>
      <c r="F818" s="115">
        <v>6.556</v>
      </c>
      <c r="G818" s="115">
        <v>6.3449999999999998</v>
      </c>
      <c r="H818" s="115">
        <v>6.032</v>
      </c>
      <c r="I818" s="115">
        <v>5.6310000000000002</v>
      </c>
      <c r="J818" s="115">
        <v>5.3719999999999999</v>
      </c>
      <c r="K818" s="115">
        <v>5.016</v>
      </c>
      <c r="L818" s="115">
        <v>4.6980000000000004</v>
      </c>
      <c r="M818" s="115">
        <v>4.4240000000000004</v>
      </c>
      <c r="N818" s="115">
        <v>4.1879999999999997</v>
      </c>
      <c r="O818" s="115">
        <v>3.956</v>
      </c>
      <c r="P818" s="115">
        <v>3.7749999999999999</v>
      </c>
      <c r="Q818" s="115">
        <v>3.6190000000000002</v>
      </c>
      <c r="R818" s="115">
        <v>3.5110000000000001</v>
      </c>
      <c r="S818" s="115">
        <v>3.4049999999999998</v>
      </c>
      <c r="T818" s="115">
        <v>3.302</v>
      </c>
      <c r="U818" s="115">
        <v>3.2</v>
      </c>
      <c r="V818" s="115">
        <v>3.1110000000000002</v>
      </c>
      <c r="W818" s="115">
        <v>3.03</v>
      </c>
      <c r="X818" s="115">
        <v>2.9649999999999999</v>
      </c>
      <c r="Y818" s="115">
        <v>2.8809999999999998</v>
      </c>
      <c r="Z818" s="115">
        <v>2.8119999999999998</v>
      </c>
      <c r="AA818" s="115">
        <v>2.74</v>
      </c>
      <c r="AB818" s="115">
        <v>2.6619999999999999</v>
      </c>
      <c r="AC818" s="115">
        <v>2.5790000000000002</v>
      </c>
      <c r="AD818" s="43"/>
      <c r="AE818" s="43"/>
      <c r="AF818" s="43"/>
      <c r="AG818" s="43"/>
      <c r="AH818" s="43"/>
      <c r="AI818" s="43"/>
    </row>
    <row r="819" spans="1:35" x14ac:dyDescent="0.25">
      <c r="A819" s="115" t="s">
        <v>374</v>
      </c>
      <c r="B819" s="115">
        <v>0.59</v>
      </c>
      <c r="C819" s="115">
        <v>0.54</v>
      </c>
      <c r="D819" s="115">
        <v>0.49</v>
      </c>
      <c r="E819" s="115">
        <v>0.44</v>
      </c>
      <c r="F819" s="115">
        <v>0.39100000000000001</v>
      </c>
      <c r="G819" s="115">
        <v>0.34100000000000003</v>
      </c>
      <c r="H819" s="115">
        <v>0.29199999999999998</v>
      </c>
      <c r="I819" s="115">
        <v>0.24399999999999999</v>
      </c>
      <c r="J819" s="115">
        <v>0.19500000000000001</v>
      </c>
      <c r="K819" s="115">
        <v>0.14599999999999999</v>
      </c>
      <c r="L819" s="115">
        <v>9.7000000000000003E-2</v>
      </c>
      <c r="M819" s="115">
        <v>4.9000000000000002E-2</v>
      </c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43"/>
      <c r="AE819" s="43"/>
      <c r="AF819" s="43"/>
      <c r="AG819" s="43"/>
      <c r="AH819" s="43"/>
      <c r="AI819" s="43"/>
    </row>
    <row r="820" spans="1:35" x14ac:dyDescent="0.25">
      <c r="A820" s="115" t="s">
        <v>20</v>
      </c>
      <c r="B820" s="115">
        <v>11.808999999999999</v>
      </c>
      <c r="C820" s="115">
        <v>11.673999999999999</v>
      </c>
      <c r="D820" s="115">
        <v>11.648</v>
      </c>
      <c r="E820" s="115">
        <v>11.49</v>
      </c>
      <c r="F820" s="115">
        <v>11.327999999999999</v>
      </c>
      <c r="G820" s="115">
        <v>11.067</v>
      </c>
      <c r="H820" s="115">
        <v>10.695</v>
      </c>
      <c r="I820" s="115">
        <v>10.223000000000001</v>
      </c>
      <c r="J820" s="115">
        <v>9.8780000000000001</v>
      </c>
      <c r="K820" s="115">
        <v>9.4220000000000006</v>
      </c>
      <c r="L820" s="115">
        <v>8.9879999999999995</v>
      </c>
      <c r="M820" s="115">
        <v>8.5860000000000003</v>
      </c>
      <c r="N820" s="115">
        <v>8.2080000000000002</v>
      </c>
      <c r="O820" s="115">
        <v>7.7720000000000002</v>
      </c>
      <c r="P820" s="115">
        <v>7.3810000000000002</v>
      </c>
      <c r="Q820" s="115">
        <v>7.01</v>
      </c>
      <c r="R820" s="115">
        <v>6.7350000000000003</v>
      </c>
      <c r="S820" s="115">
        <v>6.4119999999999999</v>
      </c>
      <c r="T820" s="115">
        <v>6.1360000000000001</v>
      </c>
      <c r="U820" s="115">
        <v>5.8620000000000001</v>
      </c>
      <c r="V820" s="115">
        <v>5.6280000000000001</v>
      </c>
      <c r="W820" s="115">
        <v>5.4329999999999998</v>
      </c>
      <c r="X820" s="115">
        <v>5.28</v>
      </c>
      <c r="Y820" s="115">
        <v>5.0750000000000002</v>
      </c>
      <c r="Z820" s="115">
        <v>4.915</v>
      </c>
      <c r="AA820" s="115">
        <v>4.7439999999999998</v>
      </c>
      <c r="AB820" s="115">
        <v>4.5590000000000002</v>
      </c>
      <c r="AC820" s="115">
        <v>4.3620000000000001</v>
      </c>
      <c r="AD820" s="43"/>
      <c r="AE820" s="43"/>
      <c r="AF820" s="43"/>
      <c r="AG820" s="43"/>
      <c r="AH820" s="43"/>
      <c r="AI820" s="43"/>
    </row>
    <row r="821" spans="1:35" x14ac:dyDescent="0.25">
      <c r="A821" s="115" t="s">
        <v>618</v>
      </c>
      <c r="B821" s="115">
        <v>11.808999999999999</v>
      </c>
      <c r="C821" s="115">
        <v>11.673999999999999</v>
      </c>
      <c r="D821" s="115">
        <v>11.648</v>
      </c>
      <c r="E821" s="115">
        <v>11.49</v>
      </c>
      <c r="F821" s="115">
        <v>11.327999999999999</v>
      </c>
      <c r="G821" s="115">
        <v>11.067</v>
      </c>
      <c r="H821" s="115">
        <v>10.695</v>
      </c>
      <c r="I821" s="115">
        <v>10.223000000000001</v>
      </c>
      <c r="J821" s="115">
        <v>9.8780000000000001</v>
      </c>
      <c r="K821" s="115">
        <v>9.4220000000000006</v>
      </c>
      <c r="L821" s="115">
        <v>8.9879999999999995</v>
      </c>
      <c r="M821" s="115">
        <v>8.5860000000000003</v>
      </c>
      <c r="N821" s="115">
        <v>8.2080000000000002</v>
      </c>
      <c r="O821" s="115">
        <v>7.7720000000000002</v>
      </c>
      <c r="P821" s="115">
        <v>7.3810000000000002</v>
      </c>
      <c r="Q821" s="115">
        <v>7.01</v>
      </c>
      <c r="R821" s="115">
        <v>6.7350000000000003</v>
      </c>
      <c r="S821" s="115">
        <v>6.4119999999999999</v>
      </c>
      <c r="T821" s="115">
        <v>6.1360000000000001</v>
      </c>
      <c r="U821" s="115">
        <v>5.8620000000000001</v>
      </c>
      <c r="V821" s="115">
        <v>5.6280000000000001</v>
      </c>
      <c r="W821" s="115">
        <v>5.4329999999999998</v>
      </c>
      <c r="X821" s="115">
        <v>5.28</v>
      </c>
      <c r="Y821" s="115">
        <v>5.0750000000000002</v>
      </c>
      <c r="Z821" s="115">
        <v>4.915</v>
      </c>
      <c r="AA821" s="115">
        <v>4.7439999999999998</v>
      </c>
      <c r="AB821" s="115">
        <v>4.5590000000000002</v>
      </c>
      <c r="AC821" s="115">
        <v>4.3620000000000001</v>
      </c>
      <c r="AD821" s="43"/>
      <c r="AE821" s="43"/>
      <c r="AF821" s="43"/>
      <c r="AG821" s="43"/>
      <c r="AH821" s="43"/>
      <c r="AI821" s="43"/>
    </row>
    <row r="822" spans="1:35" x14ac:dyDescent="0.25">
      <c r="A822" s="115" t="s">
        <v>215</v>
      </c>
      <c r="B822" s="115">
        <v>0</v>
      </c>
      <c r="C822" s="115">
        <v>0.25</v>
      </c>
      <c r="D822" s="115">
        <v>0.54800000000000004</v>
      </c>
      <c r="E822" s="115">
        <v>0.84699999999999998</v>
      </c>
      <c r="F822" s="115">
        <v>1.145</v>
      </c>
      <c r="G822" s="115">
        <v>1.444</v>
      </c>
      <c r="H822" s="115">
        <v>1.742</v>
      </c>
      <c r="I822" s="115">
        <v>1.952</v>
      </c>
      <c r="J822" s="115">
        <v>2.1619999999999999</v>
      </c>
      <c r="K822" s="115">
        <v>2.3719999999999999</v>
      </c>
      <c r="L822" s="115">
        <v>2.5819999999999999</v>
      </c>
      <c r="M822" s="115">
        <v>2.7919999999999998</v>
      </c>
      <c r="N822" s="115">
        <v>3.0019999999999998</v>
      </c>
      <c r="O822" s="115">
        <v>3.2120000000000002</v>
      </c>
      <c r="P822" s="115">
        <v>3.4220000000000002</v>
      </c>
      <c r="Q822" s="115">
        <v>3.6320000000000001</v>
      </c>
      <c r="R822" s="115">
        <v>3.8420000000000001</v>
      </c>
      <c r="S822" s="115">
        <v>3.9420000000000002</v>
      </c>
      <c r="T822" s="115">
        <v>4.0419999999999998</v>
      </c>
      <c r="U822" s="115">
        <v>4.1420000000000003</v>
      </c>
      <c r="V822" s="115">
        <v>4.242</v>
      </c>
      <c r="W822" s="115">
        <v>4.3419999999999996</v>
      </c>
      <c r="X822" s="115">
        <v>4.4420000000000002</v>
      </c>
      <c r="Y822" s="115">
        <v>4.5419999999999998</v>
      </c>
      <c r="Z822" s="115">
        <v>4.6420000000000003</v>
      </c>
      <c r="AA822" s="115">
        <v>4.742</v>
      </c>
      <c r="AB822" s="115">
        <v>4.8419999999999996</v>
      </c>
      <c r="AC822" s="115">
        <v>4.9420000000000002</v>
      </c>
      <c r="AD822" s="43"/>
      <c r="AE822" s="43"/>
      <c r="AF822" s="43"/>
      <c r="AG822" s="43"/>
      <c r="AH822" s="43"/>
      <c r="AI822" s="43"/>
    </row>
    <row r="823" spans="1:35" x14ac:dyDescent="0.25">
      <c r="A823" s="115" t="s">
        <v>18</v>
      </c>
      <c r="B823" s="115">
        <v>3.0489999999999999</v>
      </c>
      <c r="C823" s="115">
        <v>2.7879999999999998</v>
      </c>
      <c r="D823" s="115">
        <v>2.528</v>
      </c>
      <c r="E823" s="115">
        <v>2.27</v>
      </c>
      <c r="F823" s="115">
        <v>2.0129999999999999</v>
      </c>
      <c r="G823" s="115">
        <v>1.758</v>
      </c>
      <c r="H823" s="115">
        <v>1.504</v>
      </c>
      <c r="I823" s="115">
        <v>1.2509999999999999</v>
      </c>
      <c r="J823" s="115">
        <v>0.999</v>
      </c>
      <c r="K823" s="115">
        <v>0.748</v>
      </c>
      <c r="L823" s="115">
        <v>0.497</v>
      </c>
      <c r="M823" s="115">
        <v>0.248</v>
      </c>
      <c r="N823" s="115">
        <v>0</v>
      </c>
      <c r="O823" s="115">
        <v>0</v>
      </c>
      <c r="P823" s="115">
        <v>0</v>
      </c>
      <c r="Q823" s="115">
        <v>0</v>
      </c>
      <c r="R823" s="115">
        <v>0</v>
      </c>
      <c r="S823" s="115">
        <v>0</v>
      </c>
      <c r="T823" s="115">
        <v>0</v>
      </c>
      <c r="U823" s="115">
        <v>0</v>
      </c>
      <c r="V823" s="115">
        <v>0</v>
      </c>
      <c r="W823" s="115">
        <v>0</v>
      </c>
      <c r="X823" s="115">
        <v>0</v>
      </c>
      <c r="Y823" s="115">
        <v>0</v>
      </c>
      <c r="Z823" s="115">
        <v>0</v>
      </c>
      <c r="AA823" s="115">
        <v>0</v>
      </c>
      <c r="AB823" s="115">
        <v>0</v>
      </c>
      <c r="AC823" s="115">
        <v>0</v>
      </c>
      <c r="AD823" s="43"/>
      <c r="AE823" s="43"/>
      <c r="AF823" s="43"/>
      <c r="AG823" s="43"/>
      <c r="AH823" s="43"/>
      <c r="AI823" s="43"/>
    </row>
    <row r="824" spans="1:35" x14ac:dyDescent="0.25">
      <c r="A824" s="115" t="s">
        <v>619</v>
      </c>
      <c r="B824" s="115">
        <v>3.0489999999999999</v>
      </c>
      <c r="C824" s="115">
        <v>2.7879999999999998</v>
      </c>
      <c r="D824" s="115">
        <v>2.528</v>
      </c>
      <c r="E824" s="115">
        <v>2.27</v>
      </c>
      <c r="F824" s="115">
        <v>2.0129999999999999</v>
      </c>
      <c r="G824" s="115">
        <v>1.758</v>
      </c>
      <c r="H824" s="115">
        <v>1.504</v>
      </c>
      <c r="I824" s="115">
        <v>1.2509999999999999</v>
      </c>
      <c r="J824" s="115">
        <v>0.999</v>
      </c>
      <c r="K824" s="115">
        <v>0.748</v>
      </c>
      <c r="L824" s="115">
        <v>0.497</v>
      </c>
      <c r="M824" s="115">
        <v>0.248</v>
      </c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43"/>
      <c r="AE824" s="43"/>
      <c r="AF824" s="43"/>
      <c r="AG824" s="43"/>
      <c r="AH824" s="43"/>
      <c r="AI824" s="43"/>
    </row>
    <row r="825" spans="1:35" x14ac:dyDescent="0.25">
      <c r="A825" s="115" t="s">
        <v>793</v>
      </c>
      <c r="B825" s="115"/>
      <c r="C825" s="115">
        <v>1462750.348</v>
      </c>
      <c r="D825" s="115">
        <v>1472488.0349999999</v>
      </c>
      <c r="E825" s="115">
        <v>1482170.142</v>
      </c>
      <c r="F825" s="115">
        <v>1491771.331</v>
      </c>
      <c r="G825" s="115">
        <v>1501298.0430000001</v>
      </c>
      <c r="H825" s="115">
        <v>1510751.372</v>
      </c>
      <c r="I825" s="115">
        <v>1515921.162</v>
      </c>
      <c r="J825" s="115">
        <v>1521061.672</v>
      </c>
      <c r="K825" s="115">
        <v>1526061.2009999999</v>
      </c>
      <c r="L825" s="115">
        <v>1530915.209</v>
      </c>
      <c r="M825" s="115">
        <v>1535626.1070000001</v>
      </c>
      <c r="N825" s="115">
        <v>1540217.2120000001</v>
      </c>
      <c r="O825" s="115">
        <v>1544713.206</v>
      </c>
      <c r="P825" s="115">
        <v>1549058.1370000001</v>
      </c>
      <c r="Q825" s="115">
        <v>1553250.1129999999</v>
      </c>
      <c r="R825" s="115">
        <v>1557288.6510000001</v>
      </c>
      <c r="S825" s="115">
        <v>1554723.871</v>
      </c>
      <c r="T825" s="115">
        <v>1551671.6170000001</v>
      </c>
      <c r="U825" s="115">
        <v>1548448.797</v>
      </c>
      <c r="V825" s="115">
        <v>1545064.392</v>
      </c>
      <c r="W825" s="115">
        <v>1541537.236</v>
      </c>
      <c r="X825" s="115">
        <v>1537841.7849999999</v>
      </c>
      <c r="Y825" s="115">
        <v>1533996.8940000001</v>
      </c>
      <c r="Z825" s="115">
        <v>1529980.4369999999</v>
      </c>
      <c r="AA825" s="115">
        <v>1525804.872</v>
      </c>
      <c r="AB825" s="115">
        <v>1521451.0689999999</v>
      </c>
      <c r="AC825" s="115">
        <v>1515190.115</v>
      </c>
      <c r="AD825" s="43"/>
      <c r="AE825" s="43"/>
      <c r="AF825" s="43"/>
      <c r="AG825" s="43"/>
      <c r="AH825" s="43"/>
      <c r="AI825" s="43"/>
    </row>
    <row r="826" spans="1:35" x14ac:dyDescent="0.25">
      <c r="A826" s="115" t="s">
        <v>794</v>
      </c>
      <c r="B826" s="115"/>
      <c r="C826" s="115">
        <v>2337721.7039999999</v>
      </c>
      <c r="D826" s="115">
        <v>2353584.9240000001</v>
      </c>
      <c r="E826" s="115">
        <v>2369396.5189999999</v>
      </c>
      <c r="F826" s="115">
        <v>2385122.5839999998</v>
      </c>
      <c r="G826" s="115">
        <v>2400781.355</v>
      </c>
      <c r="H826" s="115">
        <v>2416380.0860000001</v>
      </c>
      <c r="I826" s="115">
        <v>2425196.6680000001</v>
      </c>
      <c r="J826" s="115">
        <v>2434022.841</v>
      </c>
      <c r="K826" s="115">
        <v>2442718.2949999999</v>
      </c>
      <c r="L826" s="115">
        <v>2451290.8259999999</v>
      </c>
      <c r="M826" s="115">
        <v>2459760.1540000001</v>
      </c>
      <c r="N826" s="115">
        <v>2468175.0619999999</v>
      </c>
      <c r="O826" s="115">
        <v>2476588.5079999999</v>
      </c>
      <c r="P826" s="115">
        <v>2484893.6970000002</v>
      </c>
      <c r="Q826" s="115">
        <v>2493096.6529999999</v>
      </c>
      <c r="R826" s="115">
        <v>2501204.6680000001</v>
      </c>
      <c r="S826" s="115">
        <v>2499805.4550000001</v>
      </c>
      <c r="T826" s="115">
        <v>2498007.0860000001</v>
      </c>
      <c r="U826" s="115">
        <v>2496156.5830000001</v>
      </c>
      <c r="V826" s="115">
        <v>2494270.2680000002</v>
      </c>
      <c r="W826" s="115">
        <v>2492364.415</v>
      </c>
      <c r="X826" s="115">
        <v>2490351.7620000001</v>
      </c>
      <c r="Y826" s="115">
        <v>2488256.3309999998</v>
      </c>
      <c r="Z826" s="115">
        <v>2486073.4079999998</v>
      </c>
      <c r="AA826" s="115">
        <v>2483811.2710000002</v>
      </c>
      <c r="AB826" s="115">
        <v>2481464.4079999998</v>
      </c>
      <c r="AC826" s="115">
        <v>2476964.4810000001</v>
      </c>
      <c r="AD826" s="43"/>
      <c r="AE826" s="43"/>
      <c r="AF826" s="43"/>
      <c r="AG826" s="43"/>
      <c r="AH826" s="43"/>
      <c r="AI826" s="43"/>
    </row>
    <row r="827" spans="1:35" x14ac:dyDescent="0.25">
      <c r="A827" s="115" t="s">
        <v>795</v>
      </c>
      <c r="B827" s="115"/>
      <c r="C827" s="115">
        <v>2983035.7940000002</v>
      </c>
      <c r="D827" s="115">
        <v>3003854.6170000001</v>
      </c>
      <c r="E827" s="115">
        <v>3024662.7650000001</v>
      </c>
      <c r="F827" s="115">
        <v>3045429.3620000002</v>
      </c>
      <c r="G827" s="115">
        <v>3066175.8629999999</v>
      </c>
      <c r="H827" s="115">
        <v>3086915.804</v>
      </c>
      <c r="I827" s="115">
        <v>3099076.3259999999</v>
      </c>
      <c r="J827" s="115">
        <v>3111305.02</v>
      </c>
      <c r="K827" s="115">
        <v>3123473.8709999998</v>
      </c>
      <c r="L827" s="115">
        <v>3135610.523</v>
      </c>
      <c r="M827" s="115">
        <v>3147750.4380000001</v>
      </c>
      <c r="N827" s="115">
        <v>3159957.4380000001</v>
      </c>
      <c r="O827" s="115">
        <v>3172300.5610000002</v>
      </c>
      <c r="P827" s="115">
        <v>3184638.7459999998</v>
      </c>
      <c r="Q827" s="115">
        <v>3196984.9870000002</v>
      </c>
      <c r="R827" s="115">
        <v>3209353.0920000002</v>
      </c>
      <c r="S827" s="115">
        <v>3210819.5350000001</v>
      </c>
      <c r="T827" s="115">
        <v>3212686.9849999999</v>
      </c>
      <c r="U827" s="115">
        <v>3214646.3810000001</v>
      </c>
      <c r="V827" s="115">
        <v>3216717.0129999998</v>
      </c>
      <c r="W827" s="115">
        <v>3218919.95</v>
      </c>
      <c r="X827" s="115">
        <v>3221114.4939999999</v>
      </c>
      <c r="Y827" s="115">
        <v>3223339.15</v>
      </c>
      <c r="Z827" s="115">
        <v>3225579.835</v>
      </c>
      <c r="AA827" s="115">
        <v>3227852.2850000001</v>
      </c>
      <c r="AB827" s="115">
        <v>3230149.6710000001</v>
      </c>
      <c r="AC827" s="115">
        <v>3230561.6680000001</v>
      </c>
      <c r="AD827" s="43"/>
      <c r="AE827" s="43"/>
      <c r="AF827" s="43"/>
      <c r="AG827" s="43"/>
      <c r="AH827" s="43"/>
      <c r="AI827" s="43"/>
    </row>
    <row r="828" spans="1:35" x14ac:dyDescent="0.25">
      <c r="A828" s="115" t="s">
        <v>796</v>
      </c>
      <c r="B828" s="115"/>
      <c r="C828" s="115">
        <v>3375014.9929999998</v>
      </c>
      <c r="D828" s="115">
        <v>3398770.2</v>
      </c>
      <c r="E828" s="115">
        <v>3422513.5040000002</v>
      </c>
      <c r="F828" s="115">
        <v>3446211.57</v>
      </c>
      <c r="G828" s="115">
        <v>3469885.611</v>
      </c>
      <c r="H828" s="115">
        <v>3493549.7609999999</v>
      </c>
      <c r="I828" s="115">
        <v>3507503.821</v>
      </c>
      <c r="J828" s="115">
        <v>3521528.6889999998</v>
      </c>
      <c r="K828" s="115">
        <v>3535486.4539999999</v>
      </c>
      <c r="L828" s="115">
        <v>3549409.5490000001</v>
      </c>
      <c r="M828" s="115">
        <v>3563333.7560000001</v>
      </c>
      <c r="N828" s="115">
        <v>3577324.11</v>
      </c>
      <c r="O828" s="115">
        <v>3591450.0019999999</v>
      </c>
      <c r="P828" s="115">
        <v>3605573.1150000002</v>
      </c>
      <c r="Q828" s="115">
        <v>3619706.398</v>
      </c>
      <c r="R828" s="115">
        <v>3633863.9739999999</v>
      </c>
      <c r="S828" s="115">
        <v>3635768.338</v>
      </c>
      <c r="T828" s="115">
        <v>3638088.2969999998</v>
      </c>
      <c r="U828" s="115">
        <v>3640485.1570000001</v>
      </c>
      <c r="V828" s="115">
        <v>3642976.571</v>
      </c>
      <c r="W828" s="115">
        <v>3645583.6639999999</v>
      </c>
      <c r="X828" s="115">
        <v>3648172.8450000002</v>
      </c>
      <c r="Y828" s="115">
        <v>3650781.7250000001</v>
      </c>
      <c r="Z828" s="115">
        <v>3653393.7680000002</v>
      </c>
      <c r="AA828" s="115">
        <v>3656026.6549999998</v>
      </c>
      <c r="AB828" s="115">
        <v>3658673.4410000001</v>
      </c>
      <c r="AC828" s="115">
        <v>3659179.9249999998</v>
      </c>
      <c r="AD828" s="43"/>
      <c r="AE828" s="43"/>
      <c r="AF828" s="43"/>
      <c r="AG828" s="43"/>
      <c r="AH828" s="43"/>
      <c r="AI828" s="43"/>
    </row>
    <row r="829" spans="1:35" x14ac:dyDescent="0.25">
      <c r="A829" s="115" t="s">
        <v>797</v>
      </c>
      <c r="B829" s="115"/>
      <c r="C829" s="115">
        <v>3485092.0630000001</v>
      </c>
      <c r="D829" s="115">
        <v>3509931.4509999999</v>
      </c>
      <c r="E829" s="115">
        <v>3534808.1850000001</v>
      </c>
      <c r="F829" s="115">
        <v>3559692.7769999998</v>
      </c>
      <c r="G829" s="115">
        <v>3584610.6230000001</v>
      </c>
      <c r="H829" s="115">
        <v>3609575.8560000001</v>
      </c>
      <c r="I829" s="115">
        <v>3624572.14</v>
      </c>
      <c r="J829" s="115">
        <v>3639685.1009999998</v>
      </c>
      <c r="K829" s="115">
        <v>3654804.8169999998</v>
      </c>
      <c r="L829" s="115">
        <v>3669997.551</v>
      </c>
      <c r="M829" s="115">
        <v>3685299.6140000001</v>
      </c>
      <c r="N829" s="115">
        <v>3700769.298</v>
      </c>
      <c r="O829" s="115">
        <v>3716467.767</v>
      </c>
      <c r="P829" s="115">
        <v>3732243.236</v>
      </c>
      <c r="Q829" s="115">
        <v>3748099.2379999999</v>
      </c>
      <c r="R829" s="115">
        <v>3764035.4029999999</v>
      </c>
      <c r="S829" s="115">
        <v>3768039.7</v>
      </c>
      <c r="T829" s="115">
        <v>3772119.8560000001</v>
      </c>
      <c r="U829" s="115">
        <v>3776295.7050000001</v>
      </c>
      <c r="V829" s="115">
        <v>3780579.3960000002</v>
      </c>
      <c r="W829" s="115">
        <v>3784985.389</v>
      </c>
      <c r="X829" s="115">
        <v>3789399.29</v>
      </c>
      <c r="Y829" s="115">
        <v>3793850.307</v>
      </c>
      <c r="Z829" s="115">
        <v>3798329.63</v>
      </c>
      <c r="AA829" s="115">
        <v>3802848.3730000001</v>
      </c>
      <c r="AB829" s="115">
        <v>3807403.3280000002</v>
      </c>
      <c r="AC829" s="115">
        <v>3810021.0120000001</v>
      </c>
      <c r="AD829" s="43"/>
      <c r="AE829" s="43"/>
      <c r="AF829" s="43"/>
      <c r="AG829" s="43"/>
      <c r="AH829" s="43"/>
      <c r="AI829" s="43"/>
    </row>
    <row r="830" spans="1:35" x14ac:dyDescent="0.25">
      <c r="A830" s="115" t="s">
        <v>798</v>
      </c>
      <c r="B830" s="115"/>
      <c r="C830" s="115">
        <v>545644.62199999997</v>
      </c>
      <c r="D830" s="115">
        <v>549257.92500000005</v>
      </c>
      <c r="E830" s="115">
        <v>552887.09299999999</v>
      </c>
      <c r="F830" s="115">
        <v>556584.78200000001</v>
      </c>
      <c r="G830" s="115">
        <v>560338.46299999999</v>
      </c>
      <c r="H830" s="115">
        <v>564140.49199999997</v>
      </c>
      <c r="I830" s="115">
        <v>566413.12100000004</v>
      </c>
      <c r="J830" s="115">
        <v>568719.38800000004</v>
      </c>
      <c r="K830" s="115">
        <v>571090.29299999995</v>
      </c>
      <c r="L830" s="115">
        <v>573518.99699999997</v>
      </c>
      <c r="M830" s="115">
        <v>575999.37100000004</v>
      </c>
      <c r="N830" s="115">
        <v>578527.47400000005</v>
      </c>
      <c r="O830" s="115">
        <v>581098.68700000003</v>
      </c>
      <c r="P830" s="115">
        <v>583697.63800000004</v>
      </c>
      <c r="Q830" s="115">
        <v>586320.82299999997</v>
      </c>
      <c r="R830" s="115">
        <v>588965.13199999998</v>
      </c>
      <c r="S830" s="115">
        <v>589824.58100000001</v>
      </c>
      <c r="T830" s="115">
        <v>590702.71900000004</v>
      </c>
      <c r="U830" s="115">
        <v>591603.86600000004</v>
      </c>
      <c r="V830" s="115">
        <v>592524.41899999999</v>
      </c>
      <c r="W830" s="115">
        <v>593462.451</v>
      </c>
      <c r="X830" s="115">
        <v>594412.96799999999</v>
      </c>
      <c r="Y830" s="115">
        <v>595376.09600000002</v>
      </c>
      <c r="Z830" s="115">
        <v>596346.571</v>
      </c>
      <c r="AA830" s="115">
        <v>597324.65599999996</v>
      </c>
      <c r="AB830" s="115">
        <v>598306.88800000004</v>
      </c>
      <c r="AC830" s="115">
        <v>599015.33299999998</v>
      </c>
      <c r="AD830" s="43"/>
      <c r="AE830" s="43"/>
      <c r="AF830" s="43"/>
      <c r="AG830" s="43"/>
      <c r="AH830" s="43"/>
      <c r="AI830" s="43"/>
    </row>
    <row r="831" spans="1:35" x14ac:dyDescent="0.25">
      <c r="A831" s="115" t="s">
        <v>799</v>
      </c>
      <c r="B831" s="115"/>
      <c r="C831" s="115">
        <v>615897.005</v>
      </c>
      <c r="D831" s="115">
        <v>620084.99600000004</v>
      </c>
      <c r="E831" s="115">
        <v>624281.201</v>
      </c>
      <c r="F831" s="115">
        <v>628542.63300000003</v>
      </c>
      <c r="G831" s="115">
        <v>632857.71799999999</v>
      </c>
      <c r="H831" s="115">
        <v>637219.58700000006</v>
      </c>
      <c r="I831" s="115">
        <v>639849.18799999997</v>
      </c>
      <c r="J831" s="115">
        <v>642512.30299999996</v>
      </c>
      <c r="K831" s="115">
        <v>645243.31599999999</v>
      </c>
      <c r="L831" s="115">
        <v>648034.92500000005</v>
      </c>
      <c r="M831" s="115">
        <v>650880.79700000002</v>
      </c>
      <c r="N831" s="115">
        <v>653776.79</v>
      </c>
      <c r="O831" s="115">
        <v>656718.11499999999</v>
      </c>
      <c r="P831" s="115">
        <v>659687.37100000004</v>
      </c>
      <c r="Q831" s="115">
        <v>662681.05099999998</v>
      </c>
      <c r="R831" s="115">
        <v>665696.05500000005</v>
      </c>
      <c r="S831" s="115">
        <v>666708.54</v>
      </c>
      <c r="T831" s="115">
        <v>667742.17500000005</v>
      </c>
      <c r="U831" s="115">
        <v>668798.53599999996</v>
      </c>
      <c r="V831" s="115">
        <v>669874.15</v>
      </c>
      <c r="W831" s="115">
        <v>670966.98699999996</v>
      </c>
      <c r="X831" s="115">
        <v>672071.38399999996</v>
      </c>
      <c r="Y831" s="115">
        <v>673187.53700000001</v>
      </c>
      <c r="Z831" s="115">
        <v>674310.951</v>
      </c>
      <c r="AA831" s="115">
        <v>675441.74</v>
      </c>
      <c r="AB831" s="115">
        <v>676577.01699999999</v>
      </c>
      <c r="AC831" s="115">
        <v>677408.31900000002</v>
      </c>
      <c r="AD831" s="43"/>
      <c r="AE831" s="43"/>
      <c r="AF831" s="43"/>
      <c r="AG831" s="43"/>
      <c r="AH831" s="43"/>
      <c r="AI831" s="43"/>
    </row>
    <row r="832" spans="1:35" x14ac:dyDescent="0.25">
      <c r="A832" s="115" t="s">
        <v>800</v>
      </c>
      <c r="B832" s="115"/>
      <c r="C832" s="115">
        <v>524441.21200000006</v>
      </c>
      <c r="D832" s="115">
        <v>528077.66500000004</v>
      </c>
      <c r="E832" s="115">
        <v>531724.38100000005</v>
      </c>
      <c r="F832" s="115">
        <v>535419.25100000005</v>
      </c>
      <c r="G832" s="115">
        <v>539153.39099999995</v>
      </c>
      <c r="H832" s="115">
        <v>542921.37199999997</v>
      </c>
      <c r="I832" s="115">
        <v>545208.73499999999</v>
      </c>
      <c r="J832" s="115">
        <v>547519.36800000002</v>
      </c>
      <c r="K832" s="115">
        <v>549880.94700000004</v>
      </c>
      <c r="L832" s="115">
        <v>552288.13899999997</v>
      </c>
      <c r="M832" s="115">
        <v>554736.12699999998</v>
      </c>
      <c r="N832" s="115">
        <v>557221.77800000005</v>
      </c>
      <c r="O832" s="115">
        <v>559741.45400000003</v>
      </c>
      <c r="P832" s="115">
        <v>562283.02300000004</v>
      </c>
      <c r="Q832" s="115">
        <v>564843.73800000001</v>
      </c>
      <c r="R832" s="115">
        <v>567421.19299999997</v>
      </c>
      <c r="S832" s="115">
        <v>568296.995</v>
      </c>
      <c r="T832" s="115">
        <v>569189.68099999998</v>
      </c>
      <c r="U832" s="115">
        <v>570100.29299999995</v>
      </c>
      <c r="V832" s="115">
        <v>571026.18400000001</v>
      </c>
      <c r="W832" s="115">
        <v>571965.78</v>
      </c>
      <c r="X832" s="115">
        <v>572914.85</v>
      </c>
      <c r="Y832" s="115">
        <v>573873.38300000003</v>
      </c>
      <c r="Z832" s="115">
        <v>574838.13800000004</v>
      </c>
      <c r="AA832" s="115">
        <v>575809.07299999997</v>
      </c>
      <c r="AB832" s="115">
        <v>576784.12800000003</v>
      </c>
      <c r="AC832" s="115">
        <v>577502.495</v>
      </c>
      <c r="AD832" s="43"/>
      <c r="AE832" s="43"/>
      <c r="AF832" s="43"/>
      <c r="AG832" s="43"/>
      <c r="AH832" s="43"/>
      <c r="AI832" s="43"/>
    </row>
    <row r="833" spans="1:35" x14ac:dyDescent="0.25">
      <c r="A833" s="115" t="s">
        <v>801</v>
      </c>
      <c r="B833" s="115"/>
      <c r="C833" s="115">
        <v>402748.76699999999</v>
      </c>
      <c r="D833" s="115">
        <v>405592.15399999998</v>
      </c>
      <c r="E833" s="115">
        <v>408442.61499999999</v>
      </c>
      <c r="F833" s="115">
        <v>411322.23</v>
      </c>
      <c r="G833" s="115">
        <v>414225.44</v>
      </c>
      <c r="H833" s="115">
        <v>417148.87199999997</v>
      </c>
      <c r="I833" s="115">
        <v>418930.26899999997</v>
      </c>
      <c r="J833" s="115">
        <v>420725.114</v>
      </c>
      <c r="K833" s="115">
        <v>422556.16200000001</v>
      </c>
      <c r="L833" s="115">
        <v>424419.61900000001</v>
      </c>
      <c r="M833" s="115">
        <v>426312.06400000001</v>
      </c>
      <c r="N833" s="115">
        <v>428231.26799999998</v>
      </c>
      <c r="O833" s="115">
        <v>430174.625</v>
      </c>
      <c r="P833" s="115">
        <v>432133.97600000002</v>
      </c>
      <c r="Q833" s="115">
        <v>434107.283</v>
      </c>
      <c r="R833" s="115">
        <v>436092.75400000002</v>
      </c>
      <c r="S833" s="115">
        <v>436773.8</v>
      </c>
      <c r="T833" s="115">
        <v>437467.35</v>
      </c>
      <c r="U833" s="115">
        <v>438173.68800000002</v>
      </c>
      <c r="V833" s="115">
        <v>438890.86099999998</v>
      </c>
      <c r="W833" s="115">
        <v>439617.74</v>
      </c>
      <c r="X833" s="115">
        <v>440351.114</v>
      </c>
      <c r="Y833" s="115">
        <v>441091.08</v>
      </c>
      <c r="Z833" s="115">
        <v>441835.15</v>
      </c>
      <c r="AA833" s="115">
        <v>442583.38099999999</v>
      </c>
      <c r="AB833" s="115">
        <v>443334.19699999999</v>
      </c>
      <c r="AC833" s="115">
        <v>443887.495</v>
      </c>
      <c r="AD833" s="43"/>
      <c r="AE833" s="43"/>
      <c r="AF833" s="43"/>
      <c r="AG833" s="43"/>
      <c r="AH833" s="43"/>
      <c r="AI833" s="43"/>
    </row>
    <row r="834" spans="1:35" x14ac:dyDescent="0.25">
      <c r="A834" s="115" t="s">
        <v>802</v>
      </c>
      <c r="B834" s="115"/>
      <c r="C834" s="115">
        <v>273160.20799999998</v>
      </c>
      <c r="D834" s="115">
        <v>275099.58899999998</v>
      </c>
      <c r="E834" s="115">
        <v>277042.435</v>
      </c>
      <c r="F834" s="115">
        <v>279004.93599999999</v>
      </c>
      <c r="G834" s="115">
        <v>280983.46100000001</v>
      </c>
      <c r="H834" s="115">
        <v>282975.69500000001</v>
      </c>
      <c r="I834" s="115">
        <v>284193.342</v>
      </c>
      <c r="J834" s="115">
        <v>285420.08600000001</v>
      </c>
      <c r="K834" s="115">
        <v>286670.14600000001</v>
      </c>
      <c r="L834" s="115">
        <v>287941.11800000002</v>
      </c>
      <c r="M834" s="115">
        <v>289230.75599999999</v>
      </c>
      <c r="N834" s="115">
        <v>290537.58799999999</v>
      </c>
      <c r="O834" s="115">
        <v>291859.90899999999</v>
      </c>
      <c r="P834" s="115">
        <v>293192.61800000002</v>
      </c>
      <c r="Q834" s="115">
        <v>294534.38500000001</v>
      </c>
      <c r="R834" s="115">
        <v>295884.049</v>
      </c>
      <c r="S834" s="115">
        <v>296350.06199999998</v>
      </c>
      <c r="T834" s="115">
        <v>296825.47200000001</v>
      </c>
      <c r="U834" s="115">
        <v>297308.85200000001</v>
      </c>
      <c r="V834" s="115">
        <v>297799.02899999998</v>
      </c>
      <c r="W834" s="115">
        <v>298295.31400000001</v>
      </c>
      <c r="X834" s="115">
        <v>298795.83899999998</v>
      </c>
      <c r="Y834" s="115">
        <v>299300.61300000001</v>
      </c>
      <c r="Z834" s="115">
        <v>299808.196</v>
      </c>
      <c r="AA834" s="115">
        <v>300318.576</v>
      </c>
      <c r="AB834" s="115">
        <v>300830.848</v>
      </c>
      <c r="AC834" s="115">
        <v>301209.99200000003</v>
      </c>
      <c r="AD834" s="43"/>
      <c r="AE834" s="43"/>
      <c r="AF834" s="43"/>
      <c r="AG834" s="43"/>
      <c r="AH834" s="43"/>
      <c r="AI834" s="43"/>
    </row>
    <row r="835" spans="1:35" x14ac:dyDescent="0.25">
      <c r="A835" s="115" t="s">
        <v>803</v>
      </c>
      <c r="B835" s="115"/>
      <c r="C835" s="115">
        <v>255596.557</v>
      </c>
      <c r="D835" s="115">
        <v>257500.997</v>
      </c>
      <c r="E835" s="115">
        <v>259411.641</v>
      </c>
      <c r="F835" s="115">
        <v>261328.19500000001</v>
      </c>
      <c r="G835" s="115">
        <v>263253.712</v>
      </c>
      <c r="H835" s="115">
        <v>265186.85800000001</v>
      </c>
      <c r="I835" s="115">
        <v>266387.14199999999</v>
      </c>
      <c r="J835" s="115">
        <v>267591.141</v>
      </c>
      <c r="K835" s="115">
        <v>268796.28000000003</v>
      </c>
      <c r="L835" s="115">
        <v>270009.72100000002</v>
      </c>
      <c r="M835" s="115">
        <v>271240.91499999998</v>
      </c>
      <c r="N835" s="115">
        <v>272489.52</v>
      </c>
      <c r="O835" s="115">
        <v>273734.22600000002</v>
      </c>
      <c r="P835" s="115">
        <v>274974.39199999999</v>
      </c>
      <c r="Q835" s="115">
        <v>276210.098</v>
      </c>
      <c r="R835" s="115">
        <v>277441.52399999998</v>
      </c>
      <c r="S835" s="115">
        <v>277815.48499999999</v>
      </c>
      <c r="T835" s="115">
        <v>278177.94300000003</v>
      </c>
      <c r="U835" s="115">
        <v>278537.62300000002</v>
      </c>
      <c r="V835" s="115">
        <v>278895.73</v>
      </c>
      <c r="W835" s="115">
        <v>279253.69900000002</v>
      </c>
      <c r="X835" s="115">
        <v>279603.73499999999</v>
      </c>
      <c r="Y835" s="115">
        <v>279947.68400000001</v>
      </c>
      <c r="Z835" s="115">
        <v>280284.30699999997</v>
      </c>
      <c r="AA835" s="115">
        <v>280614.33500000002</v>
      </c>
      <c r="AB835" s="115">
        <v>280936.89500000002</v>
      </c>
      <c r="AC835" s="115">
        <v>281103.29399999999</v>
      </c>
      <c r="AD835" s="43"/>
      <c r="AE835" s="43"/>
      <c r="AF835" s="43"/>
      <c r="AG835" s="43"/>
      <c r="AH835" s="43"/>
      <c r="AI835" s="43"/>
    </row>
    <row r="836" spans="1:35" x14ac:dyDescent="0.25">
      <c r="A836" s="115" t="s">
        <v>804</v>
      </c>
      <c r="B836" s="115"/>
      <c r="C836" s="115">
        <v>262816.38400000002</v>
      </c>
      <c r="D836" s="115">
        <v>264801.739</v>
      </c>
      <c r="E836" s="115">
        <v>266792.39600000001</v>
      </c>
      <c r="F836" s="115">
        <v>268788.09399999998</v>
      </c>
      <c r="G836" s="115">
        <v>270791.38</v>
      </c>
      <c r="H836" s="115">
        <v>272801.36099999998</v>
      </c>
      <c r="I836" s="115">
        <v>274057.65600000002</v>
      </c>
      <c r="J836" s="115">
        <v>275317.44300000003</v>
      </c>
      <c r="K836" s="115">
        <v>276578.64600000001</v>
      </c>
      <c r="L836" s="115">
        <v>277847.18199999997</v>
      </c>
      <c r="M836" s="115">
        <v>279130.76400000002</v>
      </c>
      <c r="N836" s="115">
        <v>280428.84299999999</v>
      </c>
      <c r="O836" s="115">
        <v>281724.17700000003</v>
      </c>
      <c r="P836" s="115">
        <v>283015.60600000003</v>
      </c>
      <c r="Q836" s="115">
        <v>284303.15500000003</v>
      </c>
      <c r="R836" s="115">
        <v>285586.92499999999</v>
      </c>
      <c r="S836" s="115">
        <v>285998.674</v>
      </c>
      <c r="T836" s="115">
        <v>286400.44199999998</v>
      </c>
      <c r="U836" s="115">
        <v>286799.41499999998</v>
      </c>
      <c r="V836" s="115">
        <v>287196.53100000002</v>
      </c>
      <c r="W836" s="115">
        <v>287592.92200000002</v>
      </c>
      <c r="X836" s="115">
        <v>287982.36900000001</v>
      </c>
      <c r="Y836" s="115">
        <v>288366.36700000003</v>
      </c>
      <c r="Z836" s="115">
        <v>288743.75400000002</v>
      </c>
      <c r="AA836" s="115">
        <v>289115.14399999997</v>
      </c>
      <c r="AB836" s="115">
        <v>289479.71600000001</v>
      </c>
      <c r="AC836" s="115">
        <v>289689.22200000001</v>
      </c>
      <c r="AD836" s="43"/>
      <c r="AE836" s="43"/>
      <c r="AF836" s="43"/>
      <c r="AG836" s="43"/>
      <c r="AH836" s="43"/>
      <c r="AI836" s="43"/>
    </row>
    <row r="837" spans="1:35" x14ac:dyDescent="0.25">
      <c r="A837" s="115" t="s">
        <v>805</v>
      </c>
      <c r="B837" s="115"/>
      <c r="C837" s="115">
        <v>142312.65900000001</v>
      </c>
      <c r="D837" s="115">
        <v>143361.22500000001</v>
      </c>
      <c r="E837" s="115">
        <v>144413.73699999999</v>
      </c>
      <c r="F837" s="115">
        <v>145469.98499999999</v>
      </c>
      <c r="G837" s="115">
        <v>146531.913</v>
      </c>
      <c r="H837" s="115">
        <v>147598.40299999999</v>
      </c>
      <c r="I837" s="115">
        <v>148256.64300000001</v>
      </c>
      <c r="J837" s="115">
        <v>148916.81899999999</v>
      </c>
      <c r="K837" s="115">
        <v>149577.18900000001</v>
      </c>
      <c r="L837" s="115">
        <v>150242.37400000001</v>
      </c>
      <c r="M837" s="115">
        <v>150918.66</v>
      </c>
      <c r="N837" s="115">
        <v>151606.421</v>
      </c>
      <c r="O837" s="115">
        <v>152291.57199999999</v>
      </c>
      <c r="P837" s="115">
        <v>152973.84099999999</v>
      </c>
      <c r="Q837" s="115">
        <v>153653.30499999999</v>
      </c>
      <c r="R837" s="115">
        <v>154330.10399999999</v>
      </c>
      <c r="S837" s="115">
        <v>154524.647</v>
      </c>
      <c r="T837" s="115">
        <v>154711.88399999999</v>
      </c>
      <c r="U837" s="115">
        <v>154897.519</v>
      </c>
      <c r="V837" s="115">
        <v>155082.345</v>
      </c>
      <c r="W837" s="115">
        <v>155267.307</v>
      </c>
      <c r="X837" s="115">
        <v>155447.24900000001</v>
      </c>
      <c r="Y837" s="115">
        <v>155623.364</v>
      </c>
      <c r="Z837" s="115">
        <v>155794.94399999999</v>
      </c>
      <c r="AA837" s="115">
        <v>155962.44</v>
      </c>
      <c r="AB837" s="115">
        <v>156125.35999999999</v>
      </c>
      <c r="AC837" s="115">
        <v>156198.636</v>
      </c>
      <c r="AD837" s="43"/>
      <c r="AE837" s="43"/>
      <c r="AF837" s="43"/>
      <c r="AG837" s="43"/>
      <c r="AH837" s="43"/>
      <c r="AI837" s="43"/>
    </row>
    <row r="838" spans="1:35" x14ac:dyDescent="0.25">
      <c r="A838" s="115" t="s">
        <v>806</v>
      </c>
      <c r="B838" s="115"/>
      <c r="C838" s="115">
        <v>56438.942999999999</v>
      </c>
      <c r="D838" s="115">
        <v>56860.421999999999</v>
      </c>
      <c r="E838" s="115">
        <v>57283.637000000002</v>
      </c>
      <c r="F838" s="115">
        <v>57708.574000000001</v>
      </c>
      <c r="G838" s="115">
        <v>58136.146000000001</v>
      </c>
      <c r="H838" s="115">
        <v>58565.913999999997</v>
      </c>
      <c r="I838" s="115">
        <v>58834.02</v>
      </c>
      <c r="J838" s="115">
        <v>59103.093999999997</v>
      </c>
      <c r="K838" s="115">
        <v>59372.663999999997</v>
      </c>
      <c r="L838" s="115">
        <v>59644.078999999998</v>
      </c>
      <c r="M838" s="115">
        <v>59918.997000000003</v>
      </c>
      <c r="N838" s="115">
        <v>60197.040999999997</v>
      </c>
      <c r="O838" s="115">
        <v>60474.438999999998</v>
      </c>
      <c r="P838" s="115">
        <v>60750.995999999999</v>
      </c>
      <c r="Q838" s="115">
        <v>61026.728999999999</v>
      </c>
      <c r="R838" s="115">
        <v>61301.671000000002</v>
      </c>
      <c r="S838" s="115">
        <v>61388.972000000002</v>
      </c>
      <c r="T838" s="115">
        <v>61474.150999999998</v>
      </c>
      <c r="U838" s="115">
        <v>61558.805</v>
      </c>
      <c r="V838" s="115">
        <v>61643.156000000003</v>
      </c>
      <c r="W838" s="115">
        <v>61727.451000000001</v>
      </c>
      <c r="X838" s="115">
        <v>61810.315000000002</v>
      </c>
      <c r="Y838" s="115">
        <v>61892.06</v>
      </c>
      <c r="Z838" s="115">
        <v>61972.485000000001</v>
      </c>
      <c r="AA838" s="115">
        <v>62051.705000000002</v>
      </c>
      <c r="AB838" s="115">
        <v>62129.563999999998</v>
      </c>
      <c r="AC838" s="115">
        <v>62174.211000000003</v>
      </c>
      <c r="AD838" s="43"/>
      <c r="AE838" s="43"/>
      <c r="AF838" s="43"/>
      <c r="AG838" s="43"/>
      <c r="AH838" s="43"/>
      <c r="AI838" s="43"/>
    </row>
    <row r="839" spans="1:35" x14ac:dyDescent="0.25">
      <c r="A839" s="115" t="s">
        <v>807</v>
      </c>
      <c r="B839" s="115"/>
      <c r="C839" s="115">
        <v>12951.481</v>
      </c>
      <c r="D839" s="115">
        <v>13048.212</v>
      </c>
      <c r="E839" s="115">
        <v>13145.343000000001</v>
      </c>
      <c r="F839" s="115">
        <v>13242.771000000001</v>
      </c>
      <c r="G839" s="115">
        <v>13340.49</v>
      </c>
      <c r="H839" s="115">
        <v>13438.539000000001</v>
      </c>
      <c r="I839" s="115">
        <v>13499.601000000001</v>
      </c>
      <c r="J839" s="115">
        <v>13561.005999999999</v>
      </c>
      <c r="K839" s="115">
        <v>13622.651</v>
      </c>
      <c r="L839" s="115">
        <v>13684.874</v>
      </c>
      <c r="M839" s="115">
        <v>13748.063</v>
      </c>
      <c r="N839" s="115">
        <v>13812.036</v>
      </c>
      <c r="O839" s="115">
        <v>13875.879000000001</v>
      </c>
      <c r="P839" s="115">
        <v>13939.5</v>
      </c>
      <c r="Q839" s="115">
        <v>14002.893</v>
      </c>
      <c r="R839" s="115">
        <v>14066.055</v>
      </c>
      <c r="S839" s="115">
        <v>14086.120999999999</v>
      </c>
      <c r="T839" s="115">
        <v>14105.591</v>
      </c>
      <c r="U839" s="115">
        <v>14124.831</v>
      </c>
      <c r="V839" s="115">
        <v>14143.876</v>
      </c>
      <c r="W839" s="115">
        <v>14162.777</v>
      </c>
      <c r="X839" s="115">
        <v>14181.242</v>
      </c>
      <c r="Y839" s="115">
        <v>14199.343000000001</v>
      </c>
      <c r="Z839" s="115">
        <v>14217</v>
      </c>
      <c r="AA839" s="115">
        <v>14234.245000000001</v>
      </c>
      <c r="AB839" s="115">
        <v>14251.025</v>
      </c>
      <c r="AC839" s="115">
        <v>14259.841</v>
      </c>
      <c r="AD839" s="43"/>
      <c r="AE839" s="43"/>
      <c r="AF839" s="43"/>
      <c r="AG839" s="43"/>
      <c r="AH839" s="43"/>
      <c r="AI839" s="43"/>
    </row>
    <row r="840" spans="1:35" x14ac:dyDescent="0.25">
      <c r="A840" s="115" t="s">
        <v>364</v>
      </c>
      <c r="B840" s="115">
        <v>0.38300000000000001</v>
      </c>
      <c r="C840" s="115">
        <v>0.61099999999999999</v>
      </c>
      <c r="D840" s="115">
        <v>0.92200000000000004</v>
      </c>
      <c r="E840" s="115">
        <v>1.236</v>
      </c>
      <c r="F840" s="115">
        <v>1.5720000000000001</v>
      </c>
      <c r="G840" s="115">
        <v>1.9119999999999999</v>
      </c>
      <c r="H840" s="115">
        <v>2.2570000000000001</v>
      </c>
      <c r="I840" s="115">
        <v>2.5979999999999999</v>
      </c>
      <c r="J840" s="115">
        <v>2.95</v>
      </c>
      <c r="K840" s="115">
        <v>3.3090000000000002</v>
      </c>
      <c r="L840" s="115">
        <v>3.677</v>
      </c>
      <c r="M840" s="115">
        <v>4.0519999999999996</v>
      </c>
      <c r="N840" s="115">
        <v>4.4340000000000002</v>
      </c>
      <c r="O840" s="115">
        <v>4.7329999999999997</v>
      </c>
      <c r="P840" s="115">
        <v>5.0359999999999996</v>
      </c>
      <c r="Q840" s="115">
        <v>5.34</v>
      </c>
      <c r="R840" s="115">
        <v>5.6150000000000002</v>
      </c>
      <c r="S840" s="115">
        <v>5.8970000000000002</v>
      </c>
      <c r="T840" s="115">
        <v>6.15</v>
      </c>
      <c r="U840" s="115">
        <v>6.4</v>
      </c>
      <c r="V840" s="115">
        <v>6.63</v>
      </c>
      <c r="W840" s="115">
        <v>6.8339999999999996</v>
      </c>
      <c r="X840" s="115">
        <v>6.95</v>
      </c>
      <c r="Y840" s="115">
        <v>7.0819999999999999</v>
      </c>
      <c r="Z840" s="115">
        <v>7.1989999999999998</v>
      </c>
      <c r="AA840" s="115">
        <v>7.3159999999999998</v>
      </c>
      <c r="AB840" s="115">
        <v>7.4340000000000002</v>
      </c>
      <c r="AC840" s="115">
        <v>7.548</v>
      </c>
      <c r="AD840" s="43"/>
      <c r="AE840" s="43"/>
      <c r="AF840" s="43"/>
      <c r="AG840" s="43"/>
      <c r="AH840" s="43"/>
      <c r="AI840" s="43"/>
    </row>
    <row r="841" spans="1:35" x14ac:dyDescent="0.25">
      <c r="A841" s="115" t="s">
        <v>366</v>
      </c>
      <c r="B841" s="115">
        <v>1.5329999999999999</v>
      </c>
      <c r="C841" s="115">
        <v>1.8260000000000001</v>
      </c>
      <c r="D841" s="115">
        <v>1.972</v>
      </c>
      <c r="E841" s="115">
        <v>2.121</v>
      </c>
      <c r="F841" s="115">
        <v>2.2810000000000001</v>
      </c>
      <c r="G841" s="115">
        <v>2.444</v>
      </c>
      <c r="H841" s="115">
        <v>2.6110000000000002</v>
      </c>
      <c r="I841" s="115">
        <v>2.7490000000000001</v>
      </c>
      <c r="J841" s="115">
        <v>2.8929999999999998</v>
      </c>
      <c r="K841" s="115">
        <v>3.0409999999999999</v>
      </c>
      <c r="L841" s="115">
        <v>3.1949999999999998</v>
      </c>
      <c r="M841" s="115">
        <v>3.355</v>
      </c>
      <c r="N841" s="115">
        <v>3.5190000000000001</v>
      </c>
      <c r="O841" s="115">
        <v>3.6440000000000001</v>
      </c>
      <c r="P841" s="115">
        <v>3.77</v>
      </c>
      <c r="Q841" s="115">
        <v>3.8969999999999998</v>
      </c>
      <c r="R841" s="115">
        <v>4.01</v>
      </c>
      <c r="S841" s="115">
        <v>4.1050000000000004</v>
      </c>
      <c r="T841" s="115">
        <v>4.1859999999999999</v>
      </c>
      <c r="U841" s="115">
        <v>4.2670000000000003</v>
      </c>
      <c r="V841" s="115">
        <v>4.3380000000000001</v>
      </c>
      <c r="W841" s="115">
        <v>4.3010000000000002</v>
      </c>
      <c r="X841" s="115">
        <v>4.343</v>
      </c>
      <c r="Y841" s="115">
        <v>4.3920000000000003</v>
      </c>
      <c r="Z841" s="115">
        <v>4.431</v>
      </c>
      <c r="AA841" s="115">
        <v>4.4690000000000003</v>
      </c>
      <c r="AB841" s="115">
        <v>4.5060000000000002</v>
      </c>
      <c r="AC841" s="115">
        <v>4.5380000000000003</v>
      </c>
      <c r="AD841" s="43"/>
      <c r="AE841" s="43"/>
      <c r="AF841" s="43"/>
      <c r="AG841" s="43"/>
      <c r="AH841" s="43"/>
      <c r="AI841" s="43"/>
    </row>
    <row r="842" spans="1:35" x14ac:dyDescent="0.25">
      <c r="A842" s="115" t="s">
        <v>368</v>
      </c>
      <c r="B842" s="115">
        <v>4.3840000000000003</v>
      </c>
      <c r="C842" s="115">
        <v>4.2060000000000004</v>
      </c>
      <c r="D842" s="115">
        <v>4.0540000000000003</v>
      </c>
      <c r="E842" s="115">
        <v>3.9020000000000001</v>
      </c>
      <c r="F842" s="115">
        <v>3.7519999999999998</v>
      </c>
      <c r="G842" s="115">
        <v>3.6019999999999999</v>
      </c>
      <c r="H842" s="115">
        <v>3.4510000000000001</v>
      </c>
      <c r="I842" s="115">
        <v>3.2989999999999999</v>
      </c>
      <c r="J842" s="115">
        <v>3.1459999999999999</v>
      </c>
      <c r="K842" s="115">
        <v>2.9929999999999999</v>
      </c>
      <c r="L842" s="115">
        <v>2.84</v>
      </c>
      <c r="M842" s="115">
        <v>2.6869999999999998</v>
      </c>
      <c r="N842" s="115">
        <v>2.5329999999999999</v>
      </c>
      <c r="O842" s="115">
        <v>2.37</v>
      </c>
      <c r="P842" s="115">
        <v>2.2080000000000002</v>
      </c>
      <c r="Q842" s="115">
        <v>2.0470000000000002</v>
      </c>
      <c r="R842" s="115">
        <v>1.885</v>
      </c>
      <c r="S842" s="115">
        <v>1.7230000000000001</v>
      </c>
      <c r="T842" s="115">
        <v>1.5620000000000001</v>
      </c>
      <c r="U842" s="115">
        <v>1.405</v>
      </c>
      <c r="V842" s="115">
        <v>1.2509999999999999</v>
      </c>
      <c r="W842" s="115">
        <v>1.208</v>
      </c>
      <c r="X842" s="115">
        <v>1.145</v>
      </c>
      <c r="Y842" s="115">
        <v>1.095</v>
      </c>
      <c r="Z842" s="115">
        <v>1.04</v>
      </c>
      <c r="AA842" s="115">
        <v>0.99299999999999999</v>
      </c>
      <c r="AB842" s="115">
        <v>0.95399999999999996</v>
      </c>
      <c r="AC842" s="115">
        <v>0.92200000000000004</v>
      </c>
      <c r="AD842" s="43"/>
      <c r="AE842" s="43"/>
      <c r="AF842" s="43"/>
      <c r="AG842" s="43"/>
      <c r="AH842" s="43"/>
      <c r="AI842" s="43"/>
    </row>
    <row r="843" spans="1:35" x14ac:dyDescent="0.25">
      <c r="A843" s="115" t="s">
        <v>621</v>
      </c>
      <c r="B843" s="115">
        <v>0.26600000000000001</v>
      </c>
      <c r="C843" s="115">
        <v>0.26600000000000001</v>
      </c>
      <c r="D843" s="115">
        <v>0.26600000000000001</v>
      </c>
      <c r="E843" s="115">
        <v>0.26600000000000001</v>
      </c>
      <c r="F843" s="115">
        <v>0.26600000000000001</v>
      </c>
      <c r="G843" s="115">
        <v>0.26600000000000001</v>
      </c>
      <c r="H843" s="115">
        <v>0.26600000000000001</v>
      </c>
      <c r="I843" s="115">
        <v>0.26600000000000001</v>
      </c>
      <c r="J843" s="115">
        <v>0.26600000000000001</v>
      </c>
      <c r="K843" s="115">
        <v>0.26600000000000001</v>
      </c>
      <c r="L843" s="115">
        <v>0.26600000000000001</v>
      </c>
      <c r="M843" s="115">
        <v>0.26600000000000001</v>
      </c>
      <c r="N843" s="115">
        <v>0.26600000000000001</v>
      </c>
      <c r="O843" s="115">
        <v>0.26500000000000001</v>
      </c>
      <c r="P843" s="115">
        <v>0.26500000000000001</v>
      </c>
      <c r="Q843" s="115">
        <v>0.26500000000000001</v>
      </c>
      <c r="R843" s="115">
        <v>0.26500000000000001</v>
      </c>
      <c r="S843" s="115">
        <v>0.26500000000000001</v>
      </c>
      <c r="T843" s="115">
        <v>0.26500000000000001</v>
      </c>
      <c r="U843" s="115">
        <v>0.26500000000000001</v>
      </c>
      <c r="V843" s="115">
        <v>0.26500000000000001</v>
      </c>
      <c r="W843" s="115">
        <v>0.26500000000000001</v>
      </c>
      <c r="X843" s="115">
        <v>0.26500000000000001</v>
      </c>
      <c r="Y843" s="115">
        <v>0.26500000000000001</v>
      </c>
      <c r="Z843" s="115">
        <v>0.26500000000000001</v>
      </c>
      <c r="AA843" s="115">
        <v>0.26500000000000001</v>
      </c>
      <c r="AB843" s="115">
        <v>0.26500000000000001</v>
      </c>
      <c r="AC843" s="115">
        <v>0.26500000000000001</v>
      </c>
      <c r="AD843" s="43"/>
      <c r="AE843" s="43"/>
      <c r="AF843" s="43"/>
      <c r="AG843" s="43"/>
      <c r="AH843" s="43"/>
      <c r="AI843" s="43"/>
    </row>
    <row r="844" spans="1:35" x14ac:dyDescent="0.25">
      <c r="A844" s="115" t="s">
        <v>371</v>
      </c>
      <c r="B844" s="115">
        <v>4.883</v>
      </c>
      <c r="C844" s="115">
        <v>4.8150000000000004</v>
      </c>
      <c r="D844" s="115">
        <v>4.8179999999999996</v>
      </c>
      <c r="E844" s="115">
        <v>4.8140000000000001</v>
      </c>
      <c r="F844" s="115">
        <v>4.7720000000000002</v>
      </c>
      <c r="G844" s="115">
        <v>4.7229999999999999</v>
      </c>
      <c r="H844" s="115">
        <v>4.6630000000000003</v>
      </c>
      <c r="I844" s="115">
        <v>4.593</v>
      </c>
      <c r="J844" s="115">
        <v>4.5060000000000002</v>
      </c>
      <c r="K844" s="115">
        <v>4.4050000000000002</v>
      </c>
      <c r="L844" s="115">
        <v>4.29</v>
      </c>
      <c r="M844" s="115">
        <v>4.1619999999999999</v>
      </c>
      <c r="N844" s="115">
        <v>4.0199999999999996</v>
      </c>
      <c r="O844" s="115">
        <v>3.8159999999999998</v>
      </c>
      <c r="P844" s="115">
        <v>3.6059999999999999</v>
      </c>
      <c r="Q844" s="115">
        <v>3.3919999999999999</v>
      </c>
      <c r="R844" s="115">
        <v>3.2240000000000002</v>
      </c>
      <c r="S844" s="115">
        <v>3.0070000000000001</v>
      </c>
      <c r="T844" s="115">
        <v>2.8330000000000002</v>
      </c>
      <c r="U844" s="115">
        <v>2.6619999999999999</v>
      </c>
      <c r="V844" s="115">
        <v>2.5179999999999998</v>
      </c>
      <c r="W844" s="115">
        <v>2.403</v>
      </c>
      <c r="X844" s="115">
        <v>2.3159999999999998</v>
      </c>
      <c r="Y844" s="115">
        <v>2.194</v>
      </c>
      <c r="Z844" s="115">
        <v>2.1019999999999999</v>
      </c>
      <c r="AA844" s="115">
        <v>2.004</v>
      </c>
      <c r="AB844" s="115">
        <v>1.897</v>
      </c>
      <c r="AC844" s="115">
        <v>1.7829999999999999</v>
      </c>
      <c r="AD844" s="43"/>
      <c r="AE844" s="43"/>
      <c r="AF844" s="43"/>
      <c r="AG844" s="43"/>
      <c r="AH844" s="43"/>
      <c r="AI844" s="43"/>
    </row>
    <row r="845" spans="1:35" x14ac:dyDescent="0.25">
      <c r="A845" s="115" t="s">
        <v>375</v>
      </c>
      <c r="B845" s="115">
        <v>2.4590000000000001</v>
      </c>
      <c r="C845" s="115">
        <v>2.2480000000000002</v>
      </c>
      <c r="D845" s="115">
        <v>2.0379999999999998</v>
      </c>
      <c r="E845" s="115">
        <v>1.83</v>
      </c>
      <c r="F845" s="115">
        <v>1.6220000000000001</v>
      </c>
      <c r="G845" s="115">
        <v>1.4159999999999999</v>
      </c>
      <c r="H845" s="115">
        <v>1.2110000000000001</v>
      </c>
      <c r="I845" s="115">
        <v>1.008</v>
      </c>
      <c r="J845" s="115">
        <v>0.80500000000000005</v>
      </c>
      <c r="K845" s="115">
        <v>0.60199999999999998</v>
      </c>
      <c r="L845" s="115">
        <v>0.4</v>
      </c>
      <c r="M845" s="115">
        <v>0.19900000000000001</v>
      </c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43"/>
      <c r="AE845" s="43"/>
      <c r="AF845" s="43"/>
      <c r="AG845" s="43"/>
      <c r="AH845" s="43"/>
      <c r="AI845" s="43"/>
    </row>
    <row r="846" spans="1:35" x14ac:dyDescent="0.25">
      <c r="A846" s="115" t="s">
        <v>378</v>
      </c>
      <c r="B846" s="115">
        <v>2.7330000000000001</v>
      </c>
      <c r="C846" s="115">
        <v>2.7629999999999999</v>
      </c>
      <c r="D846" s="115">
        <v>2.782</v>
      </c>
      <c r="E846" s="115">
        <v>2.8</v>
      </c>
      <c r="F846" s="115">
        <v>2.82</v>
      </c>
      <c r="G846" s="115">
        <v>2.84</v>
      </c>
      <c r="H846" s="115">
        <v>2.86</v>
      </c>
      <c r="I846" s="115">
        <v>2.8759999999999999</v>
      </c>
      <c r="J846" s="115">
        <v>2.8929999999999998</v>
      </c>
      <c r="K846" s="115">
        <v>2.91</v>
      </c>
      <c r="L846" s="115">
        <v>2.927</v>
      </c>
      <c r="M846" s="115">
        <v>2.944</v>
      </c>
      <c r="N846" s="115">
        <v>2.9620000000000002</v>
      </c>
      <c r="O846" s="115">
        <v>2.9750000000000001</v>
      </c>
      <c r="P846" s="115">
        <v>2.988</v>
      </c>
      <c r="Q846" s="115">
        <v>3.0019999999999998</v>
      </c>
      <c r="R846" s="115">
        <v>3.0139999999999998</v>
      </c>
      <c r="S846" s="115">
        <v>3.024</v>
      </c>
      <c r="T846" s="115">
        <v>3.0310000000000001</v>
      </c>
      <c r="U846" s="115">
        <v>3.0390000000000001</v>
      </c>
      <c r="V846" s="115">
        <v>3.0449999999999999</v>
      </c>
      <c r="W846" s="115">
        <v>3.0449999999999999</v>
      </c>
      <c r="X846" s="115">
        <v>3.0449999999999999</v>
      </c>
      <c r="Y846" s="115">
        <v>3.0449999999999999</v>
      </c>
      <c r="Z846" s="115">
        <v>3.044</v>
      </c>
      <c r="AA846" s="115">
        <v>3.0430000000000001</v>
      </c>
      <c r="AB846" s="115">
        <v>3.0419999999999998</v>
      </c>
      <c r="AC846" s="115">
        <v>3.0390000000000001</v>
      </c>
      <c r="AD846" s="43"/>
      <c r="AE846" s="43"/>
      <c r="AF846" s="43"/>
      <c r="AG846" s="43"/>
      <c r="AH846" s="43"/>
      <c r="AI846" s="43"/>
    </row>
    <row r="847" spans="1:35" x14ac:dyDescent="0.25">
      <c r="A847" s="115" t="s">
        <v>615</v>
      </c>
      <c r="B847" s="115">
        <v>22.123000000000001</v>
      </c>
      <c r="C847" s="115">
        <v>21.446999999999999</v>
      </c>
      <c r="D847" s="115">
        <v>20.911000000000001</v>
      </c>
      <c r="E847" s="115">
        <v>20.23</v>
      </c>
      <c r="F847" s="115">
        <v>19.515999999999998</v>
      </c>
      <c r="G847" s="115">
        <v>18.757000000000001</v>
      </c>
      <c r="H847" s="115">
        <v>17.965</v>
      </c>
      <c r="I847" s="115">
        <v>17.117999999999999</v>
      </c>
      <c r="J847" s="115">
        <v>16.251000000000001</v>
      </c>
      <c r="K847" s="115">
        <v>15.339</v>
      </c>
      <c r="L847" s="115">
        <v>14.441000000000001</v>
      </c>
      <c r="M847" s="115">
        <v>13.544</v>
      </c>
      <c r="N847" s="115">
        <v>12.667</v>
      </c>
      <c r="O847" s="115">
        <v>11.952</v>
      </c>
      <c r="P847" s="115">
        <v>11.096</v>
      </c>
      <c r="Q847" s="115">
        <v>10.308999999999999</v>
      </c>
      <c r="R847" s="115">
        <v>9.6210000000000004</v>
      </c>
      <c r="S847" s="115">
        <v>8.7829999999999995</v>
      </c>
      <c r="T847" s="115">
        <v>8.1310000000000002</v>
      </c>
      <c r="U847" s="115">
        <v>7.52</v>
      </c>
      <c r="V847" s="115">
        <v>6.9930000000000003</v>
      </c>
      <c r="W847" s="115">
        <v>6.6580000000000004</v>
      </c>
      <c r="X847" s="115">
        <v>6.3319999999999999</v>
      </c>
      <c r="Y847" s="115">
        <v>6.0060000000000002</v>
      </c>
      <c r="Z847" s="115">
        <v>5.7110000000000003</v>
      </c>
      <c r="AA847" s="115">
        <v>5.431</v>
      </c>
      <c r="AB847" s="115">
        <v>5.1660000000000004</v>
      </c>
      <c r="AC847" s="115">
        <v>4.9080000000000004</v>
      </c>
      <c r="AD847" s="43"/>
      <c r="AE847" s="43"/>
      <c r="AF847" s="43"/>
      <c r="AG847" s="43"/>
      <c r="AH847" s="43"/>
      <c r="AI847" s="43"/>
    </row>
    <row r="848" spans="1:35" x14ac:dyDescent="0.25">
      <c r="A848" s="115" t="s">
        <v>19</v>
      </c>
      <c r="B848" s="115">
        <v>2.7330000000000001</v>
      </c>
      <c r="C848" s="115">
        <v>2.7629999999999999</v>
      </c>
      <c r="D848" s="115">
        <v>2.782</v>
      </c>
      <c r="E848" s="115">
        <v>2.8</v>
      </c>
      <c r="F848" s="115">
        <v>2.82</v>
      </c>
      <c r="G848" s="115">
        <v>2.84</v>
      </c>
      <c r="H848" s="115">
        <v>2.86</v>
      </c>
      <c r="I848" s="115">
        <v>2.8759999999999999</v>
      </c>
      <c r="J848" s="115">
        <v>2.8929999999999998</v>
      </c>
      <c r="K848" s="115">
        <v>2.91</v>
      </c>
      <c r="L848" s="115">
        <v>2.927</v>
      </c>
      <c r="M848" s="115">
        <v>2.944</v>
      </c>
      <c r="N848" s="115">
        <v>2.9620000000000002</v>
      </c>
      <c r="O848" s="115">
        <v>2.9750000000000001</v>
      </c>
      <c r="P848" s="115">
        <v>2.988</v>
      </c>
      <c r="Q848" s="115">
        <v>3.0019999999999998</v>
      </c>
      <c r="R848" s="115">
        <v>3.0139999999999998</v>
      </c>
      <c r="S848" s="115">
        <v>3.024</v>
      </c>
      <c r="T848" s="115">
        <v>3.0310000000000001</v>
      </c>
      <c r="U848" s="115">
        <v>3.0390000000000001</v>
      </c>
      <c r="V848" s="115">
        <v>3.0449999999999999</v>
      </c>
      <c r="W848" s="115">
        <v>3.0449999999999999</v>
      </c>
      <c r="X848" s="115">
        <v>3.0449999999999999</v>
      </c>
      <c r="Y848" s="115">
        <v>3.0449999999999999</v>
      </c>
      <c r="Z848" s="115">
        <v>3.044</v>
      </c>
      <c r="AA848" s="115">
        <v>3.0430000000000001</v>
      </c>
      <c r="AB848" s="115">
        <v>3.0419999999999998</v>
      </c>
      <c r="AC848" s="115">
        <v>3.0390000000000001</v>
      </c>
      <c r="AD848" s="43"/>
      <c r="AE848" s="43"/>
      <c r="AF848" s="43"/>
      <c r="AG848" s="43"/>
      <c r="AH848" s="43"/>
      <c r="AI848" s="43"/>
    </row>
    <row r="849" spans="1:35" x14ac:dyDescent="0.25">
      <c r="A849" s="115" t="s">
        <v>620</v>
      </c>
      <c r="B849" s="115">
        <v>2.7330000000000001</v>
      </c>
      <c r="C849" s="115">
        <v>2.7629999999999999</v>
      </c>
      <c r="D849" s="115">
        <v>2.782</v>
      </c>
      <c r="E849" s="115">
        <v>2.8</v>
      </c>
      <c r="F849" s="115">
        <v>2.82</v>
      </c>
      <c r="G849" s="115">
        <v>2.84</v>
      </c>
      <c r="H849" s="115">
        <v>2.86</v>
      </c>
      <c r="I849" s="115">
        <v>2.8759999999999999</v>
      </c>
      <c r="J849" s="115">
        <v>2.8929999999999998</v>
      </c>
      <c r="K849" s="115">
        <v>2.91</v>
      </c>
      <c r="L849" s="115">
        <v>2.927</v>
      </c>
      <c r="M849" s="115">
        <v>2.944</v>
      </c>
      <c r="N849" s="115">
        <v>2.9620000000000002</v>
      </c>
      <c r="O849" s="115">
        <v>2.9750000000000001</v>
      </c>
      <c r="P849" s="115">
        <v>2.988</v>
      </c>
      <c r="Q849" s="115">
        <v>3.0019999999999998</v>
      </c>
      <c r="R849" s="115">
        <v>3.0139999999999998</v>
      </c>
      <c r="S849" s="115">
        <v>3.024</v>
      </c>
      <c r="T849" s="115">
        <v>3.0310000000000001</v>
      </c>
      <c r="U849" s="115">
        <v>3.0390000000000001</v>
      </c>
      <c r="V849" s="115">
        <v>3.0449999999999999</v>
      </c>
      <c r="W849" s="115">
        <v>3.0449999999999999</v>
      </c>
      <c r="X849" s="115">
        <v>3.0449999999999999</v>
      </c>
      <c r="Y849" s="115">
        <v>3.0449999999999999</v>
      </c>
      <c r="Z849" s="115">
        <v>3.044</v>
      </c>
      <c r="AA849" s="115">
        <v>3.0430000000000001</v>
      </c>
      <c r="AB849" s="115">
        <v>3.0419999999999998</v>
      </c>
      <c r="AC849" s="115">
        <v>3.0390000000000001</v>
      </c>
      <c r="AD849" s="43"/>
      <c r="AE849" s="43"/>
      <c r="AF849" s="43"/>
      <c r="AG849" s="43"/>
      <c r="AH849" s="43"/>
      <c r="AI849" s="43"/>
    </row>
    <row r="850" spans="1:35" x14ac:dyDescent="0.25">
      <c r="A850" s="115" t="s">
        <v>761</v>
      </c>
      <c r="B850" s="115"/>
      <c r="C850" s="115">
        <v>2.9569999999999999</v>
      </c>
      <c r="D850" s="115">
        <v>0</v>
      </c>
      <c r="E850" s="115">
        <v>0</v>
      </c>
      <c r="F850" s="115">
        <v>0</v>
      </c>
      <c r="G850" s="115">
        <v>0</v>
      </c>
      <c r="H850" s="115">
        <v>0</v>
      </c>
      <c r="I850" s="115">
        <v>0</v>
      </c>
      <c r="J850" s="115">
        <v>0</v>
      </c>
      <c r="K850" s="115">
        <v>0</v>
      </c>
      <c r="L850" s="115">
        <v>0</v>
      </c>
      <c r="M850" s="115">
        <v>0</v>
      </c>
      <c r="N850" s="115">
        <v>0</v>
      </c>
      <c r="O850" s="115">
        <v>0</v>
      </c>
      <c r="P850" s="115">
        <v>0</v>
      </c>
      <c r="Q850" s="115">
        <v>0</v>
      </c>
      <c r="R850" s="115">
        <v>0</v>
      </c>
      <c r="S850" s="115">
        <v>0</v>
      </c>
      <c r="T850" s="115">
        <v>0</v>
      </c>
      <c r="U850" s="115">
        <v>0</v>
      </c>
      <c r="V850" s="115">
        <v>0</v>
      </c>
      <c r="W850" s="115">
        <v>0</v>
      </c>
      <c r="X850" s="115">
        <v>0</v>
      </c>
      <c r="Y850" s="115">
        <v>0</v>
      </c>
      <c r="Z850" s="115">
        <v>0</v>
      </c>
      <c r="AA850" s="115">
        <v>0</v>
      </c>
      <c r="AB850" s="115">
        <v>0</v>
      </c>
      <c r="AC850" s="115">
        <v>0</v>
      </c>
      <c r="AD850" s="43"/>
      <c r="AE850" s="43"/>
      <c r="AF850" s="43"/>
      <c r="AG850" s="43"/>
      <c r="AH850" s="43"/>
      <c r="AI850" s="43"/>
    </row>
    <row r="851" spans="1:35" x14ac:dyDescent="0.25">
      <c r="A851" s="115" t="s">
        <v>739</v>
      </c>
      <c r="B851" s="115"/>
      <c r="C851" s="115">
        <v>1.992</v>
      </c>
      <c r="D851" s="115">
        <v>0</v>
      </c>
      <c r="E851" s="115">
        <v>0</v>
      </c>
      <c r="F851" s="115">
        <v>0</v>
      </c>
      <c r="G851" s="115">
        <v>0</v>
      </c>
      <c r="H851" s="115">
        <v>0</v>
      </c>
      <c r="I851" s="115">
        <v>0</v>
      </c>
      <c r="J851" s="115">
        <v>0</v>
      </c>
      <c r="K851" s="115">
        <v>0</v>
      </c>
      <c r="L851" s="115">
        <v>0</v>
      </c>
      <c r="M851" s="115">
        <v>0</v>
      </c>
      <c r="N851" s="115">
        <v>0</v>
      </c>
      <c r="O851" s="115">
        <v>0</v>
      </c>
      <c r="P851" s="115">
        <v>0</v>
      </c>
      <c r="Q851" s="115">
        <v>0</v>
      </c>
      <c r="R851" s="115">
        <v>0</v>
      </c>
      <c r="S851" s="115">
        <v>0</v>
      </c>
      <c r="T851" s="115">
        <v>0</v>
      </c>
      <c r="U851" s="115">
        <v>0</v>
      </c>
      <c r="V851" s="115">
        <v>0</v>
      </c>
      <c r="W851" s="115">
        <v>0</v>
      </c>
      <c r="X851" s="115">
        <v>0</v>
      </c>
      <c r="Y851" s="115">
        <v>0</v>
      </c>
      <c r="Z851" s="115">
        <v>0</v>
      </c>
      <c r="AA851" s="115">
        <v>0</v>
      </c>
      <c r="AB851" s="115">
        <v>0</v>
      </c>
      <c r="AC851" s="115">
        <v>0</v>
      </c>
      <c r="AD851" s="43"/>
      <c r="AE851" s="43"/>
      <c r="AF851" s="43"/>
      <c r="AG851" s="43"/>
      <c r="AH851" s="43"/>
      <c r="AI851" s="43"/>
    </row>
    <row r="852" spans="1:35" x14ac:dyDescent="0.25">
      <c r="A852" s="115" t="s">
        <v>770</v>
      </c>
      <c r="B852" s="115"/>
      <c r="C852" s="115">
        <v>3.3149999999999999</v>
      </c>
      <c r="D852" s="115">
        <v>0</v>
      </c>
      <c r="E852" s="115">
        <v>0</v>
      </c>
      <c r="F852" s="115">
        <v>0</v>
      </c>
      <c r="G852" s="115">
        <v>0</v>
      </c>
      <c r="H852" s="115">
        <v>0</v>
      </c>
      <c r="I852" s="115">
        <v>0</v>
      </c>
      <c r="J852" s="115">
        <v>0</v>
      </c>
      <c r="K852" s="115">
        <v>0</v>
      </c>
      <c r="L852" s="115">
        <v>0</v>
      </c>
      <c r="M852" s="115">
        <v>0</v>
      </c>
      <c r="N852" s="115">
        <v>0</v>
      </c>
      <c r="O852" s="115">
        <v>0</v>
      </c>
      <c r="P852" s="115">
        <v>0</v>
      </c>
      <c r="Q852" s="115">
        <v>0</v>
      </c>
      <c r="R852" s="115">
        <v>0</v>
      </c>
      <c r="S852" s="115">
        <v>0</v>
      </c>
      <c r="T852" s="115">
        <v>0</v>
      </c>
      <c r="U852" s="115">
        <v>0</v>
      </c>
      <c r="V852" s="115">
        <v>0</v>
      </c>
      <c r="W852" s="115">
        <v>0</v>
      </c>
      <c r="X852" s="115">
        <v>0</v>
      </c>
      <c r="Y852" s="115">
        <v>0</v>
      </c>
      <c r="Z852" s="115">
        <v>0</v>
      </c>
      <c r="AA852" s="115">
        <v>0</v>
      </c>
      <c r="AB852" s="115">
        <v>0</v>
      </c>
      <c r="AC852" s="115">
        <v>0</v>
      </c>
      <c r="AD852" s="43"/>
      <c r="AE852" s="43"/>
      <c r="AF852" s="43"/>
      <c r="AG852" s="43"/>
      <c r="AH852" s="43"/>
      <c r="AI852" s="43"/>
    </row>
    <row r="853" spans="1:35" x14ac:dyDescent="0.25">
      <c r="A853" s="115" t="s">
        <v>762</v>
      </c>
      <c r="B853" s="115"/>
      <c r="C853" s="115">
        <v>0</v>
      </c>
      <c r="D853" s="115">
        <v>0</v>
      </c>
      <c r="E853" s="115">
        <v>0</v>
      </c>
      <c r="F853" s="115">
        <v>0</v>
      </c>
      <c r="G853" s="115">
        <v>0</v>
      </c>
      <c r="H853" s="115">
        <v>0</v>
      </c>
      <c r="I853" s="115">
        <v>0</v>
      </c>
      <c r="J853" s="115">
        <v>0</v>
      </c>
      <c r="K853" s="115">
        <v>0</v>
      </c>
      <c r="L853" s="115">
        <v>0</v>
      </c>
      <c r="M853" s="115">
        <v>0</v>
      </c>
      <c r="N853" s="115">
        <v>0</v>
      </c>
      <c r="O853" s="115">
        <v>0</v>
      </c>
      <c r="P853" s="115">
        <v>0</v>
      </c>
      <c r="Q853" s="115">
        <v>0</v>
      </c>
      <c r="R853" s="115">
        <v>0</v>
      </c>
      <c r="S853" s="115">
        <v>0</v>
      </c>
      <c r="T853" s="115">
        <v>0</v>
      </c>
      <c r="U853" s="115">
        <v>0</v>
      </c>
      <c r="V853" s="115">
        <v>0</v>
      </c>
      <c r="W853" s="115">
        <v>0</v>
      </c>
      <c r="X853" s="115">
        <v>0</v>
      </c>
      <c r="Y853" s="115">
        <v>0</v>
      </c>
      <c r="Z853" s="115">
        <v>0</v>
      </c>
      <c r="AA853" s="115">
        <v>0</v>
      </c>
      <c r="AB853" s="115">
        <v>0</v>
      </c>
      <c r="AC853" s="115">
        <v>0</v>
      </c>
      <c r="AD853" s="43"/>
      <c r="AE853" s="43"/>
      <c r="AF853" s="43"/>
      <c r="AG853" s="43"/>
      <c r="AH853" s="43"/>
      <c r="AI853" s="43"/>
    </row>
    <row r="854" spans="1:35" x14ac:dyDescent="0.25">
      <c r="A854" s="115" t="s">
        <v>742</v>
      </c>
      <c r="B854" s="115"/>
      <c r="C854" s="115">
        <v>0.98</v>
      </c>
      <c r="D854" s="115">
        <v>0.77500000000000002</v>
      </c>
      <c r="E854" s="115">
        <v>1.139</v>
      </c>
      <c r="F854" s="115">
        <v>1.2050000000000001</v>
      </c>
      <c r="G854" s="115">
        <v>1.1539999999999999</v>
      </c>
      <c r="H854" s="115">
        <v>1.075</v>
      </c>
      <c r="I854" s="115">
        <v>1.23</v>
      </c>
      <c r="J854" s="115">
        <v>1.5229999999999999</v>
      </c>
      <c r="K854" s="115">
        <v>1.462</v>
      </c>
      <c r="L854" s="115">
        <v>1.3859999999999999</v>
      </c>
      <c r="M854" s="115">
        <v>1.359</v>
      </c>
      <c r="N854" s="115">
        <v>1.2669999999999999</v>
      </c>
      <c r="O854" s="115">
        <v>1.284</v>
      </c>
      <c r="P854" s="115">
        <v>1.7829999999999999</v>
      </c>
      <c r="Q854" s="115">
        <v>1.679</v>
      </c>
      <c r="R854" s="115">
        <v>1.62</v>
      </c>
      <c r="S854" s="115">
        <v>2.2850000000000001</v>
      </c>
      <c r="T854" s="115">
        <v>1.7869999999999999</v>
      </c>
      <c r="U854" s="115">
        <v>1.7010000000000001</v>
      </c>
      <c r="V854" s="115">
        <v>1.5029999999999999</v>
      </c>
      <c r="W854" s="115">
        <v>1.4930000000000001</v>
      </c>
      <c r="X854" s="115">
        <v>1.4279999999999999</v>
      </c>
      <c r="Y854" s="115">
        <v>1.365</v>
      </c>
      <c r="Z854" s="115">
        <v>1.3069999999999999</v>
      </c>
      <c r="AA854" s="115">
        <v>1.2529999999999999</v>
      </c>
      <c r="AB854" s="115">
        <v>1.202</v>
      </c>
      <c r="AC854" s="115">
        <v>1.159</v>
      </c>
      <c r="AD854" s="43"/>
      <c r="AE854" s="43"/>
      <c r="AF854" s="43"/>
      <c r="AG854" s="43"/>
      <c r="AH854" s="43"/>
      <c r="AI854" s="43"/>
    </row>
    <row r="855" spans="1:35" x14ac:dyDescent="0.25">
      <c r="A855" s="115" t="s">
        <v>766</v>
      </c>
      <c r="B855" s="115"/>
      <c r="C855" s="115">
        <v>0.98</v>
      </c>
      <c r="D855" s="115">
        <v>0.77500000000000002</v>
      </c>
      <c r="E855" s="115">
        <v>1.139</v>
      </c>
      <c r="F855" s="115">
        <v>1.2050000000000001</v>
      </c>
      <c r="G855" s="115">
        <v>1.1539999999999999</v>
      </c>
      <c r="H855" s="115">
        <v>1.075</v>
      </c>
      <c r="I855" s="115">
        <v>1.23</v>
      </c>
      <c r="J855" s="115">
        <v>1.5229999999999999</v>
      </c>
      <c r="K855" s="115">
        <v>1.462</v>
      </c>
      <c r="L855" s="115">
        <v>1.3859999999999999</v>
      </c>
      <c r="M855" s="115">
        <v>1.359</v>
      </c>
      <c r="N855" s="115">
        <v>1.2669999999999999</v>
      </c>
      <c r="O855" s="115">
        <v>1.284</v>
      </c>
      <c r="P855" s="115">
        <v>1.7829999999999999</v>
      </c>
      <c r="Q855" s="115">
        <v>1.679</v>
      </c>
      <c r="R855" s="115">
        <v>1.62</v>
      </c>
      <c r="S855" s="115">
        <v>2.2850000000000001</v>
      </c>
      <c r="T855" s="115">
        <v>1.7869999999999999</v>
      </c>
      <c r="U855" s="115">
        <v>1.7010000000000001</v>
      </c>
      <c r="V855" s="115">
        <v>1.5029999999999999</v>
      </c>
      <c r="W855" s="115">
        <v>1.4930000000000001</v>
      </c>
      <c r="X855" s="115">
        <v>1.4279999999999999</v>
      </c>
      <c r="Y855" s="115">
        <v>1.365</v>
      </c>
      <c r="Z855" s="115">
        <v>1.3069999999999999</v>
      </c>
      <c r="AA855" s="115">
        <v>1.2529999999999999</v>
      </c>
      <c r="AB855" s="115">
        <v>1.202</v>
      </c>
      <c r="AC855" s="115">
        <v>1.159</v>
      </c>
      <c r="AD855" s="43"/>
      <c r="AE855" s="43"/>
      <c r="AF855" s="43"/>
      <c r="AG855" s="43"/>
      <c r="AH855" s="43"/>
      <c r="AI855" s="43"/>
    </row>
    <row r="856" spans="1:35" x14ac:dyDescent="0.25">
      <c r="A856" s="115" t="s">
        <v>765</v>
      </c>
      <c r="B856" s="115"/>
      <c r="C856" s="115">
        <v>4.9489999999999998</v>
      </c>
      <c r="D856" s="115">
        <v>0</v>
      </c>
      <c r="E856" s="115">
        <v>0</v>
      </c>
      <c r="F856" s="115">
        <v>0</v>
      </c>
      <c r="G856" s="115">
        <v>0</v>
      </c>
      <c r="H856" s="115">
        <v>0</v>
      </c>
      <c r="I856" s="115">
        <v>0</v>
      </c>
      <c r="J856" s="115">
        <v>0</v>
      </c>
      <c r="K856" s="115">
        <v>0</v>
      </c>
      <c r="L856" s="115">
        <v>0</v>
      </c>
      <c r="M856" s="115">
        <v>0</v>
      </c>
      <c r="N856" s="115">
        <v>0</v>
      </c>
      <c r="O856" s="115">
        <v>0</v>
      </c>
      <c r="P856" s="115">
        <v>0</v>
      </c>
      <c r="Q856" s="115">
        <v>0</v>
      </c>
      <c r="R856" s="115">
        <v>0</v>
      </c>
      <c r="S856" s="115">
        <v>0</v>
      </c>
      <c r="T856" s="115">
        <v>0</v>
      </c>
      <c r="U856" s="115">
        <v>0</v>
      </c>
      <c r="V856" s="115">
        <v>0</v>
      </c>
      <c r="W856" s="115">
        <v>0</v>
      </c>
      <c r="X856" s="115">
        <v>0</v>
      </c>
      <c r="Y856" s="115">
        <v>0</v>
      </c>
      <c r="Z856" s="115">
        <v>0</v>
      </c>
      <c r="AA856" s="115">
        <v>0</v>
      </c>
      <c r="AB856" s="115">
        <v>0</v>
      </c>
      <c r="AC856" s="115">
        <v>0</v>
      </c>
      <c r="AD856" s="43"/>
      <c r="AE856" s="43"/>
      <c r="AF856" s="43"/>
      <c r="AG856" s="43"/>
      <c r="AH856" s="43"/>
      <c r="AI856" s="43"/>
    </row>
    <row r="857" spans="1:35" x14ac:dyDescent="0.25">
      <c r="A857" s="115" t="s">
        <v>1159</v>
      </c>
      <c r="B857" s="115"/>
      <c r="C857" s="115">
        <v>693.82</v>
      </c>
      <c r="D857" s="115">
        <v>0</v>
      </c>
      <c r="E857" s="115">
        <v>0</v>
      </c>
      <c r="F857" s="115">
        <v>0</v>
      </c>
      <c r="G857" s="115">
        <v>0</v>
      </c>
      <c r="H857" s="115">
        <v>0</v>
      </c>
      <c r="I857" s="115">
        <v>0</v>
      </c>
      <c r="J857" s="115">
        <v>0</v>
      </c>
      <c r="K857" s="115">
        <v>0</v>
      </c>
      <c r="L857" s="115">
        <v>0</v>
      </c>
      <c r="M857" s="115">
        <v>0</v>
      </c>
      <c r="N857" s="115">
        <v>0</v>
      </c>
      <c r="O857" s="115">
        <v>0</v>
      </c>
      <c r="P857" s="115">
        <v>0</v>
      </c>
      <c r="Q857" s="115">
        <v>0</v>
      </c>
      <c r="R857" s="115">
        <v>0</v>
      </c>
      <c r="S857" s="115">
        <v>0</v>
      </c>
      <c r="T857" s="115">
        <v>0</v>
      </c>
      <c r="U857" s="115">
        <v>0</v>
      </c>
      <c r="V857" s="115">
        <v>0</v>
      </c>
      <c r="W857" s="115">
        <v>0</v>
      </c>
      <c r="X857" s="115">
        <v>0</v>
      </c>
      <c r="Y857" s="115">
        <v>0</v>
      </c>
      <c r="Z857" s="115">
        <v>0</v>
      </c>
      <c r="AA857" s="115">
        <v>0</v>
      </c>
      <c r="AB857" s="115">
        <v>0</v>
      </c>
      <c r="AC857" s="115">
        <v>0</v>
      </c>
      <c r="AD857" s="43"/>
      <c r="AE857" s="43"/>
      <c r="AF857" s="43"/>
      <c r="AG857" s="43"/>
      <c r="AH857" s="43"/>
      <c r="AI857" s="43"/>
    </row>
    <row r="858" spans="1:35" x14ac:dyDescent="0.25">
      <c r="A858" s="115" t="s">
        <v>1160</v>
      </c>
      <c r="B858" s="115"/>
      <c r="C858" s="115">
        <v>959.88900000000001</v>
      </c>
      <c r="D858" s="115">
        <v>0</v>
      </c>
      <c r="E858" s="115">
        <v>0</v>
      </c>
      <c r="F858" s="115">
        <v>0</v>
      </c>
      <c r="G858" s="115">
        <v>0</v>
      </c>
      <c r="H858" s="115">
        <v>0</v>
      </c>
      <c r="I858" s="115">
        <v>0</v>
      </c>
      <c r="J858" s="115">
        <v>0</v>
      </c>
      <c r="K858" s="115">
        <v>0</v>
      </c>
      <c r="L858" s="115">
        <v>0</v>
      </c>
      <c r="M858" s="115">
        <v>0</v>
      </c>
      <c r="N858" s="115">
        <v>0</v>
      </c>
      <c r="O858" s="115">
        <v>0</v>
      </c>
      <c r="P858" s="115">
        <v>0</v>
      </c>
      <c r="Q858" s="115">
        <v>0</v>
      </c>
      <c r="R858" s="115">
        <v>0</v>
      </c>
      <c r="S858" s="115">
        <v>0</v>
      </c>
      <c r="T858" s="115">
        <v>0</v>
      </c>
      <c r="U858" s="115">
        <v>0</v>
      </c>
      <c r="V858" s="115">
        <v>0</v>
      </c>
      <c r="W858" s="115">
        <v>0</v>
      </c>
      <c r="X858" s="115">
        <v>0</v>
      </c>
      <c r="Y858" s="115">
        <v>0</v>
      </c>
      <c r="Z858" s="115">
        <v>0</v>
      </c>
      <c r="AA858" s="115">
        <v>0</v>
      </c>
      <c r="AB858" s="115">
        <v>0</v>
      </c>
      <c r="AC858" s="115">
        <v>0</v>
      </c>
      <c r="AD858" s="43"/>
      <c r="AE858" s="43"/>
      <c r="AF858" s="43"/>
      <c r="AG858" s="43"/>
      <c r="AH858" s="43"/>
      <c r="AI858" s="43"/>
    </row>
    <row r="859" spans="1:35" x14ac:dyDescent="0.25">
      <c r="A859" s="115" t="s">
        <v>1161</v>
      </c>
      <c r="B859" s="115"/>
      <c r="C859" s="115">
        <v>1187.473</v>
      </c>
      <c r="D859" s="115">
        <v>0</v>
      </c>
      <c r="E859" s="115">
        <v>0</v>
      </c>
      <c r="F859" s="115">
        <v>0</v>
      </c>
      <c r="G859" s="115">
        <v>0</v>
      </c>
      <c r="H859" s="115">
        <v>0</v>
      </c>
      <c r="I859" s="115">
        <v>0</v>
      </c>
      <c r="J859" s="115">
        <v>0</v>
      </c>
      <c r="K859" s="115">
        <v>0</v>
      </c>
      <c r="L859" s="115">
        <v>0</v>
      </c>
      <c r="M859" s="115">
        <v>0</v>
      </c>
      <c r="N859" s="115">
        <v>0</v>
      </c>
      <c r="O859" s="115">
        <v>0</v>
      </c>
      <c r="P859" s="115">
        <v>0</v>
      </c>
      <c r="Q859" s="115">
        <v>0</v>
      </c>
      <c r="R859" s="115">
        <v>0</v>
      </c>
      <c r="S859" s="115">
        <v>0</v>
      </c>
      <c r="T859" s="115">
        <v>0</v>
      </c>
      <c r="U859" s="115">
        <v>0</v>
      </c>
      <c r="V859" s="115">
        <v>0</v>
      </c>
      <c r="W859" s="115">
        <v>0</v>
      </c>
      <c r="X859" s="115">
        <v>0</v>
      </c>
      <c r="Y859" s="115">
        <v>0</v>
      </c>
      <c r="Z859" s="115">
        <v>0</v>
      </c>
      <c r="AA859" s="115">
        <v>0</v>
      </c>
      <c r="AB859" s="115">
        <v>0</v>
      </c>
      <c r="AC859" s="115">
        <v>0</v>
      </c>
      <c r="AD859" s="43"/>
      <c r="AE859" s="43"/>
      <c r="AF859" s="43"/>
      <c r="AG859" s="43"/>
      <c r="AH859" s="43"/>
      <c r="AI859" s="43"/>
    </row>
    <row r="860" spans="1:35" x14ac:dyDescent="0.25">
      <c r="A860" s="115" t="s">
        <v>1162</v>
      </c>
      <c r="B860" s="115"/>
      <c r="C860" s="115">
        <v>1023.032</v>
      </c>
      <c r="D860" s="115">
        <v>0</v>
      </c>
      <c r="E860" s="115">
        <v>0</v>
      </c>
      <c r="F860" s="115">
        <v>0</v>
      </c>
      <c r="G860" s="115">
        <v>0</v>
      </c>
      <c r="H860" s="115">
        <v>0</v>
      </c>
      <c r="I860" s="115">
        <v>0</v>
      </c>
      <c r="J860" s="115">
        <v>0</v>
      </c>
      <c r="K860" s="115">
        <v>0</v>
      </c>
      <c r="L860" s="115">
        <v>0</v>
      </c>
      <c r="M860" s="115">
        <v>0</v>
      </c>
      <c r="N860" s="115">
        <v>0</v>
      </c>
      <c r="O860" s="115">
        <v>0</v>
      </c>
      <c r="P860" s="115">
        <v>0</v>
      </c>
      <c r="Q860" s="115">
        <v>0</v>
      </c>
      <c r="R860" s="115">
        <v>0</v>
      </c>
      <c r="S860" s="115">
        <v>0</v>
      </c>
      <c r="T860" s="115">
        <v>0</v>
      </c>
      <c r="U860" s="115">
        <v>0</v>
      </c>
      <c r="V860" s="115">
        <v>0</v>
      </c>
      <c r="W860" s="115">
        <v>0</v>
      </c>
      <c r="X860" s="115">
        <v>0</v>
      </c>
      <c r="Y860" s="115">
        <v>0</v>
      </c>
      <c r="Z860" s="115">
        <v>0</v>
      </c>
      <c r="AA860" s="115">
        <v>0</v>
      </c>
      <c r="AB860" s="115">
        <v>0</v>
      </c>
      <c r="AC860" s="115">
        <v>0</v>
      </c>
      <c r="AD860" s="43"/>
      <c r="AE860" s="43"/>
      <c r="AF860" s="43"/>
      <c r="AG860" s="43"/>
      <c r="AH860" s="43"/>
      <c r="AI860" s="43"/>
    </row>
    <row r="861" spans="1:35" x14ac:dyDescent="0.25">
      <c r="A861" s="115" t="s">
        <v>1163</v>
      </c>
      <c r="B861" s="115"/>
      <c r="C861" s="115">
        <v>1084.98</v>
      </c>
      <c r="D861" s="115">
        <v>0</v>
      </c>
      <c r="E861" s="115">
        <v>0</v>
      </c>
      <c r="F861" s="115">
        <v>0</v>
      </c>
      <c r="G861" s="115">
        <v>0</v>
      </c>
      <c r="H861" s="115">
        <v>0</v>
      </c>
      <c r="I861" s="115">
        <v>0</v>
      </c>
      <c r="J861" s="115">
        <v>0</v>
      </c>
      <c r="K861" s="115">
        <v>0</v>
      </c>
      <c r="L861" s="115">
        <v>0</v>
      </c>
      <c r="M861" s="115">
        <v>0</v>
      </c>
      <c r="N861" s="115">
        <v>0</v>
      </c>
      <c r="O861" s="115">
        <v>0</v>
      </c>
      <c r="P861" s="115">
        <v>0</v>
      </c>
      <c r="Q861" s="115">
        <v>0</v>
      </c>
      <c r="R861" s="115">
        <v>0</v>
      </c>
      <c r="S861" s="115">
        <v>0</v>
      </c>
      <c r="T861" s="115">
        <v>0</v>
      </c>
      <c r="U861" s="115">
        <v>0</v>
      </c>
      <c r="V861" s="115">
        <v>0</v>
      </c>
      <c r="W861" s="115">
        <v>0</v>
      </c>
      <c r="X861" s="115">
        <v>0</v>
      </c>
      <c r="Y861" s="115">
        <v>0</v>
      </c>
      <c r="Z861" s="115">
        <v>0</v>
      </c>
      <c r="AA861" s="115">
        <v>0</v>
      </c>
      <c r="AB861" s="115">
        <v>0</v>
      </c>
      <c r="AC861" s="115">
        <v>0</v>
      </c>
      <c r="AD861" s="43"/>
      <c r="AE861" s="43"/>
      <c r="AF861" s="43"/>
      <c r="AG861" s="43"/>
      <c r="AH861" s="43"/>
      <c r="AI861" s="43"/>
    </row>
    <row r="862" spans="1:35" x14ac:dyDescent="0.25">
      <c r="A862" s="115" t="s">
        <v>1155</v>
      </c>
      <c r="B862" s="115"/>
      <c r="C862" s="115">
        <v>351.31299999999999</v>
      </c>
      <c r="D862" s="115">
        <v>0</v>
      </c>
      <c r="E862" s="115">
        <v>0</v>
      </c>
      <c r="F862" s="115">
        <v>0</v>
      </c>
      <c r="G862" s="115">
        <v>0</v>
      </c>
      <c r="H862" s="115">
        <v>0</v>
      </c>
      <c r="I862" s="115">
        <v>0</v>
      </c>
      <c r="J862" s="115">
        <v>0</v>
      </c>
      <c r="K862" s="115">
        <v>0</v>
      </c>
      <c r="L862" s="115">
        <v>0</v>
      </c>
      <c r="M862" s="115">
        <v>0</v>
      </c>
      <c r="N862" s="115">
        <v>0</v>
      </c>
      <c r="O862" s="115">
        <v>0</v>
      </c>
      <c r="P862" s="115">
        <v>0</v>
      </c>
      <c r="Q862" s="115">
        <v>0</v>
      </c>
      <c r="R862" s="115">
        <v>0</v>
      </c>
      <c r="S862" s="115">
        <v>0</v>
      </c>
      <c r="T862" s="115">
        <v>0</v>
      </c>
      <c r="U862" s="115">
        <v>0</v>
      </c>
      <c r="V862" s="115">
        <v>0</v>
      </c>
      <c r="W862" s="115">
        <v>0</v>
      </c>
      <c r="X862" s="115">
        <v>0</v>
      </c>
      <c r="Y862" s="115">
        <v>0</v>
      </c>
      <c r="Z862" s="115">
        <v>0</v>
      </c>
      <c r="AA862" s="115">
        <v>0</v>
      </c>
      <c r="AB862" s="115">
        <v>0</v>
      </c>
      <c r="AC862" s="115">
        <v>0</v>
      </c>
      <c r="AD862" s="43"/>
      <c r="AE862" s="43"/>
      <c r="AF862" s="43"/>
      <c r="AG862" s="43"/>
      <c r="AH862" s="43"/>
      <c r="AI862" s="43"/>
    </row>
    <row r="863" spans="1:35" x14ac:dyDescent="0.25">
      <c r="A863" s="115" t="s">
        <v>1156</v>
      </c>
      <c r="B863" s="115"/>
      <c r="C863" s="115">
        <v>435.43900000000002</v>
      </c>
      <c r="D863" s="115">
        <v>0</v>
      </c>
      <c r="E863" s="115">
        <v>0</v>
      </c>
      <c r="F863" s="115">
        <v>0</v>
      </c>
      <c r="G863" s="115">
        <v>0</v>
      </c>
      <c r="H863" s="115">
        <v>0</v>
      </c>
      <c r="I863" s="115">
        <v>0</v>
      </c>
      <c r="J863" s="115">
        <v>0</v>
      </c>
      <c r="K863" s="115">
        <v>0</v>
      </c>
      <c r="L863" s="115">
        <v>0</v>
      </c>
      <c r="M863" s="115">
        <v>0</v>
      </c>
      <c r="N863" s="115">
        <v>0</v>
      </c>
      <c r="O863" s="115">
        <v>0</v>
      </c>
      <c r="P863" s="115">
        <v>0</v>
      </c>
      <c r="Q863" s="115">
        <v>0</v>
      </c>
      <c r="R863" s="115">
        <v>0</v>
      </c>
      <c r="S863" s="115">
        <v>0</v>
      </c>
      <c r="T863" s="115">
        <v>0</v>
      </c>
      <c r="U863" s="115">
        <v>0</v>
      </c>
      <c r="V863" s="115">
        <v>0</v>
      </c>
      <c r="W863" s="115">
        <v>0</v>
      </c>
      <c r="X863" s="115">
        <v>0</v>
      </c>
      <c r="Y863" s="115">
        <v>0</v>
      </c>
      <c r="Z863" s="115">
        <v>0</v>
      </c>
      <c r="AA863" s="115">
        <v>0</v>
      </c>
      <c r="AB863" s="115">
        <v>0</v>
      </c>
      <c r="AC863" s="115">
        <v>0</v>
      </c>
      <c r="AD863" s="43"/>
      <c r="AE863" s="43"/>
      <c r="AF863" s="43"/>
      <c r="AG863" s="43"/>
      <c r="AH863" s="43"/>
      <c r="AI863" s="43"/>
    </row>
    <row r="864" spans="1:35" x14ac:dyDescent="0.25">
      <c r="A864" s="115" t="s">
        <v>451</v>
      </c>
      <c r="B864" s="115"/>
      <c r="C864" s="115">
        <v>90.516999999999996</v>
      </c>
      <c r="D864" s="115">
        <v>0</v>
      </c>
      <c r="E864" s="115">
        <v>0</v>
      </c>
      <c r="F864" s="115">
        <v>0</v>
      </c>
      <c r="G864" s="115">
        <v>0</v>
      </c>
      <c r="H864" s="115">
        <v>0</v>
      </c>
      <c r="I864" s="115">
        <v>0</v>
      </c>
      <c r="J864" s="115">
        <v>0</v>
      </c>
      <c r="K864" s="115">
        <v>0</v>
      </c>
      <c r="L864" s="115">
        <v>0</v>
      </c>
      <c r="M864" s="115">
        <v>0</v>
      </c>
      <c r="N864" s="115">
        <v>0</v>
      </c>
      <c r="O864" s="115">
        <v>0</v>
      </c>
      <c r="P864" s="115">
        <v>0</v>
      </c>
      <c r="Q864" s="115">
        <v>0</v>
      </c>
      <c r="R864" s="115">
        <v>0</v>
      </c>
      <c r="S864" s="115">
        <v>0</v>
      </c>
      <c r="T864" s="115">
        <v>0</v>
      </c>
      <c r="U864" s="115">
        <v>0</v>
      </c>
      <c r="V864" s="115">
        <v>0</v>
      </c>
      <c r="W864" s="115">
        <v>0</v>
      </c>
      <c r="X864" s="115">
        <v>0</v>
      </c>
      <c r="Y864" s="115">
        <v>0</v>
      </c>
      <c r="Z864" s="115">
        <v>0</v>
      </c>
      <c r="AA864" s="115">
        <v>0</v>
      </c>
      <c r="AB864" s="115">
        <v>0</v>
      </c>
      <c r="AC864" s="115">
        <v>0</v>
      </c>
      <c r="AD864" s="43"/>
      <c r="AE864" s="43"/>
      <c r="AF864" s="43"/>
      <c r="AG864" s="43"/>
      <c r="AH864" s="43"/>
      <c r="AI864" s="43"/>
    </row>
    <row r="865" spans="1:35" x14ac:dyDescent="0.25">
      <c r="A865" s="115" t="s">
        <v>1157</v>
      </c>
      <c r="B865" s="115"/>
      <c r="C865" s="115">
        <v>3453.712</v>
      </c>
      <c r="D865" s="115">
        <v>0</v>
      </c>
      <c r="E865" s="115">
        <v>0</v>
      </c>
      <c r="F865" s="115">
        <v>0</v>
      </c>
      <c r="G865" s="115">
        <v>0</v>
      </c>
      <c r="H865" s="115">
        <v>0</v>
      </c>
      <c r="I865" s="115">
        <v>0</v>
      </c>
      <c r="J865" s="115">
        <v>0</v>
      </c>
      <c r="K865" s="115">
        <v>0</v>
      </c>
      <c r="L865" s="115">
        <v>0</v>
      </c>
      <c r="M865" s="115">
        <v>0</v>
      </c>
      <c r="N865" s="115">
        <v>0</v>
      </c>
      <c r="O865" s="115">
        <v>0</v>
      </c>
      <c r="P865" s="115">
        <v>0</v>
      </c>
      <c r="Q865" s="115">
        <v>0</v>
      </c>
      <c r="R865" s="115">
        <v>0</v>
      </c>
      <c r="S865" s="115">
        <v>0</v>
      </c>
      <c r="T865" s="115">
        <v>0</v>
      </c>
      <c r="U865" s="115">
        <v>0</v>
      </c>
      <c r="V865" s="115">
        <v>0</v>
      </c>
      <c r="W865" s="115">
        <v>0</v>
      </c>
      <c r="X865" s="115">
        <v>0</v>
      </c>
      <c r="Y865" s="115">
        <v>0</v>
      </c>
      <c r="Z865" s="115">
        <v>0</v>
      </c>
      <c r="AA865" s="115">
        <v>0</v>
      </c>
      <c r="AB865" s="115">
        <v>0</v>
      </c>
      <c r="AC865" s="115">
        <v>0</v>
      </c>
      <c r="AD865" s="43"/>
      <c r="AE865" s="43"/>
      <c r="AF865" s="43"/>
      <c r="AG865" s="43"/>
      <c r="AH865" s="43"/>
      <c r="AI865" s="43"/>
    </row>
    <row r="866" spans="1:35" x14ac:dyDescent="0.25">
      <c r="A866" s="115" t="s">
        <v>1158</v>
      </c>
      <c r="B866" s="115"/>
      <c r="C866" s="115">
        <v>558.14499999999998</v>
      </c>
      <c r="D866" s="115">
        <v>0</v>
      </c>
      <c r="E866" s="115">
        <v>0</v>
      </c>
      <c r="F866" s="115">
        <v>0</v>
      </c>
      <c r="G866" s="115">
        <v>0</v>
      </c>
      <c r="H866" s="115">
        <v>0</v>
      </c>
      <c r="I866" s="115">
        <v>0</v>
      </c>
      <c r="J866" s="115">
        <v>0</v>
      </c>
      <c r="K866" s="115">
        <v>0</v>
      </c>
      <c r="L866" s="115">
        <v>0</v>
      </c>
      <c r="M866" s="115">
        <v>0</v>
      </c>
      <c r="N866" s="115">
        <v>0</v>
      </c>
      <c r="O866" s="115">
        <v>0</v>
      </c>
      <c r="P866" s="115">
        <v>0</v>
      </c>
      <c r="Q866" s="115">
        <v>0</v>
      </c>
      <c r="R866" s="115">
        <v>0</v>
      </c>
      <c r="S866" s="115">
        <v>0</v>
      </c>
      <c r="T866" s="115">
        <v>0</v>
      </c>
      <c r="U866" s="115">
        <v>0</v>
      </c>
      <c r="V866" s="115">
        <v>0</v>
      </c>
      <c r="W866" s="115">
        <v>0</v>
      </c>
      <c r="X866" s="115">
        <v>0</v>
      </c>
      <c r="Y866" s="115">
        <v>0</v>
      </c>
      <c r="Z866" s="115">
        <v>0</v>
      </c>
      <c r="AA866" s="115">
        <v>0</v>
      </c>
      <c r="AB866" s="115">
        <v>0</v>
      </c>
      <c r="AC866" s="115">
        <v>0</v>
      </c>
      <c r="AD866" s="43"/>
      <c r="AE866" s="43"/>
      <c r="AF866" s="43"/>
      <c r="AG866" s="43"/>
      <c r="AH866" s="43"/>
      <c r="AI866" s="43"/>
    </row>
    <row r="867" spans="1:35" x14ac:dyDescent="0.25">
      <c r="A867" s="115" t="s">
        <v>452</v>
      </c>
      <c r="B867" s="115"/>
      <c r="C867" s="115">
        <v>60.067999999999998</v>
      </c>
      <c r="D867" s="115">
        <v>0</v>
      </c>
      <c r="E867" s="115">
        <v>0</v>
      </c>
      <c r="F867" s="115">
        <v>0</v>
      </c>
      <c r="G867" s="115">
        <v>0</v>
      </c>
      <c r="H867" s="115">
        <v>0</v>
      </c>
      <c r="I867" s="115">
        <v>0</v>
      </c>
      <c r="J867" s="115">
        <v>0</v>
      </c>
      <c r="K867" s="115">
        <v>0</v>
      </c>
      <c r="L867" s="115">
        <v>0</v>
      </c>
      <c r="M867" s="115">
        <v>0</v>
      </c>
      <c r="N867" s="115">
        <v>0</v>
      </c>
      <c r="O867" s="115">
        <v>0</v>
      </c>
      <c r="P867" s="115">
        <v>0</v>
      </c>
      <c r="Q867" s="115">
        <v>0</v>
      </c>
      <c r="R867" s="115">
        <v>0</v>
      </c>
      <c r="S867" s="115">
        <v>0</v>
      </c>
      <c r="T867" s="115">
        <v>0</v>
      </c>
      <c r="U867" s="115">
        <v>0</v>
      </c>
      <c r="V867" s="115">
        <v>0</v>
      </c>
      <c r="W867" s="115">
        <v>0</v>
      </c>
      <c r="X867" s="115">
        <v>0</v>
      </c>
      <c r="Y867" s="115">
        <v>0</v>
      </c>
      <c r="Z867" s="115">
        <v>0</v>
      </c>
      <c r="AA867" s="115">
        <v>0</v>
      </c>
      <c r="AB867" s="115">
        <v>0</v>
      </c>
      <c r="AC867" s="115">
        <v>0</v>
      </c>
      <c r="AD867" s="43"/>
      <c r="AE867" s="43"/>
      <c r="AF867" s="43"/>
      <c r="AG867" s="43"/>
      <c r="AH867" s="43"/>
      <c r="AI867" s="43"/>
    </row>
    <row r="868" spans="1:35" x14ac:dyDescent="0.25">
      <c r="A868" s="115" t="s">
        <v>556</v>
      </c>
      <c r="B868" s="115">
        <v>2593.8240000000001</v>
      </c>
      <c r="C868" s="115">
        <v>2614.6390000000001</v>
      </c>
      <c r="D868" s="115">
        <v>2639.9879999999998</v>
      </c>
      <c r="E868" s="115">
        <v>2665.3159999999998</v>
      </c>
      <c r="F868" s="115">
        <v>2690.62</v>
      </c>
      <c r="G868" s="115">
        <v>2715.902</v>
      </c>
      <c r="H868" s="115">
        <v>2741.165</v>
      </c>
      <c r="I868" s="115">
        <v>2757.6489999999999</v>
      </c>
      <c r="J868" s="115">
        <v>2774.134</v>
      </c>
      <c r="K868" s="115">
        <v>2790.58</v>
      </c>
      <c r="L868" s="115">
        <v>2806.9940000000001</v>
      </c>
      <c r="M868" s="115">
        <v>2823.38</v>
      </c>
      <c r="N868" s="115">
        <v>2839.75</v>
      </c>
      <c r="O868" s="115">
        <v>2856.114</v>
      </c>
      <c r="P868" s="115">
        <v>2872.451</v>
      </c>
      <c r="Q868" s="115">
        <v>2888.761</v>
      </c>
      <c r="R868" s="115">
        <v>2905.0479999999998</v>
      </c>
      <c r="S868" s="115">
        <v>2909.2910000000002</v>
      </c>
      <c r="T868" s="115">
        <v>2913.5230000000001</v>
      </c>
      <c r="U868" s="115">
        <v>2917.7429999999999</v>
      </c>
      <c r="V868" s="115">
        <v>2921.9540000000002</v>
      </c>
      <c r="W868" s="115">
        <v>2926.1610000000001</v>
      </c>
      <c r="X868" s="115">
        <v>2930.3449999999998</v>
      </c>
      <c r="Y868" s="115">
        <v>2934.5129999999999</v>
      </c>
      <c r="Z868" s="115">
        <v>2938.663</v>
      </c>
      <c r="AA868" s="115">
        <v>2942.797</v>
      </c>
      <c r="AB868" s="115">
        <v>2946.9160000000002</v>
      </c>
      <c r="AC868" s="115">
        <v>2949.9609999999998</v>
      </c>
      <c r="AD868" s="43"/>
      <c r="AE868" s="43"/>
      <c r="AF868" s="43"/>
      <c r="AG868" s="43"/>
      <c r="AH868" s="43"/>
      <c r="AI868" s="43"/>
    </row>
    <row r="869" spans="1:35" x14ac:dyDescent="0.25">
      <c r="A869" s="115" t="s">
        <v>559</v>
      </c>
      <c r="B869" s="115">
        <v>52.444000000000003</v>
      </c>
      <c r="C869" s="115">
        <v>83.545000000000002</v>
      </c>
      <c r="D869" s="115">
        <v>127.447</v>
      </c>
      <c r="E869" s="115">
        <v>169.55500000000001</v>
      </c>
      <c r="F869" s="115">
        <v>215.18100000000001</v>
      </c>
      <c r="G869" s="115">
        <v>259.346</v>
      </c>
      <c r="H869" s="115">
        <v>301.839</v>
      </c>
      <c r="I869" s="115">
        <v>341.50700000000001</v>
      </c>
      <c r="J869" s="115">
        <v>385.52600000000001</v>
      </c>
      <c r="K869" s="115">
        <v>427.83600000000001</v>
      </c>
      <c r="L869" s="115">
        <v>471.81900000000002</v>
      </c>
      <c r="M869" s="115">
        <v>517.65499999999997</v>
      </c>
      <c r="N869" s="115">
        <v>565.245</v>
      </c>
      <c r="O869" s="115">
        <v>603.99300000000005</v>
      </c>
      <c r="P869" s="115">
        <v>644.65499999999997</v>
      </c>
      <c r="Q869" s="115">
        <v>686.25300000000004</v>
      </c>
      <c r="R869" s="115">
        <v>724.61500000000001</v>
      </c>
      <c r="S869" s="115">
        <v>764.59900000000005</v>
      </c>
      <c r="T869" s="115">
        <v>800.33900000000006</v>
      </c>
      <c r="U869" s="115">
        <v>835.66200000000003</v>
      </c>
      <c r="V869" s="115">
        <v>868.42399999999998</v>
      </c>
      <c r="W869" s="115">
        <v>896.22400000000005</v>
      </c>
      <c r="X869" s="115">
        <v>912.96500000000003</v>
      </c>
      <c r="Y869" s="115">
        <v>931.65700000000004</v>
      </c>
      <c r="Z869" s="115">
        <v>948.37800000000004</v>
      </c>
      <c r="AA869" s="115">
        <v>965.02200000000005</v>
      </c>
      <c r="AB869" s="115">
        <v>981.67499999999995</v>
      </c>
      <c r="AC869" s="115">
        <v>997.90300000000002</v>
      </c>
      <c r="AD869" s="43"/>
      <c r="AE869" s="43"/>
      <c r="AF869" s="43"/>
      <c r="AG869" s="43"/>
      <c r="AH869" s="43"/>
      <c r="AI869" s="43"/>
    </row>
    <row r="870" spans="1:35" x14ac:dyDescent="0.25">
      <c r="A870" s="115" t="s">
        <v>560</v>
      </c>
      <c r="B870" s="115">
        <v>209.77600000000001</v>
      </c>
      <c r="C870" s="115">
        <v>249.822</v>
      </c>
      <c r="D870" s="115">
        <v>273.61900000000003</v>
      </c>
      <c r="E870" s="115">
        <v>297.01600000000002</v>
      </c>
      <c r="F870" s="115">
        <v>322.07600000000002</v>
      </c>
      <c r="G870" s="115">
        <v>346.84800000000001</v>
      </c>
      <c r="H870" s="115">
        <v>371.24099999999999</v>
      </c>
      <c r="I870" s="115">
        <v>389.89800000000002</v>
      </c>
      <c r="J870" s="115">
        <v>410.52300000000002</v>
      </c>
      <c r="K870" s="115">
        <v>430.74700000000001</v>
      </c>
      <c r="L870" s="115">
        <v>451.91199999999998</v>
      </c>
      <c r="M870" s="115">
        <v>474.10599999999999</v>
      </c>
      <c r="N870" s="115">
        <v>497.30900000000003</v>
      </c>
      <c r="O870" s="115">
        <v>516.30200000000002</v>
      </c>
      <c r="P870" s="115">
        <v>536.10400000000004</v>
      </c>
      <c r="Q870" s="115">
        <v>556.303</v>
      </c>
      <c r="R870" s="115">
        <v>574.97500000000002</v>
      </c>
      <c r="S870" s="115">
        <v>590.76900000000001</v>
      </c>
      <c r="T870" s="115">
        <v>604.63400000000001</v>
      </c>
      <c r="U870" s="115">
        <v>618.31100000000004</v>
      </c>
      <c r="V870" s="115">
        <v>630.81100000000004</v>
      </c>
      <c r="W870" s="115">
        <v>628.51400000000001</v>
      </c>
      <c r="X870" s="115">
        <v>636.63900000000001</v>
      </c>
      <c r="Y870" s="115">
        <v>645.55700000000002</v>
      </c>
      <c r="Z870" s="115">
        <v>653.22699999999998</v>
      </c>
      <c r="AA870" s="115">
        <v>660.75400000000002</v>
      </c>
      <c r="AB870" s="115">
        <v>668.20299999999997</v>
      </c>
      <c r="AC870" s="115">
        <v>675.29200000000003</v>
      </c>
      <c r="AD870" s="43"/>
      <c r="AE870" s="43"/>
      <c r="AF870" s="43"/>
      <c r="AG870" s="43"/>
      <c r="AH870" s="43"/>
      <c r="AI870" s="43"/>
    </row>
    <row r="871" spans="1:35" x14ac:dyDescent="0.25">
      <c r="A871" s="115" t="s">
        <v>561</v>
      </c>
      <c r="B871" s="115">
        <v>692.21500000000003</v>
      </c>
      <c r="C871" s="115">
        <v>666.16899999999998</v>
      </c>
      <c r="D871" s="115">
        <v>644.96799999999996</v>
      </c>
      <c r="E871" s="115">
        <v>622.23699999999997</v>
      </c>
      <c r="F871" s="115">
        <v>600.24</v>
      </c>
      <c r="G871" s="115">
        <v>577.12099999999998</v>
      </c>
      <c r="H871" s="115">
        <v>552.68700000000001</v>
      </c>
      <c r="I871" s="115">
        <v>525.89099999999996</v>
      </c>
      <c r="J871" s="115">
        <v>501.00299999999999</v>
      </c>
      <c r="K871" s="115">
        <v>474.83800000000002</v>
      </c>
      <c r="L871" s="115">
        <v>449.18900000000002</v>
      </c>
      <c r="M871" s="115">
        <v>424.17</v>
      </c>
      <c r="N871" s="115">
        <v>399.66699999999997</v>
      </c>
      <c r="O871" s="115">
        <v>374.51499999999999</v>
      </c>
      <c r="P871" s="115">
        <v>350.27300000000002</v>
      </c>
      <c r="Q871" s="115">
        <v>326.67500000000001</v>
      </c>
      <c r="R871" s="115">
        <v>303.22500000000002</v>
      </c>
      <c r="S871" s="115">
        <v>280.279</v>
      </c>
      <c r="T871" s="115">
        <v>257.048</v>
      </c>
      <c r="U871" s="115">
        <v>234.25700000000001</v>
      </c>
      <c r="V871" s="115">
        <v>211.66399999999999</v>
      </c>
      <c r="W871" s="115">
        <v>205.81399999999999</v>
      </c>
      <c r="X871" s="115">
        <v>196.84299999999999</v>
      </c>
      <c r="Y871" s="115">
        <v>189.821</v>
      </c>
      <c r="Z871" s="115">
        <v>182.012</v>
      </c>
      <c r="AA871" s="115">
        <v>175.41900000000001</v>
      </c>
      <c r="AB871" s="115">
        <v>170.16900000000001</v>
      </c>
      <c r="AC871" s="115">
        <v>165.95</v>
      </c>
      <c r="AD871" s="43"/>
      <c r="AE871" s="43"/>
      <c r="AF871" s="43"/>
      <c r="AG871" s="43"/>
      <c r="AH871" s="43"/>
      <c r="AI871" s="43"/>
    </row>
    <row r="872" spans="1:35" x14ac:dyDescent="0.25">
      <c r="A872" s="115" t="s">
        <v>557</v>
      </c>
      <c r="B872" s="115">
        <v>2593.8240000000001</v>
      </c>
      <c r="C872" s="115">
        <v>2591.1660000000002</v>
      </c>
      <c r="D872" s="115">
        <v>2588.4940000000001</v>
      </c>
      <c r="E872" s="115">
        <v>2585.8020000000001</v>
      </c>
      <c r="F872" s="115">
        <v>2583.0839999999998</v>
      </c>
      <c r="G872" s="115">
        <v>2580.346</v>
      </c>
      <c r="H872" s="115">
        <v>2577.5880000000002</v>
      </c>
      <c r="I872" s="115">
        <v>2574.8139999999999</v>
      </c>
      <c r="J872" s="115">
        <v>2572.0419999999999</v>
      </c>
      <c r="K872" s="115">
        <v>2569.2310000000002</v>
      </c>
      <c r="L872" s="115">
        <v>2566.3870000000002</v>
      </c>
      <c r="M872" s="115">
        <v>2563.5160000000001</v>
      </c>
      <c r="N872" s="115">
        <v>2560.6280000000002</v>
      </c>
      <c r="O872" s="115">
        <v>2557.7350000000001</v>
      </c>
      <c r="P872" s="115">
        <v>2554.8139999999999</v>
      </c>
      <c r="Q872" s="115">
        <v>2551.8670000000002</v>
      </c>
      <c r="R872" s="115">
        <v>2548.8960000000002</v>
      </c>
      <c r="S872" s="115">
        <v>2544.4059999999999</v>
      </c>
      <c r="T872" s="115">
        <v>2539.9059999999999</v>
      </c>
      <c r="U872" s="115">
        <v>2535.393</v>
      </c>
      <c r="V872" s="115">
        <v>2530.8719999999998</v>
      </c>
      <c r="W872" s="115">
        <v>2526.346</v>
      </c>
      <c r="X872" s="115">
        <v>2521.797</v>
      </c>
      <c r="Y872" s="115">
        <v>2517.2330000000002</v>
      </c>
      <c r="Z872" s="115">
        <v>2512.65</v>
      </c>
      <c r="AA872" s="115">
        <v>2508.0520000000001</v>
      </c>
      <c r="AB872" s="115">
        <v>2503.4380000000001</v>
      </c>
      <c r="AC872" s="115">
        <v>2498.1889999999999</v>
      </c>
      <c r="AD872" s="43"/>
      <c r="AE872" s="43"/>
      <c r="AF872" s="43"/>
      <c r="AG872" s="43"/>
      <c r="AH872" s="43"/>
      <c r="AI872" s="43"/>
    </row>
    <row r="873" spans="1:35" x14ac:dyDescent="0.25">
      <c r="A873" s="115" t="s">
        <v>562</v>
      </c>
      <c r="B873" s="115">
        <v>102.602</v>
      </c>
      <c r="C873" s="115">
        <v>111.762</v>
      </c>
      <c r="D873" s="115">
        <v>115.456</v>
      </c>
      <c r="E873" s="115">
        <v>131.37700000000001</v>
      </c>
      <c r="F873" s="115">
        <v>142.91300000000001</v>
      </c>
      <c r="G873" s="115">
        <v>163.79900000000001</v>
      </c>
      <c r="H873" s="115">
        <v>195.27099999999999</v>
      </c>
      <c r="I873" s="115">
        <v>236.01499999999999</v>
      </c>
      <c r="J873" s="115">
        <v>261.11099999999999</v>
      </c>
      <c r="K873" s="115">
        <v>297.08199999999999</v>
      </c>
      <c r="L873" s="115">
        <v>328.94299999999998</v>
      </c>
      <c r="M873" s="115">
        <v>355.755</v>
      </c>
      <c r="N873" s="115">
        <v>378.13600000000002</v>
      </c>
      <c r="O873" s="115">
        <v>396.68400000000003</v>
      </c>
      <c r="P873" s="115">
        <v>408.96499999999997</v>
      </c>
      <c r="Q873" s="115">
        <v>418.09500000000003</v>
      </c>
      <c r="R873" s="115">
        <v>424.07100000000003</v>
      </c>
      <c r="S873" s="115">
        <v>424.101</v>
      </c>
      <c r="T873" s="115">
        <v>425.98899999999998</v>
      </c>
      <c r="U873" s="115">
        <v>427.822</v>
      </c>
      <c r="V873" s="115">
        <v>429.59199999999998</v>
      </c>
      <c r="W873" s="115">
        <v>431.31799999999998</v>
      </c>
      <c r="X873" s="115">
        <v>433.00700000000001</v>
      </c>
      <c r="Y873" s="115">
        <v>434.67399999999998</v>
      </c>
      <c r="Z873" s="115">
        <v>436.30500000000001</v>
      </c>
      <c r="AA873" s="115">
        <v>437.91</v>
      </c>
      <c r="AB873" s="115">
        <v>439.49200000000002</v>
      </c>
      <c r="AC873" s="115">
        <v>440.892</v>
      </c>
      <c r="AD873" s="43"/>
      <c r="AE873" s="43"/>
      <c r="AF873" s="43"/>
      <c r="AG873" s="43"/>
      <c r="AH873" s="43"/>
      <c r="AI873" s="43"/>
    </row>
    <row r="874" spans="1:35" x14ac:dyDescent="0.25">
      <c r="A874" s="115" t="s">
        <v>563</v>
      </c>
      <c r="B874" s="115">
        <v>945.94500000000005</v>
      </c>
      <c r="C874" s="115">
        <v>934.77700000000004</v>
      </c>
      <c r="D874" s="115">
        <v>933.26900000000001</v>
      </c>
      <c r="E874" s="115">
        <v>923.09199999999998</v>
      </c>
      <c r="F874" s="115">
        <v>911.08699999999999</v>
      </c>
      <c r="G874" s="115">
        <v>892.42499999999995</v>
      </c>
      <c r="H874" s="115">
        <v>866.36099999999999</v>
      </c>
      <c r="I874" s="115">
        <v>833.51099999999997</v>
      </c>
      <c r="J874" s="115">
        <v>807.98699999999997</v>
      </c>
      <c r="K874" s="115">
        <v>774.86199999999997</v>
      </c>
      <c r="L874" s="115">
        <v>742.56700000000001</v>
      </c>
      <c r="M874" s="115">
        <v>711.63099999999997</v>
      </c>
      <c r="N874" s="115">
        <v>681.63699999999994</v>
      </c>
      <c r="O874" s="115">
        <v>645.452</v>
      </c>
      <c r="P874" s="115">
        <v>611.84299999999996</v>
      </c>
      <c r="Q874" s="115">
        <v>579.37</v>
      </c>
      <c r="R874" s="115">
        <v>554.81500000000005</v>
      </c>
      <c r="S874" s="115">
        <v>525.197</v>
      </c>
      <c r="T874" s="115">
        <v>500.36799999999999</v>
      </c>
      <c r="U874" s="115">
        <v>475.80099999999999</v>
      </c>
      <c r="V874" s="115">
        <v>454.97300000000001</v>
      </c>
      <c r="W874" s="115">
        <v>437.80900000000003</v>
      </c>
      <c r="X874" s="115">
        <v>424.45699999999999</v>
      </c>
      <c r="Y874" s="115">
        <v>406.36500000000001</v>
      </c>
      <c r="Z874" s="115">
        <v>392.41300000000001</v>
      </c>
      <c r="AA874" s="115">
        <v>377.50900000000001</v>
      </c>
      <c r="AB874" s="115">
        <v>361.36200000000002</v>
      </c>
      <c r="AC874" s="115">
        <v>344.21699999999998</v>
      </c>
      <c r="AD874" s="43"/>
      <c r="AE874" s="43"/>
      <c r="AF874" s="43"/>
      <c r="AG874" s="43"/>
      <c r="AH874" s="43"/>
      <c r="AI874" s="43"/>
    </row>
    <row r="875" spans="1:35" x14ac:dyDescent="0.25">
      <c r="A875" s="115" t="s">
        <v>558</v>
      </c>
      <c r="B875" s="115">
        <v>0</v>
      </c>
      <c r="C875" s="115">
        <v>23.472999999999999</v>
      </c>
      <c r="D875" s="115">
        <v>51.494</v>
      </c>
      <c r="E875" s="115">
        <v>79.513999999999996</v>
      </c>
      <c r="F875" s="115">
        <v>107.535</v>
      </c>
      <c r="G875" s="115">
        <v>135.55600000000001</v>
      </c>
      <c r="H875" s="115">
        <v>163.577</v>
      </c>
      <c r="I875" s="115">
        <v>182.83500000000001</v>
      </c>
      <c r="J875" s="115">
        <v>202.09200000000001</v>
      </c>
      <c r="K875" s="115">
        <v>221.35</v>
      </c>
      <c r="L875" s="115">
        <v>240.607</v>
      </c>
      <c r="M875" s="115">
        <v>259.86500000000001</v>
      </c>
      <c r="N875" s="115">
        <v>279.12200000000001</v>
      </c>
      <c r="O875" s="115">
        <v>298.38</v>
      </c>
      <c r="P875" s="115">
        <v>317.637</v>
      </c>
      <c r="Q875" s="115">
        <v>336.89499999999998</v>
      </c>
      <c r="R875" s="115">
        <v>356.15199999999999</v>
      </c>
      <c r="S875" s="115">
        <v>364.88499999999999</v>
      </c>
      <c r="T875" s="115">
        <v>373.61700000000002</v>
      </c>
      <c r="U875" s="115">
        <v>382.35</v>
      </c>
      <c r="V875" s="115">
        <v>391.08199999999999</v>
      </c>
      <c r="W875" s="115">
        <v>399.815</v>
      </c>
      <c r="X875" s="115">
        <v>408.548</v>
      </c>
      <c r="Y875" s="115">
        <v>417.28</v>
      </c>
      <c r="Z875" s="115">
        <v>426.01299999999998</v>
      </c>
      <c r="AA875" s="115">
        <v>434.745</v>
      </c>
      <c r="AB875" s="115">
        <v>443.47800000000001</v>
      </c>
      <c r="AC875" s="115">
        <v>451.77300000000002</v>
      </c>
      <c r="AD875" s="43"/>
      <c r="AE875" s="43"/>
      <c r="AF875" s="43"/>
      <c r="AG875" s="43"/>
      <c r="AH875" s="43"/>
      <c r="AI875" s="43"/>
    </row>
    <row r="876" spans="1:35" x14ac:dyDescent="0.25">
      <c r="A876" s="115" t="s">
        <v>564</v>
      </c>
      <c r="B876" s="115">
        <v>298.09699999999998</v>
      </c>
      <c r="C876" s="115">
        <v>272.54399999999998</v>
      </c>
      <c r="D876" s="115">
        <v>247.13800000000001</v>
      </c>
      <c r="E876" s="115">
        <v>221.87799999999999</v>
      </c>
      <c r="F876" s="115">
        <v>196.75899999999999</v>
      </c>
      <c r="G876" s="115">
        <v>171.785</v>
      </c>
      <c r="H876" s="115">
        <v>146.95400000000001</v>
      </c>
      <c r="I876" s="115">
        <v>122.268</v>
      </c>
      <c r="J876" s="115">
        <v>97.625</v>
      </c>
      <c r="K876" s="115">
        <v>73.037999999999997</v>
      </c>
      <c r="L876" s="115">
        <v>48.542000000000002</v>
      </c>
      <c r="M876" s="115">
        <v>24.178000000000001</v>
      </c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43"/>
      <c r="AE876" s="43"/>
      <c r="AF876" s="43"/>
      <c r="AG876" s="43"/>
      <c r="AH876" s="43"/>
      <c r="AI876" s="43"/>
    </row>
    <row r="877" spans="1:35" x14ac:dyDescent="0.25">
      <c r="A877" s="115" t="s">
        <v>565</v>
      </c>
      <c r="B877" s="115">
        <v>292.74599999999998</v>
      </c>
      <c r="C877" s="115">
        <v>296.02</v>
      </c>
      <c r="D877" s="115">
        <v>298.08999999999997</v>
      </c>
      <c r="E877" s="115">
        <v>300.16000000000003</v>
      </c>
      <c r="F877" s="115">
        <v>302.36399999999998</v>
      </c>
      <c r="G877" s="115">
        <v>304.577</v>
      </c>
      <c r="H877" s="115">
        <v>306.81299999999999</v>
      </c>
      <c r="I877" s="115">
        <v>308.55900000000003</v>
      </c>
      <c r="J877" s="115">
        <v>310.35899999999998</v>
      </c>
      <c r="K877" s="115">
        <v>312.17700000000002</v>
      </c>
      <c r="L877" s="115">
        <v>314.02199999999999</v>
      </c>
      <c r="M877" s="115">
        <v>315.88400000000001</v>
      </c>
      <c r="N877" s="115">
        <v>317.75700000000001</v>
      </c>
      <c r="O877" s="115">
        <v>319.16800000000001</v>
      </c>
      <c r="P877" s="115">
        <v>320.61099999999999</v>
      </c>
      <c r="Q877" s="115">
        <v>322.065</v>
      </c>
      <c r="R877" s="115">
        <v>323.346</v>
      </c>
      <c r="S877" s="115">
        <v>324.346</v>
      </c>
      <c r="T877" s="115">
        <v>325.14400000000001</v>
      </c>
      <c r="U877" s="115">
        <v>325.89</v>
      </c>
      <c r="V877" s="115">
        <v>326.49</v>
      </c>
      <c r="W877" s="115">
        <v>326.48200000000003</v>
      </c>
      <c r="X877" s="115">
        <v>326.43299999999999</v>
      </c>
      <c r="Y877" s="115">
        <v>326.44</v>
      </c>
      <c r="Z877" s="115">
        <v>326.32600000000002</v>
      </c>
      <c r="AA877" s="115">
        <v>326.18299999999999</v>
      </c>
      <c r="AB877" s="115">
        <v>326.01400000000001</v>
      </c>
      <c r="AC877" s="115">
        <v>325.70800000000003</v>
      </c>
      <c r="AD877" s="43"/>
      <c r="AE877" s="43"/>
      <c r="AF877" s="43"/>
      <c r="AG877" s="43"/>
      <c r="AH877" s="43"/>
      <c r="AI877" s="43"/>
    </row>
    <row r="878" spans="1:35" x14ac:dyDescent="0.25">
      <c r="A878" s="115" t="s">
        <v>327</v>
      </c>
      <c r="B878" s="115"/>
      <c r="C878" s="115">
        <v>605.49400000000003</v>
      </c>
      <c r="D878" s="115">
        <v>514.27200000000005</v>
      </c>
      <c r="E878" s="115">
        <v>473.10199999999998</v>
      </c>
      <c r="F878" s="115">
        <v>531.97699999999998</v>
      </c>
      <c r="G878" s="115">
        <v>499.55200000000002</v>
      </c>
      <c r="H878" s="115">
        <v>461.78300000000002</v>
      </c>
      <c r="I878" s="115">
        <v>425.16399999999999</v>
      </c>
      <c r="J878" s="115">
        <v>513.226</v>
      </c>
      <c r="K878" s="115">
        <v>471.50700000000001</v>
      </c>
      <c r="L878" s="115">
        <v>502.40300000000002</v>
      </c>
      <c r="M878" s="115">
        <v>537.89200000000005</v>
      </c>
      <c r="N878" s="115">
        <v>573.60799999999995</v>
      </c>
      <c r="O878" s="115">
        <v>450.96</v>
      </c>
      <c r="P878" s="115">
        <v>491.04300000000001</v>
      </c>
      <c r="Q878" s="115">
        <v>510.65499999999997</v>
      </c>
      <c r="R878" s="115">
        <v>464.37299999999999</v>
      </c>
      <c r="S878" s="115">
        <v>540.43200000000002</v>
      </c>
      <c r="T878" s="115">
        <v>472.19</v>
      </c>
      <c r="U878" s="115">
        <v>466.50099999999998</v>
      </c>
      <c r="V878" s="115">
        <v>431.47199999999998</v>
      </c>
      <c r="W878" s="115">
        <v>200.83099999999999</v>
      </c>
      <c r="X878" s="115">
        <v>196.84899999999999</v>
      </c>
      <c r="Y878" s="115">
        <v>225.762</v>
      </c>
      <c r="Z878" s="115">
        <v>191.565</v>
      </c>
      <c r="AA878" s="115">
        <v>188.541</v>
      </c>
      <c r="AB878" s="115">
        <v>187.089</v>
      </c>
      <c r="AC878" s="115">
        <v>184.57599999999999</v>
      </c>
      <c r="AD878" s="43"/>
      <c r="AE878" s="43"/>
      <c r="AF878" s="43"/>
      <c r="AG878" s="43"/>
      <c r="AH878" s="43"/>
      <c r="AI878" s="43"/>
    </row>
    <row r="879" spans="1:35" x14ac:dyDescent="0.25">
      <c r="A879" s="115" t="s">
        <v>333</v>
      </c>
      <c r="B879" s="115"/>
      <c r="C879" s="115">
        <v>321.32299999999998</v>
      </c>
      <c r="D879" s="115">
        <v>446.85</v>
      </c>
      <c r="E879" s="115">
        <v>415.19499999999999</v>
      </c>
      <c r="F879" s="115">
        <v>455.91899999999998</v>
      </c>
      <c r="G879" s="115">
        <v>429.78800000000001</v>
      </c>
      <c r="H879" s="115">
        <v>399.298</v>
      </c>
      <c r="I879" s="115">
        <v>370.16300000000001</v>
      </c>
      <c r="J879" s="115">
        <v>432.85</v>
      </c>
      <c r="K879" s="115">
        <v>400.22699999999998</v>
      </c>
      <c r="L879" s="115">
        <v>421.19299999999998</v>
      </c>
      <c r="M879" s="115">
        <v>445.66699999999997</v>
      </c>
      <c r="N879" s="115">
        <v>468.815</v>
      </c>
      <c r="O879" s="115">
        <v>387.40100000000001</v>
      </c>
      <c r="P879" s="115">
        <v>415.74099999999999</v>
      </c>
      <c r="Q879" s="115">
        <v>429.72500000000002</v>
      </c>
      <c r="R879" s="115">
        <v>398.53300000000002</v>
      </c>
      <c r="S879" s="115">
        <v>451.92099999999999</v>
      </c>
      <c r="T879" s="115">
        <v>404.214</v>
      </c>
      <c r="U879" s="115">
        <v>400.43799999999999</v>
      </c>
      <c r="V879" s="115">
        <v>373.363</v>
      </c>
      <c r="W879" s="115">
        <v>600.35</v>
      </c>
      <c r="X879" s="115">
        <v>608.10599999999999</v>
      </c>
      <c r="Y879" s="115">
        <v>597.33100000000002</v>
      </c>
      <c r="Z879" s="115">
        <v>616.90200000000004</v>
      </c>
      <c r="AA879" s="115">
        <v>589.54899999999998</v>
      </c>
      <c r="AB879" s="115">
        <v>558.75</v>
      </c>
      <c r="AC879" s="115">
        <v>528.52200000000005</v>
      </c>
      <c r="AD879" s="43"/>
      <c r="AE879" s="43"/>
      <c r="AF879" s="43"/>
      <c r="AG879" s="43"/>
      <c r="AH879" s="43"/>
      <c r="AI879" s="43"/>
    </row>
    <row r="880" spans="1:35" x14ac:dyDescent="0.25">
      <c r="A880" s="115" t="s">
        <v>244</v>
      </c>
      <c r="B880" s="115"/>
      <c r="C880" s="115">
        <v>416.06099999999998</v>
      </c>
      <c r="D880" s="115">
        <v>207.47300000000001</v>
      </c>
      <c r="E880" s="115">
        <v>198.68299999999999</v>
      </c>
      <c r="F880" s="115">
        <v>217.56399999999999</v>
      </c>
      <c r="G880" s="115">
        <v>210.60499999999999</v>
      </c>
      <c r="H880" s="115">
        <v>201.822</v>
      </c>
      <c r="I880" s="115">
        <v>193.33199999999999</v>
      </c>
      <c r="J880" s="115">
        <v>220.83600000000001</v>
      </c>
      <c r="K880" s="115">
        <v>210.916</v>
      </c>
      <c r="L880" s="115">
        <v>222.30600000000001</v>
      </c>
      <c r="M880" s="115">
        <v>235.28100000000001</v>
      </c>
      <c r="N880" s="115">
        <v>247.93</v>
      </c>
      <c r="O880" s="115">
        <v>209.22300000000001</v>
      </c>
      <c r="P880" s="115">
        <v>221.142</v>
      </c>
      <c r="Q880" s="115">
        <v>226.99100000000001</v>
      </c>
      <c r="R880" s="115">
        <v>212.24</v>
      </c>
      <c r="S880" s="115">
        <v>235.92500000000001</v>
      </c>
      <c r="T880" s="115">
        <v>214.429</v>
      </c>
      <c r="U880" s="115">
        <v>212.61099999999999</v>
      </c>
      <c r="V880" s="115">
        <v>200.185</v>
      </c>
      <c r="W880" s="115">
        <v>335.27</v>
      </c>
      <c r="X880" s="115">
        <v>240.071</v>
      </c>
      <c r="Y880" s="115">
        <v>239.715</v>
      </c>
      <c r="Z880" s="115">
        <v>245.22900000000001</v>
      </c>
      <c r="AA880" s="115">
        <v>236.648</v>
      </c>
      <c r="AB880" s="115">
        <v>226.93100000000001</v>
      </c>
      <c r="AC880" s="115">
        <v>217.239</v>
      </c>
      <c r="AD880" s="43"/>
      <c r="AE880" s="43"/>
      <c r="AF880" s="43"/>
      <c r="AG880" s="43"/>
      <c r="AH880" s="43"/>
      <c r="AI880" s="43"/>
    </row>
    <row r="881" spans="1:35" x14ac:dyDescent="0.25">
      <c r="A881" s="115" t="s">
        <v>32</v>
      </c>
      <c r="B881" s="115"/>
      <c r="C881" s="115">
        <v>105.626</v>
      </c>
      <c r="D881" s="115">
        <v>159.85499999999999</v>
      </c>
      <c r="E881" s="115">
        <v>133.62200000000001</v>
      </c>
      <c r="F881" s="115">
        <v>143.84100000000001</v>
      </c>
      <c r="G881" s="115">
        <v>124.09</v>
      </c>
      <c r="H881" s="115">
        <v>101.407</v>
      </c>
      <c r="I881" s="115">
        <v>80.004999999999995</v>
      </c>
      <c r="J881" s="115">
        <v>110.98399999999999</v>
      </c>
      <c r="K881" s="115">
        <v>88.650999999999996</v>
      </c>
      <c r="L881" s="115">
        <v>96.700999999999993</v>
      </c>
      <c r="M881" s="115">
        <v>106.69</v>
      </c>
      <c r="N881" s="115">
        <v>115.774</v>
      </c>
      <c r="O881" s="115">
        <v>111.28400000000001</v>
      </c>
      <c r="P881" s="115">
        <v>125.464</v>
      </c>
      <c r="Q881" s="115">
        <v>134.39400000000001</v>
      </c>
      <c r="R881" s="115">
        <v>136.726</v>
      </c>
      <c r="S881" s="115">
        <v>152.27799999999999</v>
      </c>
      <c r="T881" s="115">
        <v>144.83099999999999</v>
      </c>
      <c r="U881" s="115">
        <v>145.81200000000001</v>
      </c>
      <c r="V881" s="115">
        <v>142.875</v>
      </c>
      <c r="W881" s="115">
        <v>45.095999999999997</v>
      </c>
      <c r="X881" s="115">
        <v>56.726999999999997</v>
      </c>
      <c r="Y881" s="115">
        <v>54.396999999999998</v>
      </c>
      <c r="Z881" s="115">
        <v>52.470999999999997</v>
      </c>
      <c r="AA881" s="115">
        <v>47.762999999999998</v>
      </c>
      <c r="AB881" s="115">
        <v>42.679000000000002</v>
      </c>
      <c r="AC881" s="115">
        <v>37.878999999999998</v>
      </c>
      <c r="AD881" s="43"/>
      <c r="AE881" s="43"/>
      <c r="AF881" s="43"/>
      <c r="AG881" s="43"/>
      <c r="AH881" s="43"/>
      <c r="AI881" s="43"/>
    </row>
    <row r="882" spans="1:35" x14ac:dyDescent="0.25">
      <c r="A882" s="115" t="s">
        <v>245</v>
      </c>
      <c r="B882" s="115"/>
      <c r="C882" s="115">
        <v>89.36</v>
      </c>
      <c r="D882" s="115">
        <v>138.86099999999999</v>
      </c>
      <c r="E882" s="115">
        <v>115.136</v>
      </c>
      <c r="F882" s="115">
        <v>121.592</v>
      </c>
      <c r="G882" s="115">
        <v>103.614</v>
      </c>
      <c r="H882" s="115">
        <v>83.141999999999996</v>
      </c>
      <c r="I882" s="115">
        <v>63.874000000000002</v>
      </c>
      <c r="J882" s="115">
        <v>89.855999999999995</v>
      </c>
      <c r="K882" s="115">
        <v>69.527000000000001</v>
      </c>
      <c r="L882" s="115">
        <v>75.402000000000001</v>
      </c>
      <c r="M882" s="115">
        <v>82.936000000000007</v>
      </c>
      <c r="N882" s="115">
        <v>89.587999999999994</v>
      </c>
      <c r="O882" s="115">
        <v>93.769000000000005</v>
      </c>
      <c r="P882" s="115">
        <v>105.453</v>
      </c>
      <c r="Q882" s="115">
        <v>112.521</v>
      </c>
      <c r="R882" s="115">
        <v>118.49</v>
      </c>
      <c r="S882" s="115">
        <v>127.117</v>
      </c>
      <c r="T882" s="115">
        <v>123.696</v>
      </c>
      <c r="U882" s="115">
        <v>124.47199999999999</v>
      </c>
      <c r="V882" s="115">
        <v>124.581</v>
      </c>
      <c r="W882" s="115">
        <v>30.742000000000001</v>
      </c>
      <c r="X882" s="115">
        <v>45.759</v>
      </c>
      <c r="Y882" s="115">
        <v>38.587000000000003</v>
      </c>
      <c r="Z882" s="115">
        <v>40.598999999999997</v>
      </c>
      <c r="AA882" s="115">
        <v>34.804000000000002</v>
      </c>
      <c r="AB882" s="115">
        <v>28.283999999999999</v>
      </c>
      <c r="AC882" s="115">
        <v>22.245000000000001</v>
      </c>
      <c r="AD882" s="43"/>
      <c r="AE882" s="43"/>
      <c r="AF882" s="43"/>
      <c r="AG882" s="43"/>
      <c r="AH882" s="43"/>
      <c r="AI882" s="43"/>
    </row>
    <row r="883" spans="1:35" x14ac:dyDescent="0.25">
      <c r="A883" s="115" t="s">
        <v>246</v>
      </c>
      <c r="B883" s="115"/>
      <c r="C883" s="115">
        <v>34.183999999999997</v>
      </c>
      <c r="D883" s="115"/>
      <c r="E883" s="115">
        <v>54.768000000000001</v>
      </c>
      <c r="F883" s="115">
        <v>35.398000000000003</v>
      </c>
      <c r="G883" s="115">
        <v>77.872</v>
      </c>
      <c r="H883" s="115">
        <v>126.503</v>
      </c>
      <c r="I883" s="115">
        <v>172.24700000000001</v>
      </c>
      <c r="J883" s="115">
        <v>101.687</v>
      </c>
      <c r="K883" s="115">
        <v>152.70699999999999</v>
      </c>
      <c r="L883" s="115">
        <v>134.70400000000001</v>
      </c>
      <c r="M883" s="115">
        <v>111.958</v>
      </c>
      <c r="N883" s="115">
        <v>91.938999999999993</v>
      </c>
      <c r="O883" s="115">
        <v>80.8</v>
      </c>
      <c r="P883" s="115">
        <v>48.869</v>
      </c>
      <c r="Q883" s="115">
        <v>32.82</v>
      </c>
      <c r="R883" s="115">
        <v>19.89</v>
      </c>
      <c r="S883" s="115"/>
      <c r="T883" s="115">
        <v>11.452999999999999</v>
      </c>
      <c r="U883" s="115">
        <v>11.46</v>
      </c>
      <c r="V883" s="115">
        <v>12.702</v>
      </c>
      <c r="W883" s="115">
        <v>5.5880000000000001</v>
      </c>
      <c r="X883" s="115">
        <v>9.4209999999999994</v>
      </c>
      <c r="Y883" s="115">
        <v>6.3630000000000004</v>
      </c>
      <c r="Z883" s="115">
        <v>8.3369999999999997</v>
      </c>
      <c r="AA883" s="115">
        <v>7.03</v>
      </c>
      <c r="AB883" s="115">
        <v>5.5419999999999998</v>
      </c>
      <c r="AC883" s="115">
        <v>4.0460000000000003</v>
      </c>
      <c r="AD883" s="43"/>
      <c r="AE883" s="43"/>
      <c r="AF883" s="43"/>
      <c r="AG883" s="43"/>
      <c r="AH883" s="43"/>
      <c r="AI883" s="43"/>
    </row>
    <row r="884" spans="1:35" x14ac:dyDescent="0.25">
      <c r="A884" s="115" t="s">
        <v>247</v>
      </c>
      <c r="B884" s="115"/>
      <c r="C884" s="115">
        <v>280.30200000000002</v>
      </c>
      <c r="D884" s="115">
        <v>268.38200000000001</v>
      </c>
      <c r="E884" s="115">
        <v>236.399</v>
      </c>
      <c r="F884" s="115">
        <v>248.36699999999999</v>
      </c>
      <c r="G884" s="115">
        <v>222.934</v>
      </c>
      <c r="H884" s="115">
        <v>193.81399999999999</v>
      </c>
      <c r="I884" s="115">
        <v>166.34800000000001</v>
      </c>
      <c r="J884" s="115">
        <v>209.91900000000001</v>
      </c>
      <c r="K884" s="115">
        <v>178.25200000000001</v>
      </c>
      <c r="L884" s="115">
        <v>189.35400000000001</v>
      </c>
      <c r="M884" s="115">
        <v>203.52500000000001</v>
      </c>
      <c r="N884" s="115">
        <v>216.744</v>
      </c>
      <c r="O884" s="115">
        <v>223.352</v>
      </c>
      <c r="P884" s="115">
        <v>243.126</v>
      </c>
      <c r="Q884" s="115">
        <v>251.58500000000001</v>
      </c>
      <c r="R884" s="115">
        <v>257.90600000000001</v>
      </c>
      <c r="S884" s="115">
        <v>267.738</v>
      </c>
      <c r="T884" s="115">
        <v>257.62</v>
      </c>
      <c r="U884" s="115">
        <v>254.29499999999999</v>
      </c>
      <c r="V884" s="115">
        <v>249.85599999999999</v>
      </c>
      <c r="W884" s="115">
        <v>61.021999999999998</v>
      </c>
      <c r="X884" s="115">
        <v>90.576999999999998</v>
      </c>
      <c r="Y884" s="115">
        <v>75.573999999999998</v>
      </c>
      <c r="Z884" s="115">
        <v>79.405000000000001</v>
      </c>
      <c r="AA884" s="115">
        <v>67.692999999999998</v>
      </c>
      <c r="AB884" s="115">
        <v>54.753</v>
      </c>
      <c r="AC884" s="115">
        <v>42.841999999999999</v>
      </c>
      <c r="AD884" s="43"/>
      <c r="AE884" s="43"/>
      <c r="AF884" s="43"/>
      <c r="AG884" s="43"/>
      <c r="AH884" s="43"/>
      <c r="AI884" s="43"/>
    </row>
    <row r="885" spans="1:35" x14ac:dyDescent="0.25">
      <c r="A885" s="115" t="s">
        <v>248</v>
      </c>
      <c r="B885" s="115"/>
      <c r="C885" s="115">
        <v>11.446</v>
      </c>
      <c r="D885" s="115">
        <v>6.9960000000000004</v>
      </c>
      <c r="E885" s="115">
        <v>6.89</v>
      </c>
      <c r="F885" s="115">
        <v>6.7919999999999998</v>
      </c>
      <c r="G885" s="115">
        <v>6.69</v>
      </c>
      <c r="H885" s="115">
        <v>6.609</v>
      </c>
      <c r="I885" s="115">
        <v>6.5529999999999999</v>
      </c>
      <c r="J885" s="115">
        <v>6.5119999999999996</v>
      </c>
      <c r="K885" s="115">
        <v>6.4379999999999997</v>
      </c>
      <c r="L885" s="115">
        <v>6.3940000000000001</v>
      </c>
      <c r="M885" s="115">
        <v>6.3440000000000003</v>
      </c>
      <c r="N885" s="115">
        <v>6.3010000000000002</v>
      </c>
      <c r="O885" s="115">
        <v>6.3369999999999997</v>
      </c>
      <c r="P885" s="115">
        <v>6.3869999999999996</v>
      </c>
      <c r="Q885" s="115">
        <v>6.3780000000000001</v>
      </c>
      <c r="R885" s="115">
        <v>6.3529999999999998</v>
      </c>
      <c r="S885" s="115">
        <v>6.2960000000000003</v>
      </c>
      <c r="T885" s="115">
        <v>6.2009999999999996</v>
      </c>
      <c r="U885" s="115">
        <v>6.1040000000000001</v>
      </c>
      <c r="V885" s="115">
        <v>5.9909999999999997</v>
      </c>
      <c r="W885" s="115">
        <v>1.4890000000000001</v>
      </c>
      <c r="X885" s="115">
        <v>2.2240000000000002</v>
      </c>
      <c r="Y885" s="115">
        <v>1.8320000000000001</v>
      </c>
      <c r="Z885" s="115">
        <v>1.9430000000000001</v>
      </c>
      <c r="AA885" s="115">
        <v>1.651</v>
      </c>
      <c r="AB885" s="115">
        <v>1.329</v>
      </c>
      <c r="AC885" s="115">
        <v>1.0329999999999999</v>
      </c>
      <c r="AD885" s="43"/>
      <c r="AE885" s="43"/>
      <c r="AF885" s="43"/>
      <c r="AG885" s="43"/>
      <c r="AH885" s="43"/>
      <c r="AI885" s="43"/>
    </row>
    <row r="886" spans="1:35" x14ac:dyDescent="0.25">
      <c r="A886" s="115" t="s">
        <v>249</v>
      </c>
      <c r="B886" s="115"/>
      <c r="C886" s="115">
        <v>71.019000000000005</v>
      </c>
      <c r="D886" s="115">
        <v>70.945999999999998</v>
      </c>
      <c r="E886" s="115">
        <v>70.861000000000004</v>
      </c>
      <c r="F886" s="115">
        <v>70.771000000000001</v>
      </c>
      <c r="G886" s="115">
        <v>70.662000000000006</v>
      </c>
      <c r="H886" s="115">
        <v>70.537000000000006</v>
      </c>
      <c r="I886" s="115">
        <v>70.381</v>
      </c>
      <c r="J886" s="115">
        <v>70.176000000000002</v>
      </c>
      <c r="K886" s="115">
        <v>69.903000000000006</v>
      </c>
      <c r="L886" s="115">
        <v>69.584999999999994</v>
      </c>
      <c r="M886" s="115">
        <v>69.197000000000003</v>
      </c>
      <c r="N886" s="115">
        <v>68.872</v>
      </c>
      <c r="O886" s="115">
        <v>68.491</v>
      </c>
      <c r="P886" s="115">
        <v>68.144999999999996</v>
      </c>
      <c r="Q886" s="115">
        <v>67.831000000000003</v>
      </c>
      <c r="R886" s="115">
        <v>67.587999999999994</v>
      </c>
      <c r="S886" s="115">
        <v>67.393000000000001</v>
      </c>
      <c r="T886" s="115">
        <v>67.225999999999999</v>
      </c>
      <c r="U886" s="115">
        <v>67.147999999999996</v>
      </c>
      <c r="V886" s="115">
        <v>67.150000000000006</v>
      </c>
      <c r="W886" s="115">
        <v>183.60499999999999</v>
      </c>
      <c r="X886" s="115">
        <v>67.251000000000005</v>
      </c>
      <c r="Y886" s="115">
        <v>253.51400000000001</v>
      </c>
      <c r="Z886" s="115">
        <v>187.358</v>
      </c>
      <c r="AA886" s="115">
        <v>330.93700000000001</v>
      </c>
      <c r="AB886" s="115">
        <v>493.81299999999999</v>
      </c>
      <c r="AC886" s="115">
        <v>643.58699999999999</v>
      </c>
      <c r="AD886" s="43"/>
      <c r="AE886" s="43"/>
      <c r="AF886" s="43"/>
      <c r="AG886" s="43"/>
      <c r="AH886" s="43"/>
      <c r="AI886" s="43"/>
    </row>
    <row r="887" spans="1:35" x14ac:dyDescent="0.25">
      <c r="A887" s="115" t="s">
        <v>250</v>
      </c>
      <c r="B887" s="115"/>
      <c r="C887" s="115">
        <v>144.798</v>
      </c>
      <c r="D887" s="115">
        <v>144.79599999999999</v>
      </c>
      <c r="E887" s="115">
        <v>144.79</v>
      </c>
      <c r="F887" s="115">
        <v>144.779</v>
      </c>
      <c r="G887" s="115">
        <v>144.76400000000001</v>
      </c>
      <c r="H887" s="115">
        <v>144.744</v>
      </c>
      <c r="I887" s="115">
        <v>144.71799999999999</v>
      </c>
      <c r="J887" s="115">
        <v>144.68600000000001</v>
      </c>
      <c r="K887" s="115">
        <v>144.649</v>
      </c>
      <c r="L887" s="115">
        <v>144.60400000000001</v>
      </c>
      <c r="M887" s="115">
        <v>144.55000000000001</v>
      </c>
      <c r="N887" s="115">
        <v>144.51300000000001</v>
      </c>
      <c r="O887" s="115">
        <v>144.48699999999999</v>
      </c>
      <c r="P887" s="115">
        <v>144.46799999999999</v>
      </c>
      <c r="Q887" s="115">
        <v>144.45500000000001</v>
      </c>
      <c r="R887" s="115">
        <v>144.44999999999999</v>
      </c>
      <c r="S887" s="115">
        <v>144.44499999999999</v>
      </c>
      <c r="T887" s="115">
        <v>144.43899999999999</v>
      </c>
      <c r="U887" s="115">
        <v>144.43899999999999</v>
      </c>
      <c r="V887" s="115">
        <v>144.447</v>
      </c>
      <c r="W887" s="115">
        <v>735.19200000000001</v>
      </c>
      <c r="X887" s="115">
        <v>652.08699999999999</v>
      </c>
      <c r="Y887" s="115">
        <v>611.84100000000001</v>
      </c>
      <c r="Z887" s="115">
        <v>671.26599999999996</v>
      </c>
      <c r="AA887" s="115">
        <v>638.26800000000003</v>
      </c>
      <c r="AB887" s="115">
        <v>599.09</v>
      </c>
      <c r="AC887" s="115">
        <v>561.53700000000003</v>
      </c>
      <c r="AD887" s="43"/>
      <c r="AE887" s="43"/>
      <c r="AF887" s="43"/>
      <c r="AG887" s="43"/>
      <c r="AH887" s="43"/>
      <c r="AI887" s="43"/>
    </row>
    <row r="888" spans="1:35" x14ac:dyDescent="0.25">
      <c r="A888" s="115" t="s">
        <v>251</v>
      </c>
      <c r="B888" s="115"/>
      <c r="C888" s="115">
        <v>10.6</v>
      </c>
      <c r="D888" s="115">
        <v>13.106</v>
      </c>
      <c r="E888" s="115">
        <v>11.132999999999999</v>
      </c>
      <c r="F888" s="115">
        <v>13.855</v>
      </c>
      <c r="G888" s="115">
        <v>12.298</v>
      </c>
      <c r="H888" s="115">
        <v>10.462999999999999</v>
      </c>
      <c r="I888" s="115">
        <v>8.6929999999999996</v>
      </c>
      <c r="J888" s="115">
        <v>12.613</v>
      </c>
      <c r="K888" s="115">
        <v>10.823</v>
      </c>
      <c r="L888" s="115">
        <v>12.404</v>
      </c>
      <c r="M888" s="115">
        <v>14.257</v>
      </c>
      <c r="N888" s="115">
        <v>16.097000000000001</v>
      </c>
      <c r="O888" s="115">
        <v>17.515000000000001</v>
      </c>
      <c r="P888" s="115">
        <v>20.010999999999999</v>
      </c>
      <c r="Q888" s="115">
        <v>21.873000000000001</v>
      </c>
      <c r="R888" s="115">
        <v>18.236000000000001</v>
      </c>
      <c r="S888" s="115">
        <v>25.161999999999999</v>
      </c>
      <c r="T888" s="115">
        <v>21.135999999999999</v>
      </c>
      <c r="U888" s="115">
        <v>21.34</v>
      </c>
      <c r="V888" s="115">
        <v>18.294</v>
      </c>
      <c r="W888" s="115">
        <v>14.355</v>
      </c>
      <c r="X888" s="115">
        <v>10.967000000000001</v>
      </c>
      <c r="Y888" s="115">
        <v>15.81</v>
      </c>
      <c r="Z888" s="115">
        <v>11.872</v>
      </c>
      <c r="AA888" s="115">
        <v>12.959</v>
      </c>
      <c r="AB888" s="115">
        <v>14.396000000000001</v>
      </c>
      <c r="AC888" s="115">
        <v>15.635</v>
      </c>
      <c r="AD888" s="43"/>
      <c r="AE888" s="43"/>
      <c r="AF888" s="43"/>
      <c r="AG888" s="43"/>
      <c r="AH888" s="43"/>
      <c r="AI888" s="43"/>
    </row>
    <row r="889" spans="1:35" x14ac:dyDescent="0.25">
      <c r="A889" s="115" t="s">
        <v>39</v>
      </c>
      <c r="B889" s="115"/>
      <c r="C889" s="115">
        <v>80.271000000000001</v>
      </c>
      <c r="D889" s="115"/>
      <c r="E889" s="115">
        <v>127.508</v>
      </c>
      <c r="F889" s="115">
        <v>81.686000000000007</v>
      </c>
      <c r="G889" s="115">
        <v>178.76400000000001</v>
      </c>
      <c r="H889" s="115">
        <v>288.11799999999999</v>
      </c>
      <c r="I889" s="115">
        <v>387.96</v>
      </c>
      <c r="J889" s="115">
        <v>225.672</v>
      </c>
      <c r="K889" s="115">
        <v>336.52</v>
      </c>
      <c r="L889" s="115">
        <v>293.64999999999998</v>
      </c>
      <c r="M889" s="115">
        <v>241.90600000000001</v>
      </c>
      <c r="N889" s="115">
        <v>196.95500000000001</v>
      </c>
      <c r="O889" s="115">
        <v>172.11799999999999</v>
      </c>
      <c r="P889" s="115">
        <v>104.04900000000001</v>
      </c>
      <c r="Q889" s="115">
        <v>70.097999999999999</v>
      </c>
      <c r="R889" s="115">
        <v>33.027999999999999</v>
      </c>
      <c r="S889" s="115"/>
      <c r="T889" s="115">
        <v>20.146999999999998</v>
      </c>
      <c r="U889" s="115">
        <v>20.14</v>
      </c>
      <c r="V889" s="115">
        <v>18.898</v>
      </c>
      <c r="W889" s="115">
        <v>26.012</v>
      </c>
      <c r="X889" s="115">
        <v>22.178999999999998</v>
      </c>
      <c r="Y889" s="115">
        <v>25.236999999999998</v>
      </c>
      <c r="Z889" s="115">
        <v>23.263000000000002</v>
      </c>
      <c r="AA889" s="115">
        <v>24.57</v>
      </c>
      <c r="AB889" s="115">
        <v>26.058</v>
      </c>
      <c r="AC889" s="115">
        <v>25.954000000000001</v>
      </c>
      <c r="AD889" s="43"/>
      <c r="AE889" s="43"/>
      <c r="AF889" s="43"/>
      <c r="AG889" s="43"/>
      <c r="AH889" s="43"/>
      <c r="AI889" s="43"/>
    </row>
    <row r="890" spans="1:35" x14ac:dyDescent="0.25">
      <c r="A890" s="115" t="s">
        <v>40</v>
      </c>
      <c r="B890" s="115"/>
      <c r="C890" s="115">
        <v>174.619</v>
      </c>
      <c r="D890" s="115">
        <v>133.69</v>
      </c>
      <c r="E890" s="115">
        <v>125.655</v>
      </c>
      <c r="F890" s="115">
        <v>158.42599999999999</v>
      </c>
      <c r="G890" s="115">
        <v>151.721</v>
      </c>
      <c r="H890" s="115">
        <v>142.83199999999999</v>
      </c>
      <c r="I890" s="115">
        <v>134.17699999999999</v>
      </c>
      <c r="J890" s="115">
        <v>171.322</v>
      </c>
      <c r="K890" s="115">
        <v>161.572</v>
      </c>
      <c r="L890" s="115">
        <v>179.059</v>
      </c>
      <c r="M890" s="115">
        <v>198.381</v>
      </c>
      <c r="N890" s="115">
        <v>217.12899999999999</v>
      </c>
      <c r="O890" s="115">
        <v>228.785</v>
      </c>
      <c r="P890" s="115">
        <v>249.29</v>
      </c>
      <c r="Q890" s="115">
        <v>260.67599999999999</v>
      </c>
      <c r="R890" s="115">
        <v>208.41800000000001</v>
      </c>
      <c r="S890" s="115">
        <v>275.66300000000001</v>
      </c>
      <c r="T890" s="115">
        <v>216.58500000000001</v>
      </c>
      <c r="U890" s="115">
        <v>214.316</v>
      </c>
      <c r="V890" s="115">
        <v>179.24600000000001</v>
      </c>
      <c r="W890" s="115">
        <v>139.40600000000001</v>
      </c>
      <c r="X890" s="115">
        <v>105.514</v>
      </c>
      <c r="Y890" s="115">
        <v>149.63200000000001</v>
      </c>
      <c r="Z890" s="115">
        <v>111.46</v>
      </c>
      <c r="AA890" s="115">
        <v>120.236</v>
      </c>
      <c r="AB890" s="115">
        <v>131.83799999999999</v>
      </c>
      <c r="AC890" s="115">
        <v>141.38200000000001</v>
      </c>
      <c r="AD890" s="43"/>
      <c r="AE890" s="43"/>
      <c r="AF890" s="43"/>
      <c r="AG890" s="43"/>
      <c r="AH890" s="43"/>
      <c r="AI890" s="43"/>
    </row>
    <row r="891" spans="1:35" x14ac:dyDescent="0.25">
      <c r="A891" s="115" t="s">
        <v>41</v>
      </c>
      <c r="B891" s="115"/>
      <c r="C891" s="115">
        <v>514.33500000000004</v>
      </c>
      <c r="D891" s="115">
        <v>636.47299999999996</v>
      </c>
      <c r="E891" s="115">
        <v>517.43600000000004</v>
      </c>
      <c r="F891" s="115">
        <v>525.29</v>
      </c>
      <c r="G891" s="115">
        <v>434.74</v>
      </c>
      <c r="H891" s="115">
        <v>334.22500000000002</v>
      </c>
      <c r="I891" s="115">
        <v>242.89</v>
      </c>
      <c r="J891" s="115">
        <v>361.96199999999999</v>
      </c>
      <c r="K891" s="115">
        <v>262.10000000000002</v>
      </c>
      <c r="L891" s="115">
        <v>285.238</v>
      </c>
      <c r="M891" s="115">
        <v>315.29700000000003</v>
      </c>
      <c r="N891" s="115">
        <v>339.197</v>
      </c>
      <c r="O891" s="115">
        <v>350.42200000000003</v>
      </c>
      <c r="P891" s="115">
        <v>394.88600000000002</v>
      </c>
      <c r="Q891" s="115">
        <v>415.048</v>
      </c>
      <c r="R891" s="115">
        <v>333.64</v>
      </c>
      <c r="S891" s="115">
        <v>448.154</v>
      </c>
      <c r="T891" s="115">
        <v>360.78699999999998</v>
      </c>
      <c r="U891" s="115">
        <v>357.05599999999998</v>
      </c>
      <c r="V891" s="115">
        <v>297.51900000000001</v>
      </c>
      <c r="W891" s="115">
        <v>225.048</v>
      </c>
      <c r="X891" s="115">
        <v>167.11500000000001</v>
      </c>
      <c r="Y891" s="115">
        <v>235.55199999999999</v>
      </c>
      <c r="Z891" s="115">
        <v>171.727</v>
      </c>
      <c r="AA891" s="115">
        <v>182.45</v>
      </c>
      <c r="AB891" s="115">
        <v>197.471</v>
      </c>
      <c r="AC891" s="115">
        <v>209.977</v>
      </c>
      <c r="AD891" s="43"/>
      <c r="AE891" s="43"/>
      <c r="AF891" s="43"/>
      <c r="AG891" s="43"/>
      <c r="AH891" s="43"/>
      <c r="AI891" s="43"/>
    </row>
    <row r="892" spans="1:35" x14ac:dyDescent="0.25">
      <c r="A892" s="115" t="s">
        <v>42</v>
      </c>
      <c r="B892" s="115"/>
      <c r="C892" s="115">
        <v>6.7770000000000001</v>
      </c>
      <c r="D892" s="115">
        <v>1.9530000000000001</v>
      </c>
      <c r="E892" s="115">
        <v>2.073</v>
      </c>
      <c r="F892" s="115">
        <v>3.07</v>
      </c>
      <c r="G892" s="115">
        <v>3.2749999999999999</v>
      </c>
      <c r="H892" s="115">
        <v>3.5830000000000002</v>
      </c>
      <c r="I892" s="115">
        <v>3.8919999999999999</v>
      </c>
      <c r="J892" s="115">
        <v>4.4219999999999997</v>
      </c>
      <c r="K892" s="115">
        <v>4.7080000000000002</v>
      </c>
      <c r="L892" s="115">
        <v>5.0999999999999996</v>
      </c>
      <c r="M892" s="115">
        <v>5.4210000000000003</v>
      </c>
      <c r="N892" s="115">
        <v>5.7089999999999996</v>
      </c>
      <c r="O892" s="115">
        <v>6.0709999999999997</v>
      </c>
      <c r="P892" s="115">
        <v>6.4820000000000002</v>
      </c>
      <c r="Q892" s="115">
        <v>6.7830000000000004</v>
      </c>
      <c r="R892" s="115">
        <v>5.3570000000000002</v>
      </c>
      <c r="S892" s="115">
        <v>6.9390000000000001</v>
      </c>
      <c r="T892" s="115">
        <v>5.6630000000000003</v>
      </c>
      <c r="U892" s="115">
        <v>5.6319999999999997</v>
      </c>
      <c r="V892" s="115">
        <v>4.7380000000000004</v>
      </c>
      <c r="W892" s="115">
        <v>3.7549999999999999</v>
      </c>
      <c r="X892" s="115">
        <v>2.8679999999999999</v>
      </c>
      <c r="Y892" s="115">
        <v>4.0549999999999997</v>
      </c>
      <c r="Z892" s="115">
        <v>3.0569999999999999</v>
      </c>
      <c r="AA892" s="115">
        <v>3.3130000000000002</v>
      </c>
      <c r="AB892" s="115">
        <v>3.637</v>
      </c>
      <c r="AC892" s="115">
        <v>3.8940000000000001</v>
      </c>
      <c r="AD892" s="43"/>
      <c r="AE892" s="43"/>
      <c r="AF892" s="43"/>
      <c r="AG892" s="43"/>
      <c r="AH892" s="43"/>
      <c r="AI892" s="43"/>
    </row>
    <row r="893" spans="1:35" x14ac:dyDescent="0.25">
      <c r="A893" s="115" t="s">
        <v>252</v>
      </c>
      <c r="B893" s="115"/>
      <c r="C893" s="115">
        <v>5.6660000000000004</v>
      </c>
      <c r="D893" s="115">
        <v>7.8879999999999999</v>
      </c>
      <c r="E893" s="115">
        <v>7.3529999999999998</v>
      </c>
      <c r="F893" s="115">
        <v>8.3949999999999996</v>
      </c>
      <c r="G893" s="115">
        <v>8.1769999999999996</v>
      </c>
      <c r="H893" s="115">
        <v>7.8019999999999996</v>
      </c>
      <c r="I893" s="115">
        <v>7.4390000000000001</v>
      </c>
      <c r="J893" s="115">
        <v>8.5139999999999993</v>
      </c>
      <c r="K893" s="115">
        <v>8.3000000000000007</v>
      </c>
      <c r="L893" s="115">
        <v>8.8940000000000001</v>
      </c>
      <c r="M893" s="115">
        <v>9.4960000000000004</v>
      </c>
      <c r="N893" s="115">
        <v>10.087999999999999</v>
      </c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43"/>
      <c r="AE893" s="43"/>
      <c r="AF893" s="43"/>
      <c r="AG893" s="43"/>
      <c r="AH893" s="43"/>
      <c r="AI893" s="43"/>
    </row>
    <row r="894" spans="1:35" x14ac:dyDescent="0.25">
      <c r="A894" s="115" t="s">
        <v>43</v>
      </c>
      <c r="B894" s="115"/>
      <c r="C894" s="115">
        <v>8.5440000000000005</v>
      </c>
      <c r="D894" s="115"/>
      <c r="E894" s="115">
        <v>13.557</v>
      </c>
      <c r="F894" s="115">
        <v>8.7490000000000006</v>
      </c>
      <c r="G894" s="115">
        <v>19.196999999999999</v>
      </c>
      <c r="H894" s="115">
        <v>31.212</v>
      </c>
      <c r="I894" s="115">
        <v>42.710999999999999</v>
      </c>
      <c r="J894" s="115">
        <v>25.559000000000001</v>
      </c>
      <c r="K894" s="115">
        <v>38.691000000000003</v>
      </c>
      <c r="L894" s="115">
        <v>34.564</v>
      </c>
      <c r="M894" s="115">
        <v>29.053999999999998</v>
      </c>
      <c r="N894" s="115">
        <v>24.024000000000001</v>
      </c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43"/>
      <c r="AE894" s="43"/>
      <c r="AF894" s="43"/>
      <c r="AG894" s="43"/>
      <c r="AH894" s="43"/>
      <c r="AI894" s="43"/>
    </row>
    <row r="895" spans="1:35" x14ac:dyDescent="0.25">
      <c r="A895" s="115" t="s">
        <v>44</v>
      </c>
      <c r="B895" s="115"/>
      <c r="C895" s="115">
        <v>137.66499999999999</v>
      </c>
      <c r="D895" s="115">
        <v>107.455</v>
      </c>
      <c r="E895" s="115">
        <v>107.03400000000001</v>
      </c>
      <c r="F895" s="115">
        <v>121.91200000000001</v>
      </c>
      <c r="G895" s="115">
        <v>120.974</v>
      </c>
      <c r="H895" s="115">
        <v>119.73</v>
      </c>
      <c r="I895" s="115">
        <v>118.252</v>
      </c>
      <c r="J895" s="115">
        <v>127.758</v>
      </c>
      <c r="K895" s="115">
        <v>126.67100000000001</v>
      </c>
      <c r="L895" s="115">
        <v>130.482</v>
      </c>
      <c r="M895" s="115">
        <v>134.49299999999999</v>
      </c>
      <c r="N895" s="115">
        <v>138.35900000000001</v>
      </c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43"/>
      <c r="AE895" s="43"/>
      <c r="AF895" s="43"/>
      <c r="AG895" s="43"/>
      <c r="AH895" s="43"/>
      <c r="AI895" s="43"/>
    </row>
    <row r="896" spans="1:35" x14ac:dyDescent="0.25">
      <c r="A896" s="115" t="s">
        <v>45</v>
      </c>
      <c r="B896" s="115"/>
      <c r="C896" s="115">
        <v>94.536000000000001</v>
      </c>
      <c r="D896" s="115">
        <v>133.28800000000001</v>
      </c>
      <c r="E896" s="115">
        <v>119.46899999999999</v>
      </c>
      <c r="F896" s="115">
        <v>106.818</v>
      </c>
      <c r="G896" s="115">
        <v>96.432000000000002</v>
      </c>
      <c r="H896" s="115">
        <v>85.007000000000005</v>
      </c>
      <c r="I896" s="115">
        <v>74.412000000000006</v>
      </c>
      <c r="J896" s="115">
        <v>81.066999999999993</v>
      </c>
      <c r="K896" s="115">
        <v>69.204999999999998</v>
      </c>
      <c r="L896" s="115">
        <v>68.738</v>
      </c>
      <c r="M896" s="115">
        <v>69.262</v>
      </c>
      <c r="N896" s="115">
        <v>69.234999999999999</v>
      </c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43"/>
      <c r="AE896" s="43"/>
      <c r="AF896" s="43"/>
      <c r="AG896" s="43"/>
      <c r="AH896" s="43"/>
      <c r="AI896" s="43"/>
    </row>
    <row r="897" spans="1:35" x14ac:dyDescent="0.25">
      <c r="A897" s="115" t="s">
        <v>47</v>
      </c>
      <c r="B897" s="115"/>
      <c r="C897" s="115">
        <v>7.0380000000000003</v>
      </c>
      <c r="D897" s="115">
        <v>3.5990000000000002</v>
      </c>
      <c r="E897" s="115">
        <v>3.645</v>
      </c>
      <c r="F897" s="115">
        <v>4.0659999999999998</v>
      </c>
      <c r="G897" s="115">
        <v>4.1020000000000003</v>
      </c>
      <c r="H897" s="115">
        <v>4.1470000000000002</v>
      </c>
      <c r="I897" s="115">
        <v>4.1820000000000004</v>
      </c>
      <c r="J897" s="115">
        <v>4.2880000000000003</v>
      </c>
      <c r="K897" s="115">
        <v>4.3639999999999999</v>
      </c>
      <c r="L897" s="115">
        <v>4.4279999999999999</v>
      </c>
      <c r="M897" s="115">
        <v>4.4770000000000003</v>
      </c>
      <c r="N897" s="115">
        <v>4.5220000000000002</v>
      </c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43"/>
      <c r="AE897" s="43"/>
      <c r="AF897" s="43"/>
      <c r="AG897" s="43"/>
      <c r="AH897" s="43"/>
      <c r="AI897" s="43"/>
    </row>
    <row r="898" spans="1:35" x14ac:dyDescent="0.25">
      <c r="A898" s="115" t="s">
        <v>253</v>
      </c>
      <c r="B898" s="115"/>
      <c r="C898" s="115">
        <v>136.62</v>
      </c>
      <c r="D898" s="115">
        <v>136.55099999999999</v>
      </c>
      <c r="E898" s="115">
        <v>136.477</v>
      </c>
      <c r="F898" s="115">
        <v>136.399</v>
      </c>
      <c r="G898" s="115">
        <v>136.316</v>
      </c>
      <c r="H898" s="115">
        <v>136.226</v>
      </c>
      <c r="I898" s="115">
        <v>136.13</v>
      </c>
      <c r="J898" s="115">
        <v>136.02799999999999</v>
      </c>
      <c r="K898" s="115">
        <v>135.91800000000001</v>
      </c>
      <c r="L898" s="115">
        <v>135.797</v>
      </c>
      <c r="M898" s="115">
        <v>135.66300000000001</v>
      </c>
      <c r="N898" s="115">
        <v>135.583</v>
      </c>
      <c r="O898" s="115">
        <v>135.49199999999999</v>
      </c>
      <c r="P898" s="115">
        <v>135.392</v>
      </c>
      <c r="Q898" s="115">
        <v>135.28399999999999</v>
      </c>
      <c r="R898" s="115">
        <v>135.166</v>
      </c>
      <c r="S898" s="115">
        <v>134.982</v>
      </c>
      <c r="T898" s="115">
        <v>134.72</v>
      </c>
      <c r="U898" s="115">
        <v>134.429</v>
      </c>
      <c r="V898" s="115">
        <v>134.12299999999999</v>
      </c>
      <c r="W898" s="115">
        <v>158.499</v>
      </c>
      <c r="X898" s="115">
        <v>145.619</v>
      </c>
      <c r="Y898" s="115">
        <v>145.23099999999999</v>
      </c>
      <c r="Z898" s="115">
        <v>146.05799999999999</v>
      </c>
      <c r="AA898" s="115">
        <v>145.71899999999999</v>
      </c>
      <c r="AB898" s="115">
        <v>145.495</v>
      </c>
      <c r="AC898" s="115">
        <v>145.22900000000001</v>
      </c>
      <c r="AD898" s="43"/>
      <c r="AE898" s="43"/>
      <c r="AF898" s="43"/>
      <c r="AG898" s="43"/>
      <c r="AH898" s="43"/>
      <c r="AI898" s="43"/>
    </row>
    <row r="899" spans="1:35" x14ac:dyDescent="0.25">
      <c r="A899" s="115" t="s">
        <v>31</v>
      </c>
      <c r="B899" s="115"/>
      <c r="C899" s="115">
        <v>737.38400000000001</v>
      </c>
      <c r="D899" s="115">
        <v>654.32299999999998</v>
      </c>
      <c r="E899" s="115">
        <v>613.87800000000004</v>
      </c>
      <c r="F899" s="115">
        <v>673.48400000000004</v>
      </c>
      <c r="G899" s="115">
        <v>640.39300000000003</v>
      </c>
      <c r="H899" s="115">
        <v>601.12</v>
      </c>
      <c r="I899" s="115">
        <v>563.495</v>
      </c>
      <c r="J899" s="115">
        <v>653.68600000000004</v>
      </c>
      <c r="K899" s="115">
        <v>611.14400000000001</v>
      </c>
      <c r="L899" s="115">
        <v>643.49900000000002</v>
      </c>
      <c r="M899" s="115">
        <v>680.94799999999998</v>
      </c>
      <c r="N899" s="115">
        <v>716.745</v>
      </c>
      <c r="O899" s="115">
        <v>596.62400000000002</v>
      </c>
      <c r="P899" s="115">
        <v>636.88400000000001</v>
      </c>
      <c r="Q899" s="115">
        <v>656.71500000000003</v>
      </c>
      <c r="R899" s="115">
        <v>610.774</v>
      </c>
      <c r="S899" s="115">
        <v>687.846</v>
      </c>
      <c r="T899" s="115">
        <v>618.64300000000003</v>
      </c>
      <c r="U899" s="115">
        <v>613.04999999999995</v>
      </c>
      <c r="V899" s="115">
        <v>573.548</v>
      </c>
      <c r="W899" s="115">
        <v>935.62</v>
      </c>
      <c r="X899" s="115">
        <v>848.178</v>
      </c>
      <c r="Y899" s="115">
        <v>837.04600000000005</v>
      </c>
      <c r="Z899" s="115">
        <v>862.13099999999997</v>
      </c>
      <c r="AA899" s="115">
        <v>826.197</v>
      </c>
      <c r="AB899" s="115">
        <v>785.68100000000004</v>
      </c>
      <c r="AC899" s="115">
        <v>745.76199999999994</v>
      </c>
      <c r="AD899" s="43"/>
      <c r="AE899" s="43"/>
      <c r="AF899" s="43"/>
      <c r="AG899" s="43"/>
      <c r="AH899" s="43"/>
      <c r="AI899" s="43"/>
    </row>
    <row r="900" spans="1:35" x14ac:dyDescent="0.25">
      <c r="A900" s="115" t="s">
        <v>30</v>
      </c>
      <c r="B900" s="115"/>
      <c r="C900" s="115">
        <v>1807.7809999999999</v>
      </c>
      <c r="D900" s="115">
        <v>1803.9849999999999</v>
      </c>
      <c r="E900" s="115">
        <v>1800.184</v>
      </c>
      <c r="F900" s="115">
        <v>1796.364</v>
      </c>
      <c r="G900" s="115">
        <v>1792.5319999999999</v>
      </c>
      <c r="H900" s="115">
        <v>1788.694</v>
      </c>
      <c r="I900" s="115">
        <v>1784.8589999999999</v>
      </c>
      <c r="J900" s="115">
        <v>1782.0440000000001</v>
      </c>
      <c r="K900" s="115">
        <v>1780.3489999999999</v>
      </c>
      <c r="L900" s="115">
        <v>1778.3969999999999</v>
      </c>
      <c r="M900" s="115">
        <v>1776.2170000000001</v>
      </c>
      <c r="N900" s="115">
        <v>1774.856</v>
      </c>
      <c r="O900" s="115">
        <v>1527.6389999999999</v>
      </c>
      <c r="P900" s="115">
        <v>1526.558</v>
      </c>
      <c r="Q900" s="115">
        <v>1525.3510000000001</v>
      </c>
      <c r="R900" s="115">
        <v>1348.5229999999999</v>
      </c>
      <c r="S900" s="115">
        <v>1503.8879999999999</v>
      </c>
      <c r="T900" s="115">
        <v>1369.671</v>
      </c>
      <c r="U900" s="115">
        <v>1360.83</v>
      </c>
      <c r="V900" s="115">
        <v>1257.5429999999999</v>
      </c>
      <c r="W900" s="115">
        <v>1584.712</v>
      </c>
      <c r="X900" s="115">
        <v>1321.58</v>
      </c>
      <c r="Y900" s="115">
        <v>1563.2270000000001</v>
      </c>
      <c r="Z900" s="115">
        <v>1456.345</v>
      </c>
      <c r="AA900" s="115">
        <v>1569.6289999999999</v>
      </c>
      <c r="AB900" s="115">
        <v>1701.7059999999999</v>
      </c>
      <c r="AC900" s="115">
        <v>1817.36</v>
      </c>
      <c r="AD900" s="43"/>
      <c r="AE900" s="43"/>
      <c r="AF900" s="43"/>
      <c r="AG900" s="43"/>
      <c r="AH900" s="43"/>
      <c r="AI900" s="43"/>
    </row>
    <row r="901" spans="1:35" x14ac:dyDescent="0.25">
      <c r="A901" s="115" t="s">
        <v>23</v>
      </c>
      <c r="B901" s="115"/>
      <c r="C901" s="115">
        <v>1780.5029999999999</v>
      </c>
      <c r="D901" s="115">
        <v>1782.143</v>
      </c>
      <c r="E901" s="115">
        <v>1771.1320000000001</v>
      </c>
      <c r="F901" s="115">
        <v>1763.5250000000001</v>
      </c>
      <c r="G901" s="115">
        <v>1756.7570000000001</v>
      </c>
      <c r="H901" s="115">
        <v>1752.492</v>
      </c>
      <c r="I901" s="115">
        <v>1747.79</v>
      </c>
      <c r="J901" s="115">
        <v>1742.846</v>
      </c>
      <c r="K901" s="115">
        <v>1739.8009999999999</v>
      </c>
      <c r="L901" s="115">
        <v>1734.5930000000001</v>
      </c>
      <c r="M901" s="115">
        <v>1726.56</v>
      </c>
      <c r="N901" s="115">
        <v>1724.6279999999999</v>
      </c>
      <c r="O901" s="115">
        <v>1484.135</v>
      </c>
      <c r="P901" s="115">
        <v>1486.3869999999999</v>
      </c>
      <c r="Q901" s="115">
        <v>1484.5889999999999</v>
      </c>
      <c r="R901" s="115">
        <v>1311.394</v>
      </c>
      <c r="S901" s="115">
        <v>1458.046</v>
      </c>
      <c r="T901" s="115">
        <v>1331.0640000000001</v>
      </c>
      <c r="U901" s="115">
        <v>1321.6110000000001</v>
      </c>
      <c r="V901" s="115">
        <v>1228.8340000000001</v>
      </c>
      <c r="W901" s="115">
        <v>1553.932</v>
      </c>
      <c r="X901" s="115">
        <v>1298.125</v>
      </c>
      <c r="Y901" s="115">
        <v>1530.6310000000001</v>
      </c>
      <c r="Z901" s="115">
        <v>1429.788</v>
      </c>
      <c r="AA901" s="115">
        <v>1539.2349999999999</v>
      </c>
      <c r="AB901" s="115">
        <v>1667.008</v>
      </c>
      <c r="AC901" s="115">
        <v>1779.0809999999999</v>
      </c>
      <c r="AD901" s="43"/>
      <c r="AE901" s="43"/>
      <c r="AF901" s="43"/>
      <c r="AG901" s="43"/>
      <c r="AH901" s="43"/>
      <c r="AI901" s="43"/>
    </row>
    <row r="902" spans="1:35" x14ac:dyDescent="0.25">
      <c r="A902" s="115" t="s">
        <v>33</v>
      </c>
      <c r="B902" s="115"/>
      <c r="C902" s="115">
        <v>194.01900000000001</v>
      </c>
      <c r="D902" s="115">
        <v>70.945999999999998</v>
      </c>
      <c r="E902" s="115">
        <v>266.69400000000002</v>
      </c>
      <c r="F902" s="115">
        <v>196.60400000000001</v>
      </c>
      <c r="G902" s="115">
        <v>346.495</v>
      </c>
      <c r="H902" s="115">
        <v>516.37</v>
      </c>
      <c r="I902" s="115">
        <v>673.29899999999998</v>
      </c>
      <c r="J902" s="115">
        <v>423.09399999999999</v>
      </c>
      <c r="K902" s="115">
        <v>597.82100000000003</v>
      </c>
      <c r="L902" s="115">
        <v>532.50300000000004</v>
      </c>
      <c r="M902" s="115">
        <v>452.11500000000001</v>
      </c>
      <c r="N902" s="115">
        <v>381.79</v>
      </c>
      <c r="O902" s="115">
        <v>321.40899999999999</v>
      </c>
      <c r="P902" s="115">
        <v>221.06299999999999</v>
      </c>
      <c r="Q902" s="115">
        <v>170.749</v>
      </c>
      <c r="R902" s="115">
        <v>120.506</v>
      </c>
      <c r="S902" s="115">
        <v>67.393000000000001</v>
      </c>
      <c r="T902" s="115">
        <v>98.825999999999993</v>
      </c>
      <c r="U902" s="115">
        <v>98.748000000000005</v>
      </c>
      <c r="V902" s="115">
        <v>98.75</v>
      </c>
      <c r="W902" s="115">
        <v>215.20500000000001</v>
      </c>
      <c r="X902" s="115">
        <v>98.850999999999999</v>
      </c>
      <c r="Y902" s="115">
        <v>285.11399999999998</v>
      </c>
      <c r="Z902" s="115">
        <v>218.958</v>
      </c>
      <c r="AA902" s="115">
        <v>362.53699999999998</v>
      </c>
      <c r="AB902" s="115">
        <v>525.41300000000001</v>
      </c>
      <c r="AC902" s="115">
        <v>673.58699999999999</v>
      </c>
      <c r="AD902" s="43"/>
      <c r="AE902" s="43"/>
      <c r="AF902" s="43"/>
      <c r="AG902" s="43"/>
      <c r="AH902" s="43"/>
      <c r="AI902" s="43"/>
    </row>
    <row r="903" spans="1:35" x14ac:dyDescent="0.25">
      <c r="A903" s="115" t="s">
        <v>76</v>
      </c>
      <c r="B903" s="115"/>
      <c r="C903" s="115">
        <v>110.392</v>
      </c>
      <c r="D903" s="115">
        <v>159.881</v>
      </c>
      <c r="E903" s="115">
        <v>124.72799999999999</v>
      </c>
      <c r="F903" s="115">
        <v>143.49700000000001</v>
      </c>
      <c r="G903" s="115">
        <v>113.697</v>
      </c>
      <c r="H903" s="115">
        <v>77.733999999999995</v>
      </c>
      <c r="I903" s="115">
        <v>41.869</v>
      </c>
      <c r="J903" s="115">
        <v>93.79</v>
      </c>
      <c r="K903" s="115">
        <v>53.268999999999998</v>
      </c>
      <c r="L903" s="115">
        <v>65.373999999999995</v>
      </c>
      <c r="M903" s="115">
        <v>81.974999999999994</v>
      </c>
      <c r="N903" s="115">
        <v>97.62</v>
      </c>
      <c r="O903" s="115">
        <v>99.543999999999997</v>
      </c>
      <c r="P903" s="115">
        <v>124.117</v>
      </c>
      <c r="Q903" s="115">
        <v>136.49799999999999</v>
      </c>
      <c r="R903" s="115">
        <v>134.65199999999999</v>
      </c>
      <c r="S903" s="115">
        <v>161.363</v>
      </c>
      <c r="T903" s="115">
        <v>141.68799999999999</v>
      </c>
      <c r="U903" s="115">
        <v>141.596</v>
      </c>
      <c r="V903" s="115">
        <v>134.05699999999999</v>
      </c>
      <c r="W903" s="115">
        <v>177.11600000000001</v>
      </c>
      <c r="X903" s="115">
        <v>181.22</v>
      </c>
      <c r="Y903" s="115">
        <v>178.71299999999999</v>
      </c>
      <c r="Z903" s="115">
        <v>184.5</v>
      </c>
      <c r="AA903" s="115">
        <v>176.51</v>
      </c>
      <c r="AB903" s="115">
        <v>167.417</v>
      </c>
      <c r="AC903" s="115">
        <v>158.708</v>
      </c>
      <c r="AD903" s="43"/>
      <c r="AE903" s="43"/>
      <c r="AF903" s="43"/>
      <c r="AG903" s="43"/>
      <c r="AH903" s="43"/>
      <c r="AI903" s="43"/>
    </row>
    <row r="904" spans="1:35" x14ac:dyDescent="0.25">
      <c r="A904" s="115" t="s">
        <v>77</v>
      </c>
      <c r="B904" s="115"/>
      <c r="C904" s="115">
        <v>116.09099999999999</v>
      </c>
      <c r="D904" s="115">
        <v>67.165999999999997</v>
      </c>
      <c r="E904" s="115">
        <v>55.085000000000001</v>
      </c>
      <c r="F904" s="115">
        <v>62.701000000000001</v>
      </c>
      <c r="G904" s="115">
        <v>52.173999999999999</v>
      </c>
      <c r="H904" s="115">
        <v>38.941000000000003</v>
      </c>
      <c r="I904" s="115">
        <v>25.311</v>
      </c>
      <c r="J904" s="115">
        <v>45.695999999999998</v>
      </c>
      <c r="K904" s="115">
        <v>29.939</v>
      </c>
      <c r="L904" s="115">
        <v>34.878</v>
      </c>
      <c r="M904" s="115">
        <v>41.793999999999997</v>
      </c>
      <c r="N904" s="115">
        <v>48.518000000000001</v>
      </c>
      <c r="O904" s="115">
        <v>49.156999999999996</v>
      </c>
      <c r="P904" s="115">
        <v>59.235999999999997</v>
      </c>
      <c r="Q904" s="115">
        <v>64.331000000000003</v>
      </c>
      <c r="R904" s="115">
        <v>63.573999999999998</v>
      </c>
      <c r="S904" s="115">
        <v>74.635000000000005</v>
      </c>
      <c r="T904" s="115">
        <v>66.566000000000003</v>
      </c>
      <c r="U904" s="115">
        <v>66.570999999999998</v>
      </c>
      <c r="V904" s="115">
        <v>63.502000000000002</v>
      </c>
      <c r="W904" s="115">
        <v>89.778000000000006</v>
      </c>
      <c r="X904" s="115">
        <v>65.826999999999998</v>
      </c>
      <c r="Y904" s="115">
        <v>65.798000000000002</v>
      </c>
      <c r="Z904" s="115">
        <v>67.206999999999994</v>
      </c>
      <c r="AA904" s="115">
        <v>64.772000000000006</v>
      </c>
      <c r="AB904" s="115">
        <v>62.021000000000001</v>
      </c>
      <c r="AC904" s="115">
        <v>59.398000000000003</v>
      </c>
      <c r="AD904" s="43"/>
      <c r="AE904" s="43"/>
      <c r="AF904" s="43"/>
      <c r="AG904" s="43"/>
      <c r="AH904" s="43"/>
      <c r="AI904" s="43"/>
    </row>
    <row r="905" spans="1:35" x14ac:dyDescent="0.25">
      <c r="A905" s="115" t="s">
        <v>78</v>
      </c>
      <c r="B905" s="115"/>
      <c r="C905" s="115">
        <v>58.633000000000003</v>
      </c>
      <c r="D905" s="115">
        <v>87.873000000000005</v>
      </c>
      <c r="E905" s="115">
        <v>63.09</v>
      </c>
      <c r="F905" s="115">
        <v>72.301000000000002</v>
      </c>
      <c r="G905" s="115">
        <v>53.05</v>
      </c>
      <c r="H905" s="115">
        <v>30.786999999999999</v>
      </c>
      <c r="I905" s="115">
        <v>9.6270000000000007</v>
      </c>
      <c r="J905" s="115">
        <v>39.802</v>
      </c>
      <c r="K905" s="115">
        <v>16.739000000000001</v>
      </c>
      <c r="L905" s="115">
        <v>23.760999999999999</v>
      </c>
      <c r="M905" s="115">
        <v>32.918999999999997</v>
      </c>
      <c r="N905" s="115">
        <v>41.201000000000001</v>
      </c>
      <c r="O905" s="115">
        <v>44.493000000000002</v>
      </c>
      <c r="P905" s="115">
        <v>58.253999999999998</v>
      </c>
      <c r="Q905" s="115">
        <v>66.488</v>
      </c>
      <c r="R905" s="115">
        <v>71.272000000000006</v>
      </c>
      <c r="S905" s="115">
        <v>84.085999999999999</v>
      </c>
      <c r="T905" s="115">
        <v>78.835999999999999</v>
      </c>
      <c r="U905" s="115">
        <v>80.253</v>
      </c>
      <c r="V905" s="115">
        <v>79.438000000000002</v>
      </c>
      <c r="W905" s="115">
        <v>24.137</v>
      </c>
      <c r="X905" s="115">
        <v>30.893999999999998</v>
      </c>
      <c r="Y905" s="115">
        <v>29.869</v>
      </c>
      <c r="Z905" s="115">
        <v>28.971</v>
      </c>
      <c r="AA905" s="115">
        <v>26.484999999999999</v>
      </c>
      <c r="AB905" s="115">
        <v>23.742000000000001</v>
      </c>
      <c r="AC905" s="115">
        <v>21.216999999999999</v>
      </c>
      <c r="AD905" s="43"/>
      <c r="AE905" s="43"/>
      <c r="AF905" s="43"/>
      <c r="AG905" s="43"/>
      <c r="AH905" s="43"/>
      <c r="AI905" s="43"/>
    </row>
    <row r="906" spans="1:35" x14ac:dyDescent="0.25">
      <c r="A906" s="115" t="s">
        <v>79</v>
      </c>
      <c r="B906" s="115"/>
      <c r="C906" s="115">
        <v>180.739</v>
      </c>
      <c r="D906" s="115">
        <v>58.73</v>
      </c>
      <c r="E906" s="115">
        <v>254.48599999999999</v>
      </c>
      <c r="F906" s="115">
        <v>185.779</v>
      </c>
      <c r="G906" s="115">
        <v>336.411</v>
      </c>
      <c r="H906" s="115">
        <v>507.596</v>
      </c>
      <c r="I906" s="115">
        <v>666.05200000000002</v>
      </c>
      <c r="J906" s="115">
        <v>417.23200000000003</v>
      </c>
      <c r="K906" s="115">
        <v>592.56100000000004</v>
      </c>
      <c r="L906" s="115">
        <v>527.94399999999996</v>
      </c>
      <c r="M906" s="115">
        <v>448.04199999999997</v>
      </c>
      <c r="N906" s="115">
        <v>378.05</v>
      </c>
      <c r="O906" s="115">
        <v>317.90899999999999</v>
      </c>
      <c r="P906" s="115">
        <v>217.738</v>
      </c>
      <c r="Q906" s="115">
        <v>167.52500000000001</v>
      </c>
      <c r="R906" s="115">
        <v>117.349</v>
      </c>
      <c r="S906" s="115">
        <v>64.266999999999996</v>
      </c>
      <c r="T906" s="115">
        <v>95.700999999999993</v>
      </c>
      <c r="U906" s="115">
        <v>95.635999999999996</v>
      </c>
      <c r="V906" s="115">
        <v>95.647000000000006</v>
      </c>
      <c r="W906" s="115">
        <v>206.744</v>
      </c>
      <c r="X906" s="115">
        <v>95.76</v>
      </c>
      <c r="Y906" s="115">
        <v>273.49599999999998</v>
      </c>
      <c r="Z906" s="115">
        <v>210.39500000000001</v>
      </c>
      <c r="AA906" s="115">
        <v>347.45100000000002</v>
      </c>
      <c r="AB906" s="115">
        <v>502.959</v>
      </c>
      <c r="AC906" s="115">
        <v>644.38400000000001</v>
      </c>
      <c r="AD906" s="43"/>
      <c r="AE906" s="43"/>
      <c r="AF906" s="43"/>
      <c r="AG906" s="43"/>
      <c r="AH906" s="43"/>
      <c r="AI906" s="43"/>
    </row>
    <row r="907" spans="1:35" x14ac:dyDescent="0.25">
      <c r="A907" s="115" t="s">
        <v>81</v>
      </c>
      <c r="B907" s="115"/>
      <c r="C907" s="115">
        <v>347.70499999999998</v>
      </c>
      <c r="D907" s="115">
        <v>438.173</v>
      </c>
      <c r="E907" s="115">
        <v>312.76499999999999</v>
      </c>
      <c r="F907" s="115">
        <v>340.78399999999999</v>
      </c>
      <c r="G907" s="115">
        <v>246.84200000000001</v>
      </c>
      <c r="H907" s="115">
        <v>141.239</v>
      </c>
      <c r="I907" s="115">
        <v>43.548999999999999</v>
      </c>
      <c r="J907" s="115">
        <v>175.71199999999999</v>
      </c>
      <c r="K907" s="115">
        <v>72.408000000000001</v>
      </c>
      <c r="L907" s="115">
        <v>100.631</v>
      </c>
      <c r="M907" s="115">
        <v>137.048</v>
      </c>
      <c r="N907" s="115">
        <v>168.35900000000001</v>
      </c>
      <c r="O907" s="115">
        <v>168.376</v>
      </c>
      <c r="P907" s="115">
        <v>218.12</v>
      </c>
      <c r="Q907" s="115">
        <v>244.405</v>
      </c>
      <c r="R907" s="115">
        <v>206.608</v>
      </c>
      <c r="S907" s="115">
        <v>294.50099999999998</v>
      </c>
      <c r="T907" s="115">
        <v>235.60300000000001</v>
      </c>
      <c r="U907" s="115">
        <v>236.94800000000001</v>
      </c>
      <c r="V907" s="115">
        <v>200.31200000000001</v>
      </c>
      <c r="W907" s="115">
        <v>151.26499999999999</v>
      </c>
      <c r="X907" s="115">
        <v>113.33499999999999</v>
      </c>
      <c r="Y907" s="115">
        <v>163.22999999999999</v>
      </c>
      <c r="Z907" s="115">
        <v>119.81399999999999</v>
      </c>
      <c r="AA907" s="115">
        <v>129.11099999999999</v>
      </c>
      <c r="AB907" s="115">
        <v>141.85599999999999</v>
      </c>
      <c r="AC907" s="115">
        <v>153.40199999999999</v>
      </c>
      <c r="AD907" s="43"/>
      <c r="AE907" s="43"/>
      <c r="AF907" s="43"/>
      <c r="AG907" s="43"/>
      <c r="AH907" s="43"/>
      <c r="AI907" s="43"/>
    </row>
    <row r="908" spans="1:35" x14ac:dyDescent="0.25">
      <c r="A908" s="115" t="s">
        <v>84</v>
      </c>
      <c r="B908" s="115"/>
      <c r="C908" s="115">
        <v>0</v>
      </c>
      <c r="D908" s="115">
        <v>0</v>
      </c>
      <c r="E908" s="115">
        <v>0</v>
      </c>
      <c r="F908" s="115">
        <v>0</v>
      </c>
      <c r="G908" s="115">
        <v>0</v>
      </c>
      <c r="H908" s="115">
        <v>0</v>
      </c>
      <c r="I908" s="115">
        <v>0</v>
      </c>
      <c r="J908" s="115">
        <v>0</v>
      </c>
      <c r="K908" s="115">
        <v>0</v>
      </c>
      <c r="L908" s="115">
        <v>0</v>
      </c>
      <c r="M908" s="115">
        <v>0</v>
      </c>
      <c r="N908" s="115">
        <v>0</v>
      </c>
      <c r="O908" s="115">
        <v>0</v>
      </c>
      <c r="P908" s="115">
        <v>0</v>
      </c>
      <c r="Q908" s="115">
        <v>0</v>
      </c>
      <c r="R908" s="115">
        <v>0</v>
      </c>
      <c r="S908" s="115">
        <v>0</v>
      </c>
      <c r="T908" s="115">
        <v>0</v>
      </c>
      <c r="U908" s="115">
        <v>0</v>
      </c>
      <c r="V908" s="115">
        <v>0</v>
      </c>
      <c r="W908" s="115">
        <v>0</v>
      </c>
      <c r="X908" s="115">
        <v>0</v>
      </c>
      <c r="Y908" s="115">
        <v>0</v>
      </c>
      <c r="Z908" s="115">
        <v>0</v>
      </c>
      <c r="AA908" s="115">
        <v>0</v>
      </c>
      <c r="AB908" s="115">
        <v>0</v>
      </c>
      <c r="AC908" s="115">
        <v>0</v>
      </c>
      <c r="AD908" s="43"/>
      <c r="AE908" s="43"/>
      <c r="AF908" s="43"/>
      <c r="AG908" s="43"/>
      <c r="AH908" s="43"/>
      <c r="AI908" s="43"/>
    </row>
    <row r="909" spans="1:35" x14ac:dyDescent="0.25">
      <c r="A909" s="115" t="s">
        <v>35</v>
      </c>
      <c r="B909" s="115"/>
      <c r="C909" s="115">
        <v>608.87099999999998</v>
      </c>
      <c r="D909" s="115">
        <v>769.76099999999997</v>
      </c>
      <c r="E909" s="115">
        <v>636.90599999999995</v>
      </c>
      <c r="F909" s="115">
        <v>632.10699999999997</v>
      </c>
      <c r="G909" s="115">
        <v>531.17200000000003</v>
      </c>
      <c r="H909" s="115">
        <v>419.233</v>
      </c>
      <c r="I909" s="115">
        <v>317.30200000000002</v>
      </c>
      <c r="J909" s="115">
        <v>443.029</v>
      </c>
      <c r="K909" s="115">
        <v>331.30500000000001</v>
      </c>
      <c r="L909" s="115">
        <v>353.976</v>
      </c>
      <c r="M909" s="115">
        <v>384.55799999999999</v>
      </c>
      <c r="N909" s="115">
        <v>408.43200000000002</v>
      </c>
      <c r="O909" s="115">
        <v>350.42200000000003</v>
      </c>
      <c r="P909" s="115">
        <v>394.88600000000002</v>
      </c>
      <c r="Q909" s="115">
        <v>415.048</v>
      </c>
      <c r="R909" s="115">
        <v>333.64</v>
      </c>
      <c r="S909" s="115">
        <v>448.154</v>
      </c>
      <c r="T909" s="115">
        <v>360.78699999999998</v>
      </c>
      <c r="U909" s="115">
        <v>357.05599999999998</v>
      </c>
      <c r="V909" s="115">
        <v>297.51900000000001</v>
      </c>
      <c r="W909" s="115">
        <v>225.048</v>
      </c>
      <c r="X909" s="115">
        <v>167.11500000000001</v>
      </c>
      <c r="Y909" s="115">
        <v>235.55199999999999</v>
      </c>
      <c r="Z909" s="115">
        <v>171.727</v>
      </c>
      <c r="AA909" s="115">
        <v>182.45</v>
      </c>
      <c r="AB909" s="115">
        <v>197.471</v>
      </c>
      <c r="AC909" s="115">
        <v>209.977</v>
      </c>
      <c r="AD909" s="43"/>
      <c r="AE909" s="43"/>
      <c r="AF909" s="43"/>
      <c r="AG909" s="43"/>
      <c r="AH909" s="43"/>
      <c r="AI909" s="43"/>
    </row>
    <row r="910" spans="1:35" s="36" customFormat="1" x14ac:dyDescent="0.25">
      <c r="A910" s="115" t="s">
        <v>243</v>
      </c>
      <c r="B910" s="115"/>
      <c r="C910" s="115">
        <v>0</v>
      </c>
      <c r="D910" s="115">
        <v>0</v>
      </c>
      <c r="E910" s="115">
        <v>0</v>
      </c>
      <c r="F910" s="115">
        <v>0</v>
      </c>
      <c r="G910" s="115">
        <v>0</v>
      </c>
      <c r="H910" s="115">
        <v>0</v>
      </c>
      <c r="I910" s="115">
        <v>0</v>
      </c>
      <c r="J910" s="115">
        <v>0</v>
      </c>
      <c r="K910" s="115">
        <v>0</v>
      </c>
      <c r="L910" s="115">
        <v>0</v>
      </c>
      <c r="M910" s="115">
        <v>0</v>
      </c>
      <c r="N910" s="115">
        <v>0</v>
      </c>
      <c r="O910" s="115">
        <v>0</v>
      </c>
      <c r="P910" s="115">
        <v>0</v>
      </c>
      <c r="Q910" s="115">
        <v>0</v>
      </c>
      <c r="R910" s="115">
        <v>0</v>
      </c>
      <c r="S910" s="115">
        <v>0</v>
      </c>
      <c r="T910" s="115">
        <v>0</v>
      </c>
      <c r="U910" s="115">
        <v>0</v>
      </c>
      <c r="V910" s="115">
        <v>0</v>
      </c>
      <c r="W910" s="115">
        <v>0</v>
      </c>
      <c r="X910" s="115">
        <v>0</v>
      </c>
      <c r="Y910" s="115">
        <v>0</v>
      </c>
      <c r="Z910" s="115">
        <v>0</v>
      </c>
      <c r="AA910" s="115">
        <v>0</v>
      </c>
      <c r="AB910" s="115">
        <v>0</v>
      </c>
      <c r="AC910" s="115">
        <v>0</v>
      </c>
      <c r="AD910" s="43"/>
      <c r="AE910" s="43"/>
      <c r="AF910" s="43"/>
      <c r="AG910" s="43"/>
      <c r="AH910" s="43"/>
      <c r="AI910" s="43"/>
    </row>
    <row r="911" spans="1:35" x14ac:dyDescent="0.25">
      <c r="A911" s="115" t="s">
        <v>85</v>
      </c>
      <c r="B911" s="115"/>
      <c r="C911" s="115">
        <v>210.93</v>
      </c>
      <c r="D911" s="115">
        <v>286.96899999999999</v>
      </c>
      <c r="E911" s="115">
        <v>290.46699999999998</v>
      </c>
      <c r="F911" s="115">
        <v>312.423</v>
      </c>
      <c r="G911" s="115">
        <v>316.09100000000001</v>
      </c>
      <c r="H911" s="115">
        <v>321.56400000000002</v>
      </c>
      <c r="I911" s="115">
        <v>328.29300000000001</v>
      </c>
      <c r="J911" s="115">
        <v>339.06</v>
      </c>
      <c r="K911" s="115">
        <v>346.95800000000003</v>
      </c>
      <c r="L911" s="115">
        <v>355.81900000000002</v>
      </c>
      <c r="M911" s="115">
        <v>363.69200000000001</v>
      </c>
      <c r="N911" s="115">
        <v>371.19499999999999</v>
      </c>
      <c r="O911" s="115">
        <v>287.858</v>
      </c>
      <c r="P911" s="115">
        <v>291.625</v>
      </c>
      <c r="Q911" s="115">
        <v>293.22699999999998</v>
      </c>
      <c r="R911" s="115">
        <v>263.88099999999997</v>
      </c>
      <c r="S911" s="115">
        <v>290.55799999999999</v>
      </c>
      <c r="T911" s="115">
        <v>262.52600000000001</v>
      </c>
      <c r="U911" s="115">
        <v>258.84199999999998</v>
      </c>
      <c r="V911" s="115">
        <v>239.30600000000001</v>
      </c>
      <c r="W911" s="115">
        <v>423.23399999999998</v>
      </c>
      <c r="X911" s="115">
        <v>426.88600000000002</v>
      </c>
      <c r="Y911" s="115">
        <v>418.61900000000003</v>
      </c>
      <c r="Z911" s="115">
        <v>432.40199999999999</v>
      </c>
      <c r="AA911" s="115">
        <v>413.04</v>
      </c>
      <c r="AB911" s="115">
        <v>391.33300000000003</v>
      </c>
      <c r="AC911" s="115">
        <v>369.81400000000002</v>
      </c>
      <c r="AD911" s="43"/>
      <c r="AE911" s="43"/>
      <c r="AF911" s="43"/>
      <c r="AG911" s="43"/>
      <c r="AH911" s="43"/>
      <c r="AI911" s="43"/>
    </row>
    <row r="912" spans="1:35" x14ac:dyDescent="0.25">
      <c r="A912" s="115" t="s">
        <v>255</v>
      </c>
      <c r="B912" s="115"/>
      <c r="C912" s="115">
        <v>299.97000000000003</v>
      </c>
      <c r="D912" s="115">
        <v>140.30600000000001</v>
      </c>
      <c r="E912" s="115">
        <v>143.59800000000001</v>
      </c>
      <c r="F912" s="115">
        <v>154.863</v>
      </c>
      <c r="G912" s="115">
        <v>158.43</v>
      </c>
      <c r="H912" s="115">
        <v>162.881</v>
      </c>
      <c r="I912" s="115">
        <v>168.02099999999999</v>
      </c>
      <c r="J912" s="115">
        <v>175.13900000000001</v>
      </c>
      <c r="K912" s="115">
        <v>180.97800000000001</v>
      </c>
      <c r="L912" s="115">
        <v>187.428</v>
      </c>
      <c r="M912" s="115">
        <v>193.48699999999999</v>
      </c>
      <c r="N912" s="115">
        <v>199.41200000000001</v>
      </c>
      <c r="O912" s="115">
        <v>160.066</v>
      </c>
      <c r="P912" s="115">
        <v>161.90700000000001</v>
      </c>
      <c r="Q912" s="115">
        <v>162.65899999999999</v>
      </c>
      <c r="R912" s="115">
        <v>148.667</v>
      </c>
      <c r="S912" s="115">
        <v>161.29</v>
      </c>
      <c r="T912" s="115">
        <v>147.86199999999999</v>
      </c>
      <c r="U912" s="115">
        <v>146.04</v>
      </c>
      <c r="V912" s="115">
        <v>136.684</v>
      </c>
      <c r="W912" s="115">
        <v>245.49199999999999</v>
      </c>
      <c r="X912" s="115">
        <v>174.244</v>
      </c>
      <c r="Y912" s="115">
        <v>173.916</v>
      </c>
      <c r="Z912" s="115">
        <v>178.02199999999999</v>
      </c>
      <c r="AA912" s="115">
        <v>171.876</v>
      </c>
      <c r="AB912" s="115">
        <v>164.911</v>
      </c>
      <c r="AC912" s="115">
        <v>157.84100000000001</v>
      </c>
      <c r="AD912" s="43"/>
      <c r="AE912" s="43"/>
      <c r="AF912" s="43"/>
      <c r="AG912" s="43"/>
      <c r="AH912" s="43"/>
      <c r="AI912" s="43"/>
    </row>
    <row r="913" spans="1:35" x14ac:dyDescent="0.25">
      <c r="A913" s="115" t="s">
        <v>86</v>
      </c>
      <c r="B913" s="115"/>
      <c r="C913" s="115">
        <v>46.993000000000002</v>
      </c>
      <c r="D913" s="115">
        <v>71.983000000000004</v>
      </c>
      <c r="E913" s="115">
        <v>70.531999999999996</v>
      </c>
      <c r="F913" s="115">
        <v>71.540999999999997</v>
      </c>
      <c r="G913" s="115">
        <v>71.040000000000006</v>
      </c>
      <c r="H913" s="115">
        <v>70.62</v>
      </c>
      <c r="I913" s="115">
        <v>70.378</v>
      </c>
      <c r="J913" s="115">
        <v>71.182000000000002</v>
      </c>
      <c r="K913" s="115">
        <v>71.912000000000006</v>
      </c>
      <c r="L913" s="115">
        <v>72.94</v>
      </c>
      <c r="M913" s="115">
        <v>73.77</v>
      </c>
      <c r="N913" s="115">
        <v>74.572999999999993</v>
      </c>
      <c r="O913" s="115">
        <v>66.790000000000006</v>
      </c>
      <c r="P913" s="115">
        <v>67.209999999999994</v>
      </c>
      <c r="Q913" s="115">
        <v>67.906000000000006</v>
      </c>
      <c r="R913" s="115">
        <v>65.453999999999994</v>
      </c>
      <c r="S913" s="115">
        <v>68.192999999999998</v>
      </c>
      <c r="T913" s="115">
        <v>65.995000000000005</v>
      </c>
      <c r="U913" s="115">
        <v>65.558999999999997</v>
      </c>
      <c r="V913" s="115">
        <v>63.436</v>
      </c>
      <c r="W913" s="115">
        <v>20.959</v>
      </c>
      <c r="X913" s="115">
        <v>25.832999999999998</v>
      </c>
      <c r="Y913" s="115">
        <v>24.529</v>
      </c>
      <c r="Z913" s="115">
        <v>23.5</v>
      </c>
      <c r="AA913" s="115">
        <v>21.277999999999999</v>
      </c>
      <c r="AB913" s="115">
        <v>18.937000000000001</v>
      </c>
      <c r="AC913" s="115">
        <v>16.663</v>
      </c>
      <c r="AD913" s="43"/>
      <c r="AE913" s="43"/>
      <c r="AF913" s="43"/>
      <c r="AG913" s="43"/>
      <c r="AH913" s="43"/>
      <c r="AI913" s="43"/>
    </row>
    <row r="914" spans="1:35" x14ac:dyDescent="0.25">
      <c r="A914" s="115" t="s">
        <v>87</v>
      </c>
      <c r="B914" s="115"/>
      <c r="C914" s="115">
        <v>13.28</v>
      </c>
      <c r="D914" s="115">
        <v>12.215999999999999</v>
      </c>
      <c r="E914" s="115">
        <v>12.208</v>
      </c>
      <c r="F914" s="115">
        <v>10.824999999999999</v>
      </c>
      <c r="G914" s="115">
        <v>10.084</v>
      </c>
      <c r="H914" s="115">
        <v>8.7729999999999997</v>
      </c>
      <c r="I914" s="115">
        <v>7.2469999999999999</v>
      </c>
      <c r="J914" s="115">
        <v>5.8620000000000001</v>
      </c>
      <c r="K914" s="115">
        <v>5.26</v>
      </c>
      <c r="L914" s="115">
        <v>4.5590000000000002</v>
      </c>
      <c r="M914" s="115">
        <v>4.0730000000000004</v>
      </c>
      <c r="N914" s="115">
        <v>3.7410000000000001</v>
      </c>
      <c r="O914" s="115">
        <v>3.5</v>
      </c>
      <c r="P914" s="115">
        <v>3.3250000000000002</v>
      </c>
      <c r="Q914" s="115">
        <v>3.2229999999999999</v>
      </c>
      <c r="R914" s="115">
        <v>3.1579999999999999</v>
      </c>
      <c r="S914" s="115">
        <v>3.1259999999999999</v>
      </c>
      <c r="T914" s="115">
        <v>3.1259999999999999</v>
      </c>
      <c r="U914" s="115">
        <v>3.1120000000000001</v>
      </c>
      <c r="V914" s="115">
        <v>3.1030000000000002</v>
      </c>
      <c r="W914" s="115">
        <v>8.4610000000000003</v>
      </c>
      <c r="X914" s="115">
        <v>3.09</v>
      </c>
      <c r="Y914" s="115">
        <v>11.618</v>
      </c>
      <c r="Z914" s="115">
        <v>8.5630000000000006</v>
      </c>
      <c r="AA914" s="115">
        <v>15.086</v>
      </c>
      <c r="AB914" s="115">
        <v>22.454000000000001</v>
      </c>
      <c r="AC914" s="115">
        <v>29.202999999999999</v>
      </c>
      <c r="AD914" s="43"/>
      <c r="AE914" s="43"/>
      <c r="AF914" s="43"/>
      <c r="AG914" s="43"/>
      <c r="AH914" s="43"/>
      <c r="AI914" s="43"/>
    </row>
    <row r="915" spans="1:35" x14ac:dyDescent="0.25">
      <c r="A915" s="115" t="s">
        <v>89</v>
      </c>
      <c r="B915" s="115"/>
      <c r="C915" s="115">
        <v>261.166</v>
      </c>
      <c r="D915" s="115">
        <v>331.58800000000002</v>
      </c>
      <c r="E915" s="115">
        <v>324.14</v>
      </c>
      <c r="F915" s="115">
        <v>291.32299999999998</v>
      </c>
      <c r="G915" s="115">
        <v>284.33</v>
      </c>
      <c r="H915" s="115">
        <v>277.99400000000003</v>
      </c>
      <c r="I915" s="115">
        <v>273.75299999999999</v>
      </c>
      <c r="J915" s="115">
        <v>267.31700000000001</v>
      </c>
      <c r="K915" s="115">
        <v>258.89600000000002</v>
      </c>
      <c r="L915" s="115">
        <v>253.345</v>
      </c>
      <c r="M915" s="115">
        <v>247.51</v>
      </c>
      <c r="N915" s="115">
        <v>240.07300000000001</v>
      </c>
      <c r="O915" s="115">
        <v>182.047</v>
      </c>
      <c r="P915" s="115">
        <v>176.76599999999999</v>
      </c>
      <c r="Q915" s="115">
        <v>170.642</v>
      </c>
      <c r="R915" s="115">
        <v>127.032</v>
      </c>
      <c r="S915" s="115">
        <v>153.65299999999999</v>
      </c>
      <c r="T915" s="115">
        <v>125.184</v>
      </c>
      <c r="U915" s="115">
        <v>120.108</v>
      </c>
      <c r="V915" s="115">
        <v>97.206999999999994</v>
      </c>
      <c r="W915" s="115">
        <v>73.783000000000001</v>
      </c>
      <c r="X915" s="115">
        <v>53.779000000000003</v>
      </c>
      <c r="Y915" s="115">
        <v>72.322000000000003</v>
      </c>
      <c r="Z915" s="115">
        <v>51.912999999999997</v>
      </c>
      <c r="AA915" s="115">
        <v>53.338999999999999</v>
      </c>
      <c r="AB915" s="115">
        <v>55.615000000000002</v>
      </c>
      <c r="AC915" s="115">
        <v>56.575000000000003</v>
      </c>
      <c r="AD915" s="43"/>
      <c r="AE915" s="43"/>
      <c r="AF915" s="43"/>
      <c r="AG915" s="43"/>
      <c r="AH915" s="43"/>
      <c r="AI915" s="43"/>
    </row>
    <row r="916" spans="1:35" x14ac:dyDescent="0.25">
      <c r="A916" s="115" t="s">
        <v>92</v>
      </c>
      <c r="B916" s="115"/>
      <c r="C916" s="115">
        <v>161.881</v>
      </c>
      <c r="D916" s="115">
        <v>149.1</v>
      </c>
      <c r="E916" s="115">
        <v>149.08500000000001</v>
      </c>
      <c r="F916" s="115">
        <v>150.327</v>
      </c>
      <c r="G916" s="115">
        <v>150.38200000000001</v>
      </c>
      <c r="H916" s="115">
        <v>150.565</v>
      </c>
      <c r="I916" s="115">
        <v>150.75800000000001</v>
      </c>
      <c r="J916" s="115">
        <v>151.251</v>
      </c>
      <c r="K916" s="115">
        <v>151.429</v>
      </c>
      <c r="L916" s="115">
        <v>151.71899999999999</v>
      </c>
      <c r="M916" s="115">
        <v>151.90600000000001</v>
      </c>
      <c r="N916" s="115">
        <v>152.11500000000001</v>
      </c>
      <c r="O916" s="115">
        <v>147.9</v>
      </c>
      <c r="P916" s="115">
        <v>148.261</v>
      </c>
      <c r="Q916" s="115">
        <v>148.44499999999999</v>
      </c>
      <c r="R916" s="115">
        <v>146.87700000000001</v>
      </c>
      <c r="S916" s="115">
        <v>148.21700000000001</v>
      </c>
      <c r="T916" s="115">
        <v>146.584</v>
      </c>
      <c r="U916" s="115">
        <v>146.16499999999999</v>
      </c>
      <c r="V916" s="115">
        <v>144.851</v>
      </c>
      <c r="W916" s="115">
        <v>163.74299999999999</v>
      </c>
      <c r="X916" s="115">
        <v>150.71</v>
      </c>
      <c r="Y916" s="115">
        <v>151.11799999999999</v>
      </c>
      <c r="Z916" s="115">
        <v>151.05699999999999</v>
      </c>
      <c r="AA916" s="115">
        <v>150.68199999999999</v>
      </c>
      <c r="AB916" s="115">
        <v>150.46100000000001</v>
      </c>
      <c r="AC916" s="115">
        <v>150.155</v>
      </c>
      <c r="AD916" s="43"/>
      <c r="AE916" s="43"/>
      <c r="AF916" s="43"/>
      <c r="AG916" s="43"/>
      <c r="AH916" s="43"/>
      <c r="AI916" s="43"/>
    </row>
    <row r="917" spans="1:35" x14ac:dyDescent="0.25">
      <c r="A917" s="115" t="s">
        <v>38</v>
      </c>
      <c r="B917" s="115"/>
      <c r="C917" s="115">
        <v>161.881</v>
      </c>
      <c r="D917" s="115">
        <v>149.1</v>
      </c>
      <c r="E917" s="115">
        <v>149.08500000000001</v>
      </c>
      <c r="F917" s="115">
        <v>150.327</v>
      </c>
      <c r="G917" s="115">
        <v>150.38200000000001</v>
      </c>
      <c r="H917" s="115">
        <v>150.565</v>
      </c>
      <c r="I917" s="115">
        <v>150.75800000000001</v>
      </c>
      <c r="J917" s="115">
        <v>151.251</v>
      </c>
      <c r="K917" s="115">
        <v>151.429</v>
      </c>
      <c r="L917" s="115">
        <v>151.71899999999999</v>
      </c>
      <c r="M917" s="115">
        <v>151.90600000000001</v>
      </c>
      <c r="N917" s="115">
        <v>152.11500000000001</v>
      </c>
      <c r="O917" s="115">
        <v>147.9</v>
      </c>
      <c r="P917" s="115">
        <v>148.261</v>
      </c>
      <c r="Q917" s="115">
        <v>148.44499999999999</v>
      </c>
      <c r="R917" s="115">
        <v>146.87700000000001</v>
      </c>
      <c r="S917" s="115">
        <v>148.21700000000001</v>
      </c>
      <c r="T917" s="115">
        <v>146.584</v>
      </c>
      <c r="U917" s="115">
        <v>146.16499999999999</v>
      </c>
      <c r="V917" s="115">
        <v>144.851</v>
      </c>
      <c r="W917" s="115">
        <v>163.74299999999999</v>
      </c>
      <c r="X917" s="115">
        <v>150.71</v>
      </c>
      <c r="Y917" s="115">
        <v>151.11799999999999</v>
      </c>
      <c r="Z917" s="115">
        <v>151.05699999999999</v>
      </c>
      <c r="AA917" s="115">
        <v>150.68199999999999</v>
      </c>
      <c r="AB917" s="115">
        <v>150.46100000000001</v>
      </c>
      <c r="AC917" s="115">
        <v>150.155</v>
      </c>
      <c r="AD917" s="43"/>
      <c r="AE917" s="43"/>
      <c r="AF917" s="43"/>
      <c r="AG917" s="43"/>
      <c r="AH917" s="43"/>
      <c r="AI917" s="43"/>
    </row>
    <row r="918" spans="1:35" x14ac:dyDescent="0.25">
      <c r="A918" s="115" t="s">
        <v>632</v>
      </c>
      <c r="B918" s="115">
        <v>7.1920000000000002</v>
      </c>
      <c r="C918" s="115">
        <v>7.9720000000000004</v>
      </c>
      <c r="D918" s="115">
        <v>7.5190000000000001</v>
      </c>
      <c r="E918" s="115">
        <v>7.4119999999999999</v>
      </c>
      <c r="F918" s="115">
        <v>8.1129999999999995</v>
      </c>
      <c r="G918" s="115">
        <v>7.9779999999999998</v>
      </c>
      <c r="H918" s="115">
        <v>7.8209999999999997</v>
      </c>
      <c r="I918" s="115">
        <v>7.5910000000000002</v>
      </c>
      <c r="J918" s="115">
        <v>7.4880000000000004</v>
      </c>
      <c r="K918" s="115">
        <v>7.3170000000000002</v>
      </c>
      <c r="L918" s="115">
        <v>7.1289999999999996</v>
      </c>
      <c r="M918" s="115">
        <v>6.9329999999999998</v>
      </c>
      <c r="N918" s="115">
        <v>6.7469999999999999</v>
      </c>
      <c r="O918" s="115">
        <v>6.5979999999999999</v>
      </c>
      <c r="P918" s="115">
        <v>6.4969999999999999</v>
      </c>
      <c r="Q918" s="115">
        <v>6.3609999999999998</v>
      </c>
      <c r="R918" s="115">
        <v>6.2469999999999999</v>
      </c>
      <c r="S918" s="115">
        <v>10.154999999999999</v>
      </c>
      <c r="T918" s="115">
        <v>5.9359999999999999</v>
      </c>
      <c r="U918" s="115">
        <v>5.806</v>
      </c>
      <c r="V918" s="115">
        <v>5.7009999999999996</v>
      </c>
      <c r="W918" s="115">
        <v>5.641</v>
      </c>
      <c r="X918" s="115">
        <v>5.5910000000000002</v>
      </c>
      <c r="Y918" s="115">
        <v>5.5060000000000002</v>
      </c>
      <c r="Z918" s="115">
        <v>5.4349999999999996</v>
      </c>
      <c r="AA918" s="115">
        <v>5.3710000000000004</v>
      </c>
      <c r="AB918" s="115">
        <v>5.3140000000000001</v>
      </c>
      <c r="AC918" s="115">
        <v>5.2619999999999996</v>
      </c>
      <c r="AD918" s="43"/>
      <c r="AE918" s="43"/>
      <c r="AF918" s="43"/>
      <c r="AG918" s="43"/>
      <c r="AH918" s="43"/>
      <c r="AI918" s="43"/>
    </row>
    <row r="919" spans="1:35" x14ac:dyDescent="0.25">
      <c r="A919" s="115" t="s">
        <v>661</v>
      </c>
      <c r="B919" s="115"/>
      <c r="C919" s="115">
        <v>0.16700000000000001</v>
      </c>
      <c r="D919" s="115">
        <v>0.11799999999999999</v>
      </c>
      <c r="E919" s="115">
        <v>0.14299999999999999</v>
      </c>
      <c r="F919" s="115">
        <v>0.159</v>
      </c>
      <c r="G919" s="115">
        <v>0.16500000000000001</v>
      </c>
      <c r="H919" s="115">
        <v>0.17199999999999999</v>
      </c>
      <c r="I919" s="115">
        <v>0.19500000000000001</v>
      </c>
      <c r="J919" s="115">
        <v>0.20300000000000001</v>
      </c>
      <c r="K919" s="115">
        <v>0.215</v>
      </c>
      <c r="L919" s="115">
        <v>0.21</v>
      </c>
      <c r="M919" s="115">
        <v>0.20300000000000001</v>
      </c>
      <c r="N919" s="115">
        <v>0.19700000000000001</v>
      </c>
      <c r="O919" s="115">
        <v>0.16</v>
      </c>
      <c r="P919" s="115">
        <v>0.17</v>
      </c>
      <c r="Q919" s="115">
        <v>0.16200000000000001</v>
      </c>
      <c r="R919" s="115">
        <v>0.14299999999999999</v>
      </c>
      <c r="S919" s="115">
        <v>0.24</v>
      </c>
      <c r="T919" s="115">
        <v>0.13700000000000001</v>
      </c>
      <c r="U919" s="115">
        <v>0.13200000000000001</v>
      </c>
      <c r="V919" s="115">
        <v>0.11899999999999999</v>
      </c>
      <c r="W919" s="115">
        <v>7.8E-2</v>
      </c>
      <c r="X919" s="115">
        <v>7.3999999999999996E-2</v>
      </c>
      <c r="Y919" s="115">
        <v>7.9000000000000001E-2</v>
      </c>
      <c r="Z919" s="115">
        <v>7.0000000000000007E-2</v>
      </c>
      <c r="AA919" s="115">
        <v>6.8000000000000005E-2</v>
      </c>
      <c r="AB919" s="115">
        <v>6.7000000000000004E-2</v>
      </c>
      <c r="AC919" s="115">
        <v>6.6000000000000003E-2</v>
      </c>
      <c r="AD919" s="43"/>
      <c r="AE919" s="43"/>
      <c r="AF919" s="43"/>
      <c r="AG919" s="43"/>
      <c r="AH919" s="43"/>
      <c r="AI919" s="43"/>
    </row>
    <row r="920" spans="1:35" x14ac:dyDescent="0.25">
      <c r="A920" s="115" t="s">
        <v>662</v>
      </c>
      <c r="B920" s="115"/>
      <c r="C920" s="115">
        <v>0.124</v>
      </c>
      <c r="D920" s="115">
        <v>9.5000000000000001E-2</v>
      </c>
      <c r="E920" s="115">
        <v>0.1</v>
      </c>
      <c r="F920" s="115">
        <v>0.113</v>
      </c>
      <c r="G920" s="115">
        <v>0.108</v>
      </c>
      <c r="H920" s="115">
        <v>0.10299999999999999</v>
      </c>
      <c r="I920" s="115">
        <v>0.106</v>
      </c>
      <c r="J920" s="115">
        <v>0.122</v>
      </c>
      <c r="K920" s="115">
        <v>0.11799999999999999</v>
      </c>
      <c r="L920" s="115">
        <v>0.121</v>
      </c>
      <c r="M920" s="115">
        <v>0.126</v>
      </c>
      <c r="N920" s="115">
        <v>0.13</v>
      </c>
      <c r="O920" s="115">
        <v>0.10100000000000001</v>
      </c>
      <c r="P920" s="115">
        <v>0.113</v>
      </c>
      <c r="Q920" s="115">
        <v>0.114</v>
      </c>
      <c r="R920" s="115">
        <v>0.10199999999999999</v>
      </c>
      <c r="S920" s="115">
        <v>0.14499999999999999</v>
      </c>
      <c r="T920" s="115">
        <v>0.10100000000000001</v>
      </c>
      <c r="U920" s="115">
        <v>9.9000000000000005E-2</v>
      </c>
      <c r="V920" s="115">
        <v>8.8999999999999996E-2</v>
      </c>
      <c r="W920" s="115">
        <v>0.05</v>
      </c>
      <c r="X920" s="115">
        <v>4.8000000000000001E-2</v>
      </c>
      <c r="Y920" s="115">
        <v>5.3999999999999999E-2</v>
      </c>
      <c r="Z920" s="115">
        <v>4.5999999999999999E-2</v>
      </c>
      <c r="AA920" s="115">
        <v>4.5999999999999999E-2</v>
      </c>
      <c r="AB920" s="115">
        <v>4.5999999999999999E-2</v>
      </c>
      <c r="AC920" s="115">
        <v>4.5999999999999999E-2</v>
      </c>
      <c r="AD920" s="43"/>
      <c r="AE920" s="43"/>
      <c r="AF920" s="43"/>
      <c r="AG920" s="43"/>
      <c r="AH920" s="43"/>
      <c r="AI920" s="43"/>
    </row>
    <row r="921" spans="1:35" x14ac:dyDescent="0.25">
      <c r="A921" s="115" t="s">
        <v>663</v>
      </c>
      <c r="B921" s="115"/>
      <c r="C921" s="115">
        <v>8.9999999999999993E-3</v>
      </c>
      <c r="D921" s="115">
        <v>0</v>
      </c>
      <c r="E921" s="115">
        <v>1.4999999999999999E-2</v>
      </c>
      <c r="F921" s="115">
        <v>1.0999999999999999E-2</v>
      </c>
      <c r="G921" s="115">
        <v>2.4E-2</v>
      </c>
      <c r="H921" s="115">
        <v>3.9E-2</v>
      </c>
      <c r="I921" s="115">
        <v>5.3999999999999999E-2</v>
      </c>
      <c r="J921" s="115">
        <v>3.5999999999999997E-2</v>
      </c>
      <c r="K921" s="115">
        <v>5.2999999999999999E-2</v>
      </c>
      <c r="L921" s="115">
        <v>4.8000000000000001E-2</v>
      </c>
      <c r="M921" s="115">
        <v>4.1000000000000002E-2</v>
      </c>
      <c r="N921" s="115">
        <v>3.5000000000000003E-2</v>
      </c>
      <c r="O921" s="115">
        <v>0.03</v>
      </c>
      <c r="P921" s="115">
        <v>2.1999999999999999E-2</v>
      </c>
      <c r="Q921" s="115">
        <v>1.7000000000000001E-2</v>
      </c>
      <c r="R921" s="115">
        <v>1.2E-2</v>
      </c>
      <c r="S921" s="115">
        <v>7.0000000000000001E-3</v>
      </c>
      <c r="T921" s="115">
        <v>0.01</v>
      </c>
      <c r="U921" s="115">
        <v>0.01</v>
      </c>
      <c r="V921" s="115">
        <v>8.9999999999999993E-3</v>
      </c>
      <c r="W921" s="115">
        <v>8.9999999999999993E-3</v>
      </c>
      <c r="X921" s="115">
        <v>8.9999999999999993E-3</v>
      </c>
      <c r="Y921" s="115">
        <v>8.9999999999999993E-3</v>
      </c>
      <c r="Z921" s="115">
        <v>8.0000000000000002E-3</v>
      </c>
      <c r="AA921" s="115">
        <v>8.0000000000000002E-3</v>
      </c>
      <c r="AB921" s="115">
        <v>8.0000000000000002E-3</v>
      </c>
      <c r="AC921" s="115">
        <v>7.0000000000000001E-3</v>
      </c>
      <c r="AD921" s="43"/>
      <c r="AE921" s="43"/>
      <c r="AF921" s="43"/>
      <c r="AG921" s="43"/>
      <c r="AH921" s="43"/>
      <c r="AI921" s="43"/>
    </row>
    <row r="922" spans="1:35" x14ac:dyDescent="0.25">
      <c r="A922" s="115" t="s">
        <v>664</v>
      </c>
      <c r="B922" s="115"/>
      <c r="C922" s="115">
        <v>1.4999999999999999E-2</v>
      </c>
      <c r="D922" s="115">
        <v>1.2E-2</v>
      </c>
      <c r="E922" s="115">
        <v>1.7000000000000001E-2</v>
      </c>
      <c r="F922" s="115">
        <v>1.9E-2</v>
      </c>
      <c r="G922" s="115">
        <v>1.9E-2</v>
      </c>
      <c r="H922" s="115">
        <v>1.7999999999999999E-2</v>
      </c>
      <c r="I922" s="115">
        <v>2.3E-2</v>
      </c>
      <c r="J922" s="115">
        <v>3.3000000000000002E-2</v>
      </c>
      <c r="K922" s="115">
        <v>3.3000000000000002E-2</v>
      </c>
      <c r="L922" s="115">
        <v>3.1E-2</v>
      </c>
      <c r="M922" s="115">
        <v>2.9000000000000001E-2</v>
      </c>
      <c r="N922" s="115">
        <v>2.5999999999999999E-2</v>
      </c>
      <c r="O922" s="115">
        <v>2.4E-2</v>
      </c>
      <c r="P922" s="115">
        <v>0.03</v>
      </c>
      <c r="Q922" s="115">
        <v>2.7E-2</v>
      </c>
      <c r="R922" s="115">
        <v>2.4E-2</v>
      </c>
      <c r="S922" s="115">
        <v>8.2000000000000003E-2</v>
      </c>
      <c r="T922" s="115">
        <v>0.02</v>
      </c>
      <c r="U922" s="115">
        <v>1.9E-2</v>
      </c>
      <c r="V922" s="115">
        <v>1.6E-2</v>
      </c>
      <c r="W922" s="115">
        <v>1.4999999999999999E-2</v>
      </c>
      <c r="X922" s="115">
        <v>1.4999999999999999E-2</v>
      </c>
      <c r="Y922" s="115">
        <v>1.2999999999999999E-2</v>
      </c>
      <c r="Z922" s="115">
        <v>1.2E-2</v>
      </c>
      <c r="AA922" s="115">
        <v>1.2E-2</v>
      </c>
      <c r="AB922" s="115">
        <v>1.0999999999999999E-2</v>
      </c>
      <c r="AC922" s="115">
        <v>0.01</v>
      </c>
      <c r="AD922" s="43"/>
      <c r="AE922" s="43"/>
      <c r="AF922" s="43"/>
      <c r="AG922" s="43"/>
      <c r="AH922" s="43"/>
      <c r="AI922" s="43"/>
    </row>
    <row r="923" spans="1:35" x14ac:dyDescent="0.25">
      <c r="A923" s="115" t="s">
        <v>665</v>
      </c>
      <c r="B923" s="115"/>
      <c r="C923" s="115">
        <v>1.2999999999999999E-2</v>
      </c>
      <c r="D923" s="115">
        <v>6.0000000000000001E-3</v>
      </c>
      <c r="E923" s="115">
        <v>7.0000000000000001E-3</v>
      </c>
      <c r="F923" s="115">
        <v>1.0999999999999999E-2</v>
      </c>
      <c r="G923" s="115">
        <v>8.9999999999999993E-3</v>
      </c>
      <c r="H923" s="115">
        <v>8.0000000000000002E-3</v>
      </c>
      <c r="I923" s="115">
        <v>7.0000000000000001E-3</v>
      </c>
      <c r="J923" s="115">
        <v>7.0000000000000001E-3</v>
      </c>
      <c r="K923" s="115">
        <v>6.0000000000000001E-3</v>
      </c>
      <c r="L923" s="115">
        <v>4.0000000000000001E-3</v>
      </c>
      <c r="M923" s="115">
        <v>2E-3</v>
      </c>
      <c r="N923" s="115">
        <v>0</v>
      </c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43"/>
      <c r="AE923" s="43"/>
      <c r="AF923" s="43"/>
      <c r="AG923" s="43"/>
      <c r="AH923" s="43"/>
      <c r="AI923" s="43"/>
    </row>
    <row r="924" spans="1:35" x14ac:dyDescent="0.25">
      <c r="A924" s="115" t="s">
        <v>666</v>
      </c>
      <c r="B924" s="115"/>
      <c r="C924" s="115">
        <v>6.0000000000000001E-3</v>
      </c>
      <c r="D924" s="115">
        <v>4.0000000000000001E-3</v>
      </c>
      <c r="E924" s="115">
        <v>4.0000000000000001E-3</v>
      </c>
      <c r="F924" s="115">
        <v>4.0000000000000001E-3</v>
      </c>
      <c r="G924" s="115">
        <v>4.0000000000000001E-3</v>
      </c>
      <c r="H924" s="115">
        <v>4.0000000000000001E-3</v>
      </c>
      <c r="I924" s="115">
        <v>5.0000000000000001E-3</v>
      </c>
      <c r="J924" s="115">
        <v>6.0000000000000001E-3</v>
      </c>
      <c r="K924" s="115">
        <v>6.0000000000000001E-3</v>
      </c>
      <c r="L924" s="115">
        <v>5.0000000000000001E-3</v>
      </c>
      <c r="M924" s="115">
        <v>5.0000000000000001E-3</v>
      </c>
      <c r="N924" s="115">
        <v>5.0000000000000001E-3</v>
      </c>
      <c r="O924" s="115">
        <v>4.0000000000000001E-3</v>
      </c>
      <c r="P924" s="115">
        <v>5.0000000000000001E-3</v>
      </c>
      <c r="Q924" s="115">
        <v>5.0000000000000001E-3</v>
      </c>
      <c r="R924" s="115">
        <v>4.0000000000000001E-3</v>
      </c>
      <c r="S924" s="115">
        <v>6.0000000000000001E-3</v>
      </c>
      <c r="T924" s="115">
        <v>5.0000000000000001E-3</v>
      </c>
      <c r="U924" s="115">
        <v>5.0000000000000001E-3</v>
      </c>
      <c r="V924" s="115">
        <v>4.0000000000000001E-3</v>
      </c>
      <c r="W924" s="115">
        <v>3.0000000000000001E-3</v>
      </c>
      <c r="X924" s="115">
        <v>3.0000000000000001E-3</v>
      </c>
      <c r="Y924" s="115">
        <v>3.0000000000000001E-3</v>
      </c>
      <c r="Z924" s="115">
        <v>3.0000000000000001E-3</v>
      </c>
      <c r="AA924" s="115">
        <v>3.0000000000000001E-3</v>
      </c>
      <c r="AB924" s="115">
        <v>3.0000000000000001E-3</v>
      </c>
      <c r="AC924" s="115">
        <v>3.0000000000000001E-3</v>
      </c>
      <c r="AD924" s="43"/>
      <c r="AE924" s="43"/>
      <c r="AF924" s="43"/>
      <c r="AG924" s="43"/>
      <c r="AH924" s="43"/>
      <c r="AI924" s="43"/>
    </row>
    <row r="925" spans="1:35" x14ac:dyDescent="0.25">
      <c r="A925" s="115" t="s">
        <v>674</v>
      </c>
      <c r="B925" s="115"/>
      <c r="C925" s="115">
        <v>0.27400000000000002</v>
      </c>
      <c r="D925" s="115">
        <v>5.6000000000000001E-2</v>
      </c>
      <c r="E925" s="115">
        <v>0.187</v>
      </c>
      <c r="F925" s="115">
        <v>0.45700000000000002</v>
      </c>
      <c r="G925" s="115">
        <v>0.19600000000000001</v>
      </c>
      <c r="H925" s="115">
        <v>0.19600000000000001</v>
      </c>
      <c r="I925" s="115">
        <v>0.188</v>
      </c>
      <c r="J925" s="115">
        <v>0.218</v>
      </c>
      <c r="K925" s="115">
        <v>0.20699999999999999</v>
      </c>
      <c r="L925" s="115">
        <v>0.19400000000000001</v>
      </c>
      <c r="M925" s="115">
        <v>0.182</v>
      </c>
      <c r="N925" s="115">
        <v>0.17699999999999999</v>
      </c>
      <c r="O925" s="115">
        <v>0.16200000000000001</v>
      </c>
      <c r="P925" s="115">
        <v>0.17</v>
      </c>
      <c r="Q925" s="115">
        <v>0.153</v>
      </c>
      <c r="R925" s="115">
        <v>0.14799999999999999</v>
      </c>
      <c r="S925" s="115">
        <v>1.86</v>
      </c>
      <c r="T925" s="115">
        <v>-0.83399999999999996</v>
      </c>
      <c r="U925" s="115">
        <v>0.13200000000000001</v>
      </c>
      <c r="V925" s="115">
        <v>0.13300000000000001</v>
      </c>
      <c r="W925" s="115">
        <v>0.13100000000000001</v>
      </c>
      <c r="X925" s="115">
        <v>0.13200000000000001</v>
      </c>
      <c r="Y925" s="115">
        <v>0.122</v>
      </c>
      <c r="Z925" s="115">
        <v>0.122</v>
      </c>
      <c r="AA925" s="115">
        <v>0.123</v>
      </c>
      <c r="AB925" s="115">
        <v>0.123</v>
      </c>
      <c r="AC925" s="115">
        <v>0.123</v>
      </c>
      <c r="AD925" s="43"/>
      <c r="AE925" s="43"/>
      <c r="AF925" s="43"/>
      <c r="AG925" s="43"/>
      <c r="AH925" s="43"/>
      <c r="AI925" s="43"/>
    </row>
    <row r="926" spans="1:35" x14ac:dyDescent="0.25">
      <c r="A926" s="115" t="s">
        <v>745</v>
      </c>
      <c r="B926" s="115"/>
      <c r="C926" s="115">
        <v>2.056</v>
      </c>
      <c r="D926" s="115">
        <v>2.4969999999999999</v>
      </c>
      <c r="E926" s="115">
        <v>2.23</v>
      </c>
      <c r="F926" s="115">
        <v>2.3220000000000001</v>
      </c>
      <c r="G926" s="115">
        <v>2.1139999999999999</v>
      </c>
      <c r="H926" s="115">
        <v>1.879</v>
      </c>
      <c r="I926" s="115">
        <v>1.659</v>
      </c>
      <c r="J926" s="115">
        <v>1.9790000000000001</v>
      </c>
      <c r="K926" s="115">
        <v>1.7430000000000001</v>
      </c>
      <c r="L926" s="115">
        <v>1.8220000000000001</v>
      </c>
      <c r="M926" s="115">
        <v>1.9219999999999999</v>
      </c>
      <c r="N926" s="115">
        <v>2.0129999999999999</v>
      </c>
      <c r="O926" s="115">
        <v>1.806</v>
      </c>
      <c r="P926" s="115">
        <v>1.95</v>
      </c>
      <c r="Q926" s="115">
        <v>2.0310000000000001</v>
      </c>
      <c r="R926" s="115">
        <v>1.8580000000000001</v>
      </c>
      <c r="S926" s="115">
        <v>2.1739999999999999</v>
      </c>
      <c r="T926" s="115">
        <v>1.954</v>
      </c>
      <c r="U926" s="115">
        <v>1.96</v>
      </c>
      <c r="V926" s="115">
        <v>1.821</v>
      </c>
      <c r="W926" s="115">
        <v>2.08</v>
      </c>
      <c r="X926" s="115">
        <v>1.776</v>
      </c>
      <c r="Y926" s="115">
        <v>1.9610000000000001</v>
      </c>
      <c r="Z926" s="115">
        <v>1.8580000000000001</v>
      </c>
      <c r="AA926" s="115">
        <v>1.889</v>
      </c>
      <c r="AB926" s="115">
        <v>1.929</v>
      </c>
      <c r="AC926" s="115">
        <v>1.9610000000000001</v>
      </c>
      <c r="AD926" s="43"/>
      <c r="AE926" s="43"/>
      <c r="AF926" s="43"/>
      <c r="AG926" s="43"/>
      <c r="AH926" s="43"/>
      <c r="AI926" s="43"/>
    </row>
    <row r="927" spans="1:35" x14ac:dyDescent="0.25">
      <c r="A927" s="115" t="s">
        <v>746</v>
      </c>
      <c r="B927" s="115"/>
      <c r="C927" s="115">
        <v>2.2549999999999999</v>
      </c>
      <c r="D927" s="115">
        <v>2.7650000000000001</v>
      </c>
      <c r="E927" s="115">
        <v>2.5419999999999998</v>
      </c>
      <c r="F927" s="115">
        <v>2.6269999999999998</v>
      </c>
      <c r="G927" s="115">
        <v>2.4540000000000002</v>
      </c>
      <c r="H927" s="115">
        <v>2.2589999999999999</v>
      </c>
      <c r="I927" s="115">
        <v>2.0790000000000002</v>
      </c>
      <c r="J927" s="115">
        <v>2.35</v>
      </c>
      <c r="K927" s="115">
        <v>2.1539999999999999</v>
      </c>
      <c r="L927" s="115">
        <v>2.222</v>
      </c>
      <c r="M927" s="115">
        <v>2.306</v>
      </c>
      <c r="N927" s="115">
        <v>2.3809999999999998</v>
      </c>
      <c r="O927" s="115">
        <v>2.0779999999999998</v>
      </c>
      <c r="P927" s="115">
        <v>2.198</v>
      </c>
      <c r="Q927" s="115">
        <v>2.2610000000000001</v>
      </c>
      <c r="R927" s="115">
        <v>2.0670000000000002</v>
      </c>
      <c r="S927" s="115">
        <v>2.3639999999999999</v>
      </c>
      <c r="T927" s="115">
        <v>2.137</v>
      </c>
      <c r="U927" s="115">
        <v>2.1309999999999998</v>
      </c>
      <c r="V927" s="115">
        <v>1.982</v>
      </c>
      <c r="W927" s="115">
        <v>2.427</v>
      </c>
      <c r="X927" s="115">
        <v>2.0910000000000002</v>
      </c>
      <c r="Y927" s="115">
        <v>2.2410000000000001</v>
      </c>
      <c r="Z927" s="115">
        <v>2.1629999999999998</v>
      </c>
      <c r="AA927" s="115">
        <v>2.1669999999999998</v>
      </c>
      <c r="AB927" s="115">
        <v>2.1779999999999999</v>
      </c>
      <c r="AC927" s="115">
        <v>2.1800000000000002</v>
      </c>
      <c r="AD927" s="43"/>
      <c r="AE927" s="43"/>
      <c r="AF927" s="43"/>
      <c r="AG927" s="43"/>
      <c r="AH927" s="43"/>
      <c r="AI927" s="43"/>
    </row>
    <row r="928" spans="1:35" x14ac:dyDescent="0.25">
      <c r="A928" s="115" t="s">
        <v>747</v>
      </c>
      <c r="B928" s="115"/>
      <c r="C928" s="115">
        <v>2.5169999999999999</v>
      </c>
      <c r="D928" s="115">
        <v>2.919</v>
      </c>
      <c r="E928" s="115">
        <v>2.7130000000000001</v>
      </c>
      <c r="F928" s="115">
        <v>2.7919999999999998</v>
      </c>
      <c r="G928" s="115">
        <v>2.6280000000000001</v>
      </c>
      <c r="H928" s="115">
        <v>2.4470000000000001</v>
      </c>
      <c r="I928" s="115">
        <v>2.2789999999999999</v>
      </c>
      <c r="J928" s="115">
        <v>2.5190000000000001</v>
      </c>
      <c r="K928" s="115">
        <v>2.3359999999999999</v>
      </c>
      <c r="L928" s="115">
        <v>2.39</v>
      </c>
      <c r="M928" s="115">
        <v>2.4569999999999999</v>
      </c>
      <c r="N928" s="115">
        <v>2.5129999999999999</v>
      </c>
      <c r="O928" s="115">
        <v>2.1560000000000001</v>
      </c>
      <c r="P928" s="115">
        <v>2.2519999999999998</v>
      </c>
      <c r="Q928" s="115">
        <v>2.2959999999999998</v>
      </c>
      <c r="R928" s="115">
        <v>2.0960000000000001</v>
      </c>
      <c r="S928" s="115">
        <v>2.3570000000000002</v>
      </c>
      <c r="T928" s="115">
        <v>2.13</v>
      </c>
      <c r="U928" s="115">
        <v>2.1110000000000002</v>
      </c>
      <c r="V928" s="115">
        <v>1.962</v>
      </c>
      <c r="W928" s="115">
        <v>2.6080000000000001</v>
      </c>
      <c r="X928" s="115">
        <v>2.2469999999999999</v>
      </c>
      <c r="Y928" s="115">
        <v>2.3570000000000002</v>
      </c>
      <c r="Z928" s="115">
        <v>2.31</v>
      </c>
      <c r="AA928" s="115">
        <v>2.2949999999999999</v>
      </c>
      <c r="AB928" s="115">
        <v>2.282</v>
      </c>
      <c r="AC928" s="115">
        <v>2.2629999999999999</v>
      </c>
      <c r="AD928" s="43"/>
      <c r="AE928" s="43"/>
      <c r="AF928" s="43"/>
      <c r="AG928" s="43"/>
      <c r="AH928" s="43"/>
      <c r="AI928" s="43"/>
    </row>
    <row r="929" spans="1:35" x14ac:dyDescent="0.25">
      <c r="A929" s="115" t="s">
        <v>748</v>
      </c>
      <c r="B929" s="115"/>
      <c r="C929" s="115">
        <v>2.54</v>
      </c>
      <c r="D929" s="115">
        <v>2.8929999999999998</v>
      </c>
      <c r="E929" s="115">
        <v>2.7040000000000002</v>
      </c>
      <c r="F929" s="115">
        <v>2.7759999999999998</v>
      </c>
      <c r="G929" s="115">
        <v>2.6269999999999998</v>
      </c>
      <c r="H929" s="115">
        <v>2.464</v>
      </c>
      <c r="I929" s="115">
        <v>2.3140000000000001</v>
      </c>
      <c r="J929" s="115">
        <v>2.5299999999999998</v>
      </c>
      <c r="K929" s="115">
        <v>2.3660000000000001</v>
      </c>
      <c r="L929" s="115">
        <v>2.415</v>
      </c>
      <c r="M929" s="115">
        <v>2.4740000000000002</v>
      </c>
      <c r="N929" s="115">
        <v>2.5230000000000001</v>
      </c>
      <c r="O929" s="115">
        <v>2.1789999999999998</v>
      </c>
      <c r="P929" s="115">
        <v>2.2650000000000001</v>
      </c>
      <c r="Q929" s="115">
        <v>2.302</v>
      </c>
      <c r="R929" s="115">
        <v>2.0920000000000001</v>
      </c>
      <c r="S929" s="115">
        <v>2.347</v>
      </c>
      <c r="T929" s="115">
        <v>2.117</v>
      </c>
      <c r="U929" s="115">
        <v>2.0939999999999999</v>
      </c>
      <c r="V929" s="115">
        <v>1.9419999999999999</v>
      </c>
      <c r="W929" s="115">
        <v>2.6320000000000001</v>
      </c>
      <c r="X929" s="115">
        <v>2.2629999999999999</v>
      </c>
      <c r="Y929" s="115">
        <v>2.3650000000000002</v>
      </c>
      <c r="Z929" s="115">
        <v>2.3220000000000001</v>
      </c>
      <c r="AA929" s="115">
        <v>2.2999999999999998</v>
      </c>
      <c r="AB929" s="115">
        <v>2.2799999999999998</v>
      </c>
      <c r="AC929" s="115">
        <v>2.254</v>
      </c>
      <c r="AD929" s="43"/>
      <c r="AE929" s="43"/>
      <c r="AF929" s="43"/>
      <c r="AG929" s="43"/>
      <c r="AH929" s="43"/>
      <c r="AI929" s="43"/>
    </row>
    <row r="930" spans="1:35" x14ac:dyDescent="0.25">
      <c r="A930" s="115" t="s">
        <v>749</v>
      </c>
      <c r="B930" s="115"/>
      <c r="C930" s="115">
        <v>2.6819999999999999</v>
      </c>
      <c r="D930" s="115">
        <v>2.9319999999999999</v>
      </c>
      <c r="E930" s="115">
        <v>2.7280000000000002</v>
      </c>
      <c r="F930" s="115">
        <v>2.8079999999999998</v>
      </c>
      <c r="G930" s="115">
        <v>2.6459999999999999</v>
      </c>
      <c r="H930" s="115">
        <v>2.4689999999999999</v>
      </c>
      <c r="I930" s="115">
        <v>2.3069999999999999</v>
      </c>
      <c r="J930" s="115">
        <v>2.5289999999999999</v>
      </c>
      <c r="K930" s="115">
        <v>2.3519999999999999</v>
      </c>
      <c r="L930" s="115">
        <v>2.3959999999999999</v>
      </c>
      <c r="M930" s="115">
        <v>2.4510000000000001</v>
      </c>
      <c r="N930" s="115">
        <v>2.4929999999999999</v>
      </c>
      <c r="O930" s="115">
        <v>2.1269999999999998</v>
      </c>
      <c r="P930" s="115">
        <v>2.206</v>
      </c>
      <c r="Q930" s="115">
        <v>2.234</v>
      </c>
      <c r="R930" s="115">
        <v>2.0059999999999998</v>
      </c>
      <c r="S930" s="115">
        <v>2.2570000000000001</v>
      </c>
      <c r="T930" s="115">
        <v>2.012</v>
      </c>
      <c r="U930" s="115">
        <v>1.982</v>
      </c>
      <c r="V930" s="115">
        <v>1.823</v>
      </c>
      <c r="W930" s="115">
        <v>2.6059999999999999</v>
      </c>
      <c r="X930" s="115">
        <v>2.238</v>
      </c>
      <c r="Y930" s="115">
        <v>2.335</v>
      </c>
      <c r="Z930" s="115">
        <v>2.2959999999999998</v>
      </c>
      <c r="AA930" s="115">
        <v>2.2719999999999998</v>
      </c>
      <c r="AB930" s="115">
        <v>2.2490000000000001</v>
      </c>
      <c r="AC930" s="115">
        <v>2.2189999999999999</v>
      </c>
      <c r="AD930" s="43"/>
      <c r="AE930" s="43"/>
      <c r="AF930" s="43"/>
      <c r="AG930" s="43"/>
      <c r="AH930" s="43"/>
      <c r="AI930" s="43"/>
    </row>
    <row r="931" spans="1:35" x14ac:dyDescent="0.25">
      <c r="A931" s="115" t="s">
        <v>733</v>
      </c>
      <c r="B931" s="115"/>
      <c r="C931" s="115">
        <v>0.64</v>
      </c>
      <c r="D931" s="115">
        <v>0.64700000000000002</v>
      </c>
      <c r="E931" s="115">
        <v>1.4139999999999999</v>
      </c>
      <c r="F931" s="115">
        <v>1.498</v>
      </c>
      <c r="G931" s="115">
        <v>1.4219999999999999</v>
      </c>
      <c r="H931" s="115">
        <v>1.288</v>
      </c>
      <c r="I931" s="115">
        <v>1.5309999999999999</v>
      </c>
      <c r="J931" s="115">
        <v>1.9470000000000001</v>
      </c>
      <c r="K931" s="115">
        <v>1.823</v>
      </c>
      <c r="L931" s="115">
        <v>1.754</v>
      </c>
      <c r="M931" s="115">
        <v>1.766</v>
      </c>
      <c r="N931" s="115">
        <v>1.64</v>
      </c>
      <c r="O931" s="115">
        <v>1.595</v>
      </c>
      <c r="P931" s="115">
        <v>2.1709999999999998</v>
      </c>
      <c r="Q931" s="115">
        <v>2.0550000000000002</v>
      </c>
      <c r="R931" s="115">
        <v>2.016</v>
      </c>
      <c r="S931" s="115">
        <v>2.33</v>
      </c>
      <c r="T931" s="115">
        <v>2.0190000000000001</v>
      </c>
      <c r="U931" s="115">
        <v>1.9350000000000001</v>
      </c>
      <c r="V931" s="115">
        <v>1.631</v>
      </c>
      <c r="W931" s="115">
        <v>1.6559999999999999</v>
      </c>
      <c r="X931" s="115">
        <v>1.5740000000000001</v>
      </c>
      <c r="Y931" s="115">
        <v>1.498</v>
      </c>
      <c r="Z931" s="115">
        <v>1.425</v>
      </c>
      <c r="AA931" s="115">
        <v>1.3580000000000001</v>
      </c>
      <c r="AB931" s="115">
        <v>1.2949999999999999</v>
      </c>
      <c r="AC931" s="115">
        <v>1.2330000000000001</v>
      </c>
      <c r="AD931" s="43"/>
      <c r="AE931" s="43"/>
      <c r="AF931" s="43"/>
      <c r="AG931" s="43"/>
      <c r="AH931" s="43"/>
      <c r="AI931" s="43"/>
    </row>
    <row r="932" spans="1:35" x14ac:dyDescent="0.25">
      <c r="A932" s="115" t="s">
        <v>734</v>
      </c>
      <c r="B932" s="115"/>
      <c r="C932" s="115">
        <v>0.63800000000000001</v>
      </c>
      <c r="D932" s="115">
        <v>0.7</v>
      </c>
      <c r="E932" s="115">
        <v>1.298</v>
      </c>
      <c r="F932" s="115">
        <v>1.427</v>
      </c>
      <c r="G932" s="115">
        <v>1.339</v>
      </c>
      <c r="H932" s="115">
        <v>1.21</v>
      </c>
      <c r="I932" s="115">
        <v>1.5369999999999999</v>
      </c>
      <c r="J932" s="115">
        <v>1.855</v>
      </c>
      <c r="K932" s="115">
        <v>1.7170000000000001</v>
      </c>
      <c r="L932" s="115">
        <v>1.6259999999999999</v>
      </c>
      <c r="M932" s="115">
        <v>1.6</v>
      </c>
      <c r="N932" s="115">
        <v>1.48</v>
      </c>
      <c r="O932" s="115">
        <v>1.4730000000000001</v>
      </c>
      <c r="P932" s="115">
        <v>2.0299999999999998</v>
      </c>
      <c r="Q932" s="115">
        <v>1.9139999999999999</v>
      </c>
      <c r="R932" s="115">
        <v>1.857</v>
      </c>
      <c r="S932" s="115">
        <v>2.286</v>
      </c>
      <c r="T932" s="115">
        <v>1.974</v>
      </c>
      <c r="U932" s="115">
        <v>1.88</v>
      </c>
      <c r="V932" s="115">
        <v>1.6060000000000001</v>
      </c>
      <c r="W932" s="115">
        <v>1.609</v>
      </c>
      <c r="X932" s="115">
        <v>1.5329999999999999</v>
      </c>
      <c r="Y932" s="115">
        <v>1.4610000000000001</v>
      </c>
      <c r="Z932" s="115">
        <v>1.3939999999999999</v>
      </c>
      <c r="AA932" s="115">
        <v>1.331</v>
      </c>
      <c r="AB932" s="115">
        <v>1.272</v>
      </c>
      <c r="AC932" s="115">
        <v>1.244</v>
      </c>
      <c r="AD932" s="43"/>
      <c r="AE932" s="43"/>
      <c r="AF932" s="43"/>
      <c r="AG932" s="43"/>
      <c r="AH932" s="43"/>
      <c r="AI932" s="43"/>
    </row>
    <row r="933" spans="1:35" x14ac:dyDescent="0.25">
      <c r="A933" s="115" t="s">
        <v>735</v>
      </c>
      <c r="B933" s="115"/>
      <c r="C933" s="115">
        <v>1.343</v>
      </c>
      <c r="D933" s="115">
        <v>0.84699999999999998</v>
      </c>
      <c r="E933" s="115">
        <v>1.248</v>
      </c>
      <c r="F933" s="115">
        <v>1.3540000000000001</v>
      </c>
      <c r="G933" s="115">
        <v>1.2549999999999999</v>
      </c>
      <c r="H933" s="115">
        <v>1.1379999999999999</v>
      </c>
      <c r="I933" s="115">
        <v>1.427</v>
      </c>
      <c r="J933" s="115">
        <v>1.6619999999999999</v>
      </c>
      <c r="K933" s="115">
        <v>1.5720000000000001</v>
      </c>
      <c r="L933" s="115">
        <v>1.4690000000000001</v>
      </c>
      <c r="M933" s="115">
        <v>1.4039999999999999</v>
      </c>
      <c r="N933" s="115">
        <v>1.2709999999999999</v>
      </c>
      <c r="O933" s="115">
        <v>1.294</v>
      </c>
      <c r="P933" s="115">
        <v>1.7789999999999999</v>
      </c>
      <c r="Q933" s="115">
        <v>1.665</v>
      </c>
      <c r="R933" s="115">
        <v>1.591</v>
      </c>
      <c r="S933" s="115">
        <v>2.5099999999999998</v>
      </c>
      <c r="T933" s="115">
        <v>1.7549999999999999</v>
      </c>
      <c r="U933" s="115">
        <v>1.661</v>
      </c>
      <c r="V933" s="115">
        <v>1.474</v>
      </c>
      <c r="W933" s="115">
        <v>1.454</v>
      </c>
      <c r="X933" s="115">
        <v>1.3919999999999999</v>
      </c>
      <c r="Y933" s="115">
        <v>1.331</v>
      </c>
      <c r="Z933" s="115">
        <v>1.2749999999999999</v>
      </c>
      <c r="AA933" s="115">
        <v>1.224</v>
      </c>
      <c r="AB933" s="115">
        <v>1.175</v>
      </c>
      <c r="AC933" s="115">
        <v>1.1279999999999999</v>
      </c>
      <c r="AD933" s="43"/>
      <c r="AE933" s="43"/>
      <c r="AF933" s="43"/>
      <c r="AG933" s="43"/>
      <c r="AH933" s="43"/>
      <c r="AI933" s="43"/>
    </row>
    <row r="934" spans="1:35" x14ac:dyDescent="0.25">
      <c r="A934" s="115" t="s">
        <v>736</v>
      </c>
      <c r="B934" s="115"/>
      <c r="C934" s="115">
        <v>1.1819999999999999</v>
      </c>
      <c r="D934" s="115">
        <v>0.84</v>
      </c>
      <c r="E934" s="115">
        <v>1.081</v>
      </c>
      <c r="F934" s="115">
        <v>1.1950000000000001</v>
      </c>
      <c r="G934" s="115">
        <v>1.1060000000000001</v>
      </c>
      <c r="H934" s="115">
        <v>1.0149999999999999</v>
      </c>
      <c r="I934" s="115">
        <v>1.3480000000000001</v>
      </c>
      <c r="J934" s="115">
        <v>1.534</v>
      </c>
      <c r="K934" s="115">
        <v>1.466</v>
      </c>
      <c r="L934" s="115">
        <v>1.339</v>
      </c>
      <c r="M934" s="115">
        <v>1.2450000000000001</v>
      </c>
      <c r="N934" s="115">
        <v>1.137</v>
      </c>
      <c r="O934" s="115">
        <v>1.18</v>
      </c>
      <c r="P934" s="115">
        <v>1.5649999999999999</v>
      </c>
      <c r="Q934" s="115">
        <v>1.46</v>
      </c>
      <c r="R934" s="115">
        <v>1.3779999999999999</v>
      </c>
      <c r="S934" s="115">
        <v>2.4319999999999999</v>
      </c>
      <c r="T934" s="115">
        <v>1.5880000000000001</v>
      </c>
      <c r="U934" s="115">
        <v>1.4970000000000001</v>
      </c>
      <c r="V934" s="115">
        <v>1.369</v>
      </c>
      <c r="W934" s="115">
        <v>1.337</v>
      </c>
      <c r="X934" s="115">
        <v>1.2829999999999999</v>
      </c>
      <c r="Y934" s="115">
        <v>1.228</v>
      </c>
      <c r="Z934" s="115">
        <v>1.1779999999999999</v>
      </c>
      <c r="AA934" s="115">
        <v>1.1319999999999999</v>
      </c>
      <c r="AB934" s="115">
        <v>1.089</v>
      </c>
      <c r="AC934" s="115">
        <v>1.046</v>
      </c>
      <c r="AD934" s="43"/>
      <c r="AE934" s="43"/>
      <c r="AF934" s="43"/>
      <c r="AG934" s="43"/>
      <c r="AH934" s="43"/>
      <c r="AI934" s="43"/>
    </row>
    <row r="935" spans="1:35" x14ac:dyDescent="0.25">
      <c r="A935" s="115" t="s">
        <v>737</v>
      </c>
      <c r="B935" s="115"/>
      <c r="C935" s="115">
        <v>1.5760000000000001</v>
      </c>
      <c r="D935" s="115">
        <v>1.0980000000000001</v>
      </c>
      <c r="E935" s="115">
        <v>1.2410000000000001</v>
      </c>
      <c r="F935" s="115">
        <v>1.355</v>
      </c>
      <c r="G935" s="115">
        <v>1.2470000000000001</v>
      </c>
      <c r="H935" s="115">
        <v>1.1539999999999999</v>
      </c>
      <c r="I935" s="115">
        <v>1.405</v>
      </c>
      <c r="J935" s="115">
        <v>1.5529999999999999</v>
      </c>
      <c r="K935" s="115">
        <v>1.633</v>
      </c>
      <c r="L935" s="115">
        <v>1.4630000000000001</v>
      </c>
      <c r="M935" s="115">
        <v>1.319</v>
      </c>
      <c r="N935" s="115">
        <v>1.1879999999999999</v>
      </c>
      <c r="O935" s="115">
        <v>1.248</v>
      </c>
      <c r="P935" s="115">
        <v>1.4870000000000001</v>
      </c>
      <c r="Q935" s="115">
        <v>1.3620000000000001</v>
      </c>
      <c r="R935" s="115">
        <v>1.256</v>
      </c>
      <c r="S935" s="115">
        <v>2.508</v>
      </c>
      <c r="T935" s="115">
        <v>1.4730000000000001</v>
      </c>
      <c r="U935" s="115">
        <v>1.3859999999999999</v>
      </c>
      <c r="V935" s="115">
        <v>1.294</v>
      </c>
      <c r="W935" s="115">
        <v>1.2490000000000001</v>
      </c>
      <c r="X935" s="115">
        <v>1.2030000000000001</v>
      </c>
      <c r="Y935" s="115">
        <v>1.155</v>
      </c>
      <c r="Z935" s="115">
        <v>1.1120000000000001</v>
      </c>
      <c r="AA935" s="115">
        <v>1.071</v>
      </c>
      <c r="AB935" s="115">
        <v>1.032</v>
      </c>
      <c r="AC935" s="115">
        <v>0.995</v>
      </c>
      <c r="AD935" s="43"/>
      <c r="AE935" s="43"/>
      <c r="AF935" s="43"/>
      <c r="AG935" s="43"/>
      <c r="AH935" s="43"/>
      <c r="AI935" s="43"/>
    </row>
    <row r="936" spans="1:35" x14ac:dyDescent="0.25">
      <c r="A936" s="115" t="s">
        <v>750</v>
      </c>
      <c r="B936" s="115"/>
      <c r="C936" s="115">
        <v>7.2789999999999999</v>
      </c>
      <c r="D936" s="115">
        <v>7.7080000000000002</v>
      </c>
      <c r="E936" s="115">
        <v>8.2089999999999996</v>
      </c>
      <c r="F936" s="115">
        <v>8.4710000000000001</v>
      </c>
      <c r="G936" s="115">
        <v>8.1869999999999994</v>
      </c>
      <c r="H936" s="115">
        <v>7.8170000000000002</v>
      </c>
      <c r="I936" s="115">
        <v>7.819</v>
      </c>
      <c r="J936" s="115">
        <v>8.5340000000000007</v>
      </c>
      <c r="K936" s="115">
        <v>8.1430000000000007</v>
      </c>
      <c r="L936" s="115">
        <v>8.1219999999999999</v>
      </c>
      <c r="M936" s="115">
        <v>8.2040000000000006</v>
      </c>
      <c r="N936" s="115">
        <v>8.1430000000000007</v>
      </c>
      <c r="O936" s="115">
        <v>7.8719999999999999</v>
      </c>
      <c r="P936" s="115">
        <v>8.5670000000000002</v>
      </c>
      <c r="Q936" s="115">
        <v>8.5060000000000002</v>
      </c>
      <c r="R936" s="115">
        <v>8.2739999999999991</v>
      </c>
      <c r="S936" s="115">
        <v>9.4250000000000007</v>
      </c>
      <c r="T936" s="115">
        <v>8.3000000000000007</v>
      </c>
      <c r="U936" s="115">
        <v>8.1890000000000001</v>
      </c>
      <c r="V936" s="115">
        <v>7.7240000000000002</v>
      </c>
      <c r="W936" s="115">
        <v>8.01</v>
      </c>
      <c r="X936" s="115">
        <v>7.6260000000000003</v>
      </c>
      <c r="Y936" s="115">
        <v>7.7320000000000002</v>
      </c>
      <c r="Z936" s="115">
        <v>7.556</v>
      </c>
      <c r="AA936" s="115">
        <v>7.5220000000000002</v>
      </c>
      <c r="AB936" s="115">
        <v>7.5019999999999998</v>
      </c>
      <c r="AC936" s="115">
        <v>7.4729999999999999</v>
      </c>
      <c r="AD936" s="43"/>
      <c r="AE936" s="43"/>
      <c r="AF936" s="43"/>
      <c r="AG936" s="43"/>
      <c r="AH936" s="43"/>
      <c r="AI936" s="43"/>
    </row>
    <row r="937" spans="1:35" x14ac:dyDescent="0.25">
      <c r="A937" s="115" t="s">
        <v>755</v>
      </c>
      <c r="B937" s="115"/>
      <c r="C937" s="115">
        <v>1.238</v>
      </c>
      <c r="D937" s="115">
        <v>1.2989999999999999</v>
      </c>
      <c r="E937" s="115">
        <v>1.371</v>
      </c>
      <c r="F937" s="115">
        <v>1.4019999999999999</v>
      </c>
      <c r="G937" s="115">
        <v>1.3420000000000001</v>
      </c>
      <c r="H937" s="115">
        <v>1.27</v>
      </c>
      <c r="I937" s="115">
        <v>1.2629999999999999</v>
      </c>
      <c r="J937" s="115">
        <v>1.369</v>
      </c>
      <c r="K937" s="115">
        <v>1.2989999999999999</v>
      </c>
      <c r="L937" s="115">
        <v>1.288</v>
      </c>
      <c r="M937" s="115">
        <v>1.2929999999999999</v>
      </c>
      <c r="N937" s="115">
        <v>1.2749999999999999</v>
      </c>
      <c r="O937" s="115">
        <v>1.226</v>
      </c>
      <c r="P937" s="115">
        <v>1.3260000000000001</v>
      </c>
      <c r="Q937" s="115">
        <v>1.3089999999999999</v>
      </c>
      <c r="R937" s="115">
        <v>1.266</v>
      </c>
      <c r="S937" s="115">
        <v>1.4390000000000001</v>
      </c>
      <c r="T937" s="115">
        <v>1.2649999999999999</v>
      </c>
      <c r="U937" s="115">
        <v>1.246</v>
      </c>
      <c r="V937" s="115">
        <v>1.1739999999999999</v>
      </c>
      <c r="W937" s="115">
        <v>1.2150000000000001</v>
      </c>
      <c r="X937" s="115">
        <v>1.155</v>
      </c>
      <c r="Y937" s="115">
        <v>1.169</v>
      </c>
      <c r="Z937" s="115">
        <v>1.141</v>
      </c>
      <c r="AA937" s="115">
        <v>1.1339999999999999</v>
      </c>
      <c r="AB937" s="115">
        <v>1.1299999999999999</v>
      </c>
      <c r="AC937" s="115">
        <v>1.1240000000000001</v>
      </c>
      <c r="AD937" s="43"/>
      <c r="AE937" s="43"/>
      <c r="AF937" s="43"/>
      <c r="AG937" s="43"/>
      <c r="AH937" s="43"/>
      <c r="AI937" s="43"/>
    </row>
    <row r="938" spans="1:35" x14ac:dyDescent="0.25">
      <c r="A938" s="115" t="s">
        <v>751</v>
      </c>
      <c r="B938" s="115"/>
      <c r="C938" s="115">
        <v>8.7189999999999994</v>
      </c>
      <c r="D938" s="115">
        <v>9.2710000000000008</v>
      </c>
      <c r="E938" s="115">
        <v>9.6530000000000005</v>
      </c>
      <c r="F938" s="115">
        <v>9.9770000000000003</v>
      </c>
      <c r="G938" s="115">
        <v>9.7149999999999999</v>
      </c>
      <c r="H938" s="115">
        <v>9.39</v>
      </c>
      <c r="I938" s="115">
        <v>9.5079999999999991</v>
      </c>
      <c r="J938" s="115">
        <v>10.071999999999999</v>
      </c>
      <c r="K938" s="115">
        <v>9.7040000000000006</v>
      </c>
      <c r="L938" s="115">
        <v>9.6440000000000001</v>
      </c>
      <c r="M938" s="115">
        <v>9.6639999999999997</v>
      </c>
      <c r="N938" s="115">
        <v>9.5830000000000002</v>
      </c>
      <c r="O938" s="115">
        <v>9.2539999999999996</v>
      </c>
      <c r="P938" s="115">
        <v>9.9049999999999994</v>
      </c>
      <c r="Q938" s="115">
        <v>9.8230000000000004</v>
      </c>
      <c r="R938" s="115">
        <v>9.5519999999999996</v>
      </c>
      <c r="S938" s="115">
        <v>10.882999999999999</v>
      </c>
      <c r="T938" s="115">
        <v>9.6509999999999998</v>
      </c>
      <c r="U938" s="115">
        <v>9.5129999999999999</v>
      </c>
      <c r="V938" s="115">
        <v>9.0630000000000006</v>
      </c>
      <c r="W938" s="115">
        <v>9.5180000000000007</v>
      </c>
      <c r="X938" s="115">
        <v>9.1159999999999997</v>
      </c>
      <c r="Y938" s="115">
        <v>9.1950000000000003</v>
      </c>
      <c r="Z938" s="115">
        <v>9.0570000000000004</v>
      </c>
      <c r="AA938" s="115">
        <v>9.0090000000000003</v>
      </c>
      <c r="AB938" s="115">
        <v>8.9700000000000006</v>
      </c>
      <c r="AC938" s="115">
        <v>8.9529999999999994</v>
      </c>
      <c r="AD938" s="43"/>
      <c r="AE938" s="43"/>
      <c r="AF938" s="43"/>
      <c r="AG938" s="43"/>
      <c r="AH938" s="43"/>
      <c r="AI938" s="43"/>
    </row>
    <row r="939" spans="1:35" x14ac:dyDescent="0.25">
      <c r="A939" s="115" t="s">
        <v>756</v>
      </c>
      <c r="B939" s="115"/>
      <c r="C939" s="115">
        <v>1.411</v>
      </c>
      <c r="D939" s="115">
        <v>1.4870000000000001</v>
      </c>
      <c r="E939" s="115">
        <v>1.5349999999999999</v>
      </c>
      <c r="F939" s="115">
        <v>1.573</v>
      </c>
      <c r="G939" s="115">
        <v>1.518</v>
      </c>
      <c r="H939" s="115">
        <v>1.4550000000000001</v>
      </c>
      <c r="I939" s="115">
        <v>1.4650000000000001</v>
      </c>
      <c r="J939" s="115">
        <v>1.5429999999999999</v>
      </c>
      <c r="K939" s="115">
        <v>1.478</v>
      </c>
      <c r="L939" s="115">
        <v>1.4610000000000001</v>
      </c>
      <c r="M939" s="115">
        <v>1.456</v>
      </c>
      <c r="N939" s="115">
        <v>1.4359999999999999</v>
      </c>
      <c r="O939" s="115">
        <v>1.379</v>
      </c>
      <c r="P939" s="115">
        <v>1.468</v>
      </c>
      <c r="Q939" s="115">
        <v>1.448</v>
      </c>
      <c r="R939" s="115">
        <v>1.4</v>
      </c>
      <c r="S939" s="115">
        <v>1.593</v>
      </c>
      <c r="T939" s="115">
        <v>1.411</v>
      </c>
      <c r="U939" s="115">
        <v>1.3879999999999999</v>
      </c>
      <c r="V939" s="115">
        <v>1.321</v>
      </c>
      <c r="W939" s="115">
        <v>1.385</v>
      </c>
      <c r="X939" s="115">
        <v>1.325</v>
      </c>
      <c r="Y939" s="115">
        <v>1.335</v>
      </c>
      <c r="Z939" s="115">
        <v>1.3129999999999999</v>
      </c>
      <c r="AA939" s="115">
        <v>1.304</v>
      </c>
      <c r="AB939" s="115">
        <v>1.2969999999999999</v>
      </c>
      <c r="AC939" s="115">
        <v>1.2929999999999999</v>
      </c>
      <c r="AD939" s="43"/>
      <c r="AE939" s="43"/>
      <c r="AF939" s="43"/>
      <c r="AG939" s="43"/>
      <c r="AH939" s="43"/>
      <c r="AI939" s="43"/>
    </row>
    <row r="940" spans="1:35" x14ac:dyDescent="0.25">
      <c r="A940" s="115" t="s">
        <v>752</v>
      </c>
      <c r="B940" s="115"/>
      <c r="C940" s="115">
        <v>10.417999999999999</v>
      </c>
      <c r="D940" s="115">
        <v>10.289</v>
      </c>
      <c r="E940" s="115">
        <v>10.487</v>
      </c>
      <c r="F940" s="115">
        <v>10.787000000000001</v>
      </c>
      <c r="G940" s="115">
        <v>10.516999999999999</v>
      </c>
      <c r="H940" s="115">
        <v>10.211</v>
      </c>
      <c r="I940" s="115">
        <v>10.297000000000001</v>
      </c>
      <c r="J940" s="115">
        <v>10.739000000000001</v>
      </c>
      <c r="K940" s="115">
        <v>10.423</v>
      </c>
      <c r="L940" s="115">
        <v>10.327</v>
      </c>
      <c r="M940" s="115">
        <v>10.279</v>
      </c>
      <c r="N940" s="115">
        <v>10.154</v>
      </c>
      <c r="O940" s="115">
        <v>9.7949999999999999</v>
      </c>
      <c r="P940" s="115">
        <v>10.345000000000001</v>
      </c>
      <c r="Q940" s="115">
        <v>10.24</v>
      </c>
      <c r="R940" s="115">
        <v>9.9429999999999996</v>
      </c>
      <c r="S940" s="115">
        <v>11.659000000000001</v>
      </c>
      <c r="T940" s="115">
        <v>10.016</v>
      </c>
      <c r="U940" s="115">
        <v>9.8699999999999992</v>
      </c>
      <c r="V940" s="115">
        <v>9.5109999999999992</v>
      </c>
      <c r="W940" s="115">
        <v>10.154</v>
      </c>
      <c r="X940" s="115">
        <v>9.7509999999999994</v>
      </c>
      <c r="Y940" s="115">
        <v>9.8119999999999994</v>
      </c>
      <c r="Z940" s="115">
        <v>9.7289999999999992</v>
      </c>
      <c r="AA940" s="115">
        <v>9.6839999999999993</v>
      </c>
      <c r="AB940" s="115">
        <v>9.6460000000000008</v>
      </c>
      <c r="AC940" s="115">
        <v>9.6029999999999998</v>
      </c>
      <c r="AD940" s="43"/>
      <c r="AE940" s="43"/>
      <c r="AF940" s="43"/>
      <c r="AG940" s="43"/>
      <c r="AH940" s="43"/>
      <c r="AI940" s="43"/>
    </row>
    <row r="941" spans="1:35" x14ac:dyDescent="0.25">
      <c r="A941" s="115" t="s">
        <v>757</v>
      </c>
      <c r="B941" s="115"/>
      <c r="C941" s="115">
        <v>1.6759999999999999</v>
      </c>
      <c r="D941" s="115">
        <v>1.641</v>
      </c>
      <c r="E941" s="115">
        <v>1.659</v>
      </c>
      <c r="F941" s="115">
        <v>1.6919999999999999</v>
      </c>
      <c r="G941" s="115">
        <v>1.635</v>
      </c>
      <c r="H941" s="115">
        <v>1.575</v>
      </c>
      <c r="I941" s="115">
        <v>1.579</v>
      </c>
      <c r="J941" s="115">
        <v>1.6379999999999999</v>
      </c>
      <c r="K941" s="115">
        <v>1.581</v>
      </c>
      <c r="L941" s="115">
        <v>1.5580000000000001</v>
      </c>
      <c r="M941" s="115">
        <v>1.542</v>
      </c>
      <c r="N941" s="115">
        <v>1.516</v>
      </c>
      <c r="O941" s="115">
        <v>1.454</v>
      </c>
      <c r="P941" s="115">
        <v>1.528</v>
      </c>
      <c r="Q941" s="115">
        <v>1.504</v>
      </c>
      <c r="R941" s="115">
        <v>1.4530000000000001</v>
      </c>
      <c r="S941" s="115">
        <v>1.7010000000000001</v>
      </c>
      <c r="T941" s="115">
        <v>1.4590000000000001</v>
      </c>
      <c r="U941" s="115">
        <v>1.4350000000000001</v>
      </c>
      <c r="V941" s="115">
        <v>1.381</v>
      </c>
      <c r="W941" s="115">
        <v>1.472</v>
      </c>
      <c r="X941" s="115">
        <v>1.411</v>
      </c>
      <c r="Y941" s="115">
        <v>1.417</v>
      </c>
      <c r="Z941" s="115">
        <v>1.403</v>
      </c>
      <c r="AA941" s="115">
        <v>1.3939999999999999</v>
      </c>
      <c r="AB941" s="115">
        <v>1.3859999999999999</v>
      </c>
      <c r="AC941" s="115">
        <v>1.3779999999999999</v>
      </c>
      <c r="AD941" s="43"/>
      <c r="AE941" s="43"/>
      <c r="AF941" s="43"/>
      <c r="AG941" s="43"/>
      <c r="AH941" s="43"/>
      <c r="AI941" s="43"/>
    </row>
    <row r="942" spans="1:35" x14ac:dyDescent="0.25">
      <c r="A942" s="115" t="s">
        <v>753</v>
      </c>
      <c r="B942" s="115"/>
      <c r="C942" s="115">
        <v>10.944000000000001</v>
      </c>
      <c r="D942" s="115">
        <v>10.917</v>
      </c>
      <c r="E942" s="115">
        <v>10.981999999999999</v>
      </c>
      <c r="F942" s="115">
        <v>11.305999999999999</v>
      </c>
      <c r="G942" s="115">
        <v>11.069000000000001</v>
      </c>
      <c r="H942" s="115">
        <v>10.814</v>
      </c>
      <c r="I942" s="115">
        <v>10.962999999999999</v>
      </c>
      <c r="J942" s="115">
        <v>11.336</v>
      </c>
      <c r="K942" s="115">
        <v>11.061999999999999</v>
      </c>
      <c r="L942" s="115">
        <v>10.939</v>
      </c>
      <c r="M942" s="115">
        <v>10.856</v>
      </c>
      <c r="N942" s="115">
        <v>10.747999999999999</v>
      </c>
      <c r="O942" s="115">
        <v>10.419</v>
      </c>
      <c r="P942" s="115">
        <v>10.86</v>
      </c>
      <c r="Q942" s="115">
        <v>10.754</v>
      </c>
      <c r="R942" s="115">
        <v>10.438000000000001</v>
      </c>
      <c r="S942" s="115">
        <v>12.366</v>
      </c>
      <c r="T942" s="115">
        <v>10.53</v>
      </c>
      <c r="U942" s="115">
        <v>10.378</v>
      </c>
      <c r="V942" s="115">
        <v>10.071999999999999</v>
      </c>
      <c r="W942" s="115">
        <v>10.747</v>
      </c>
      <c r="X942" s="115">
        <v>10.345000000000001</v>
      </c>
      <c r="Y942" s="115">
        <v>10.403</v>
      </c>
      <c r="Z942" s="115">
        <v>10.329000000000001</v>
      </c>
      <c r="AA942" s="115">
        <v>10.282999999999999</v>
      </c>
      <c r="AB942" s="115">
        <v>10.242000000000001</v>
      </c>
      <c r="AC942" s="115">
        <v>10.195</v>
      </c>
      <c r="AD942" s="43"/>
      <c r="AE942" s="43"/>
      <c r="AF942" s="43"/>
      <c r="AG942" s="43"/>
      <c r="AH942" s="43"/>
      <c r="AI942" s="43"/>
    </row>
    <row r="943" spans="1:35" x14ac:dyDescent="0.25">
      <c r="A943" s="115" t="s">
        <v>758</v>
      </c>
      <c r="B943" s="115"/>
      <c r="C943" s="115">
        <v>1.7909999999999999</v>
      </c>
      <c r="D943" s="115">
        <v>1.7709999999999999</v>
      </c>
      <c r="E943" s="115">
        <v>1.7669999999999999</v>
      </c>
      <c r="F943" s="115">
        <v>1.804</v>
      </c>
      <c r="G943" s="115">
        <v>1.752</v>
      </c>
      <c r="H943" s="115">
        <v>1.6970000000000001</v>
      </c>
      <c r="I943" s="115">
        <v>1.712</v>
      </c>
      <c r="J943" s="115">
        <v>1.7609999999999999</v>
      </c>
      <c r="K943" s="115">
        <v>1.7090000000000001</v>
      </c>
      <c r="L943" s="115">
        <v>1.681</v>
      </c>
      <c r="M943" s="115">
        <v>1.66</v>
      </c>
      <c r="N943" s="115">
        <v>1.635</v>
      </c>
      <c r="O943" s="115">
        <v>1.577</v>
      </c>
      <c r="P943" s="115">
        <v>1.635</v>
      </c>
      <c r="Q943" s="115">
        <v>1.611</v>
      </c>
      <c r="R943" s="115">
        <v>1.556</v>
      </c>
      <c r="S943" s="115">
        <v>1.841</v>
      </c>
      <c r="T943" s="115">
        <v>1.5660000000000001</v>
      </c>
      <c r="U943" s="115">
        <v>1.5409999999999999</v>
      </c>
      <c r="V943" s="115">
        <v>1.494</v>
      </c>
      <c r="W943" s="115">
        <v>1.5920000000000001</v>
      </c>
      <c r="X943" s="115">
        <v>1.53</v>
      </c>
      <c r="Y943" s="115">
        <v>1.5369999999999999</v>
      </c>
      <c r="Z943" s="115">
        <v>1.524</v>
      </c>
      <c r="AA943" s="115">
        <v>1.5149999999999999</v>
      </c>
      <c r="AB943" s="115">
        <v>1.5069999999999999</v>
      </c>
      <c r="AC943" s="115">
        <v>1.4990000000000001</v>
      </c>
      <c r="AD943" s="43"/>
      <c r="AE943" s="43"/>
      <c r="AF943" s="43"/>
      <c r="AG943" s="43"/>
      <c r="AH943" s="43"/>
      <c r="AI943" s="43"/>
    </row>
    <row r="944" spans="1:35" x14ac:dyDescent="0.25">
      <c r="A944" s="115" t="s">
        <v>754</v>
      </c>
      <c r="B944" s="115"/>
      <c r="C944" s="115">
        <v>12.786</v>
      </c>
      <c r="D944" s="115">
        <v>12.478999999999999</v>
      </c>
      <c r="E944" s="115">
        <v>12.42</v>
      </c>
      <c r="F944" s="115">
        <v>12.776999999999999</v>
      </c>
      <c r="G944" s="115">
        <v>12.493</v>
      </c>
      <c r="H944" s="115">
        <v>12.21</v>
      </c>
      <c r="I944" s="115">
        <v>12.25</v>
      </c>
      <c r="J944" s="115">
        <v>12.579000000000001</v>
      </c>
      <c r="K944" s="115">
        <v>12.416</v>
      </c>
      <c r="L944" s="115">
        <v>12.223000000000001</v>
      </c>
      <c r="M944" s="115">
        <v>12.064</v>
      </c>
      <c r="N944" s="115">
        <v>11.906000000000001</v>
      </c>
      <c r="O944" s="115">
        <v>11.555</v>
      </c>
      <c r="P944" s="115">
        <v>11.827999999999999</v>
      </c>
      <c r="Q944" s="115">
        <v>11.680999999999999</v>
      </c>
      <c r="R944" s="115">
        <v>11.318</v>
      </c>
      <c r="S944" s="115">
        <v>13.516999999999999</v>
      </c>
      <c r="T944" s="115">
        <v>11.365</v>
      </c>
      <c r="U944" s="115">
        <v>11.204000000000001</v>
      </c>
      <c r="V944" s="115">
        <v>10.923999999999999</v>
      </c>
      <c r="W944" s="115">
        <v>11.680999999999999</v>
      </c>
      <c r="X944" s="115">
        <v>11.291</v>
      </c>
      <c r="Y944" s="115">
        <v>11.351000000000001</v>
      </c>
      <c r="Z944" s="115">
        <v>11.291</v>
      </c>
      <c r="AA944" s="115">
        <v>11.250999999999999</v>
      </c>
      <c r="AB944" s="115">
        <v>11.215</v>
      </c>
      <c r="AC944" s="115">
        <v>11.172000000000001</v>
      </c>
      <c r="AD944" s="43"/>
      <c r="AE944" s="43"/>
      <c r="AF944" s="43"/>
      <c r="AG944" s="43"/>
      <c r="AH944" s="43"/>
      <c r="AI944" s="43"/>
    </row>
    <row r="945" spans="1:35" x14ac:dyDescent="0.25">
      <c r="A945" s="115" t="s">
        <v>759</v>
      </c>
      <c r="B945" s="115"/>
      <c r="C945" s="115">
        <v>2.109</v>
      </c>
      <c r="D945" s="115">
        <v>2.0409999999999999</v>
      </c>
      <c r="E945" s="115">
        <v>2.0139999999999998</v>
      </c>
      <c r="F945" s="115">
        <v>2.0550000000000002</v>
      </c>
      <c r="G945" s="115">
        <v>1.9930000000000001</v>
      </c>
      <c r="H945" s="115">
        <v>1.9319999999999999</v>
      </c>
      <c r="I945" s="115">
        <v>1.929</v>
      </c>
      <c r="J945" s="115">
        <v>1.97</v>
      </c>
      <c r="K945" s="115">
        <v>1.9350000000000001</v>
      </c>
      <c r="L945" s="115">
        <v>1.895</v>
      </c>
      <c r="M945" s="115">
        <v>1.86</v>
      </c>
      <c r="N945" s="115">
        <v>1.827</v>
      </c>
      <c r="O945" s="115">
        <v>1.764</v>
      </c>
      <c r="P945" s="115">
        <v>1.7969999999999999</v>
      </c>
      <c r="Q945" s="115">
        <v>1.766</v>
      </c>
      <c r="R945" s="115">
        <v>1.702</v>
      </c>
      <c r="S945" s="115">
        <v>2.0310000000000001</v>
      </c>
      <c r="T945" s="115">
        <v>1.7050000000000001</v>
      </c>
      <c r="U945" s="115">
        <v>1.679</v>
      </c>
      <c r="V945" s="115">
        <v>1.635</v>
      </c>
      <c r="W945" s="115">
        <v>1.746</v>
      </c>
      <c r="X945" s="115">
        <v>1.6850000000000001</v>
      </c>
      <c r="Y945" s="115">
        <v>1.6919999999999999</v>
      </c>
      <c r="Z945" s="115">
        <v>1.681</v>
      </c>
      <c r="AA945" s="115">
        <v>1.673</v>
      </c>
      <c r="AB945" s="115">
        <v>1.665</v>
      </c>
      <c r="AC945" s="115">
        <v>1.657</v>
      </c>
      <c r="AD945" s="43"/>
      <c r="AE945" s="43"/>
      <c r="AF945" s="43"/>
      <c r="AG945" s="43"/>
      <c r="AH945" s="43"/>
      <c r="AI945" s="43"/>
    </row>
    <row r="946" spans="1:35" x14ac:dyDescent="0.25">
      <c r="A946" s="115" t="s">
        <v>1228</v>
      </c>
      <c r="B946" s="115"/>
      <c r="C946" s="115">
        <v>389.85</v>
      </c>
      <c r="D946" s="115">
        <v>299.59800000000001</v>
      </c>
      <c r="E946" s="115">
        <v>336.46300000000002</v>
      </c>
      <c r="F946" s="115">
        <v>341.47300000000001</v>
      </c>
      <c r="G946" s="115">
        <v>335.76299999999998</v>
      </c>
      <c r="H946" s="115">
        <v>332.79500000000002</v>
      </c>
      <c r="I946" s="115">
        <v>338.77100000000002</v>
      </c>
      <c r="J946" s="115">
        <v>358.14400000000001</v>
      </c>
      <c r="K946" s="115">
        <v>376.99900000000002</v>
      </c>
      <c r="L946" s="115">
        <v>398.00099999999998</v>
      </c>
      <c r="M946" s="115">
        <v>421.36500000000001</v>
      </c>
      <c r="N946" s="115">
        <v>443.33699999999999</v>
      </c>
      <c r="O946" s="115">
        <v>392.125</v>
      </c>
      <c r="P946" s="115">
        <v>412.23200000000003</v>
      </c>
      <c r="Q946" s="115">
        <v>431.57100000000003</v>
      </c>
      <c r="R946" s="115">
        <v>421.95699999999999</v>
      </c>
      <c r="S946" s="115">
        <v>469.9</v>
      </c>
      <c r="T946" s="115">
        <v>444.34100000000001</v>
      </c>
      <c r="U946" s="115">
        <v>450.40699999999998</v>
      </c>
      <c r="V946" s="115">
        <v>429.47500000000002</v>
      </c>
      <c r="W946" s="115">
        <v>253.07499999999999</v>
      </c>
      <c r="X946" s="115">
        <v>263.29899999999998</v>
      </c>
      <c r="Y946" s="115">
        <v>274.04300000000001</v>
      </c>
      <c r="Z946" s="115">
        <v>255.167</v>
      </c>
      <c r="AA946" s="115">
        <v>248.566</v>
      </c>
      <c r="AB946" s="115">
        <v>242.99</v>
      </c>
      <c r="AC946" s="115">
        <v>236.95699999999999</v>
      </c>
      <c r="AD946" s="43"/>
      <c r="AE946" s="43"/>
      <c r="AF946" s="43"/>
      <c r="AG946" s="43"/>
      <c r="AH946" s="43"/>
      <c r="AI946" s="43"/>
    </row>
    <row r="947" spans="1:35" x14ac:dyDescent="0.25">
      <c r="A947" s="115" t="s">
        <v>992</v>
      </c>
      <c r="B947" s="115"/>
      <c r="C947" s="115">
        <v>1.167</v>
      </c>
      <c r="D947" s="115">
        <v>0.94599999999999995</v>
      </c>
      <c r="E947" s="115">
        <v>1.0009999999999999</v>
      </c>
      <c r="F947" s="115">
        <v>1.0509999999999999</v>
      </c>
      <c r="G947" s="115">
        <v>0.98199999999999998</v>
      </c>
      <c r="H947" s="115">
        <v>0.90300000000000002</v>
      </c>
      <c r="I947" s="115">
        <v>0.93200000000000005</v>
      </c>
      <c r="J947" s="115">
        <v>1.0669999999999999</v>
      </c>
      <c r="K947" s="115">
        <v>0.999</v>
      </c>
      <c r="L947" s="115">
        <v>0.98499999999999999</v>
      </c>
      <c r="M947" s="115">
        <v>0.98799999999999999</v>
      </c>
      <c r="N947" s="115">
        <v>0.97199999999999998</v>
      </c>
      <c r="O947" s="115">
        <v>0.89300000000000002</v>
      </c>
      <c r="P947" s="115">
        <v>1.038</v>
      </c>
      <c r="Q947" s="115">
        <v>1.0209999999999999</v>
      </c>
      <c r="R947" s="115">
        <v>0.95</v>
      </c>
      <c r="S947" s="115">
        <v>1.2290000000000001</v>
      </c>
      <c r="T947" s="115">
        <v>0.999</v>
      </c>
      <c r="U947" s="115">
        <v>0.97199999999999998</v>
      </c>
      <c r="V947" s="115">
        <v>0.88100000000000001</v>
      </c>
      <c r="W947" s="115">
        <v>1.0249999999999999</v>
      </c>
      <c r="X947" s="115">
        <v>0.91800000000000004</v>
      </c>
      <c r="Y947" s="115">
        <v>0.93500000000000005</v>
      </c>
      <c r="Z947" s="115">
        <v>0.90400000000000003</v>
      </c>
      <c r="AA947" s="115">
        <v>0.88800000000000001</v>
      </c>
      <c r="AB947" s="115">
        <v>0.875</v>
      </c>
      <c r="AC947" s="115">
        <v>0.86099999999999999</v>
      </c>
      <c r="AD947" s="43"/>
      <c r="AE947" s="43"/>
      <c r="AF947" s="43"/>
      <c r="AG947" s="43"/>
      <c r="AH947" s="43"/>
      <c r="AI947" s="43"/>
    </row>
    <row r="948" spans="1:35" x14ac:dyDescent="0.25">
      <c r="A948" s="115" t="s">
        <v>990</v>
      </c>
      <c r="B948" s="115"/>
      <c r="C948" s="115">
        <v>0.78200000000000003</v>
      </c>
      <c r="D948" s="115">
        <v>0.73</v>
      </c>
      <c r="E948" s="115">
        <v>0.67300000000000004</v>
      </c>
      <c r="F948" s="115">
        <v>0.69499999999999995</v>
      </c>
      <c r="G948" s="115">
        <v>0.65</v>
      </c>
      <c r="H948" s="115">
        <v>0.6</v>
      </c>
      <c r="I948" s="115">
        <v>0.55500000000000005</v>
      </c>
      <c r="J948" s="115">
        <v>0.621</v>
      </c>
      <c r="K948" s="115">
        <v>0.57099999999999995</v>
      </c>
      <c r="L948" s="115">
        <v>0.58599999999999997</v>
      </c>
      <c r="M948" s="115">
        <v>0.60499999999999998</v>
      </c>
      <c r="N948" s="115">
        <v>0.622</v>
      </c>
      <c r="O948" s="115">
        <v>0.53900000000000003</v>
      </c>
      <c r="P948" s="115">
        <v>0.56699999999999995</v>
      </c>
      <c r="Q948" s="115">
        <v>0.57999999999999996</v>
      </c>
      <c r="R948" s="115">
        <v>0.52800000000000002</v>
      </c>
      <c r="S948" s="115">
        <v>0.6</v>
      </c>
      <c r="T948" s="115">
        <v>0.54</v>
      </c>
      <c r="U948" s="115">
        <v>0.53600000000000003</v>
      </c>
      <c r="V948" s="115">
        <v>0.497</v>
      </c>
      <c r="W948" s="115">
        <v>0.64400000000000002</v>
      </c>
      <c r="X948" s="115">
        <v>0.55300000000000005</v>
      </c>
      <c r="Y948" s="115">
        <v>0.58699999999999997</v>
      </c>
      <c r="Z948" s="115">
        <v>0.57099999999999995</v>
      </c>
      <c r="AA948" s="115">
        <v>0.56899999999999995</v>
      </c>
      <c r="AB948" s="115">
        <v>0.56899999999999995</v>
      </c>
      <c r="AC948" s="115">
        <v>0.56699999999999995</v>
      </c>
      <c r="AD948" s="43"/>
      <c r="AE948" s="43"/>
      <c r="AF948" s="43"/>
      <c r="AG948" s="43"/>
      <c r="AH948" s="43"/>
      <c r="AI948" s="43"/>
    </row>
    <row r="949" spans="1:35" x14ac:dyDescent="0.25">
      <c r="A949" s="115" t="s">
        <v>991</v>
      </c>
      <c r="B949" s="115"/>
      <c r="C949" s="115">
        <v>0.38500000000000001</v>
      </c>
      <c r="D949" s="115">
        <v>0.215</v>
      </c>
      <c r="E949" s="115">
        <v>0.32700000000000001</v>
      </c>
      <c r="F949" s="115">
        <v>0.35599999999999998</v>
      </c>
      <c r="G949" s="115">
        <v>0.33200000000000002</v>
      </c>
      <c r="H949" s="115">
        <v>0.30299999999999999</v>
      </c>
      <c r="I949" s="115">
        <v>0.378</v>
      </c>
      <c r="J949" s="115">
        <v>0.44600000000000001</v>
      </c>
      <c r="K949" s="115">
        <v>0.42799999999999999</v>
      </c>
      <c r="L949" s="115">
        <v>0.39900000000000002</v>
      </c>
      <c r="M949" s="115">
        <v>0.38200000000000001</v>
      </c>
      <c r="N949" s="115">
        <v>0.35</v>
      </c>
      <c r="O949" s="115">
        <v>0.35399999999999998</v>
      </c>
      <c r="P949" s="115">
        <v>0.47099999999999997</v>
      </c>
      <c r="Q949" s="115">
        <v>0.441</v>
      </c>
      <c r="R949" s="115">
        <v>0.42199999999999999</v>
      </c>
      <c r="S949" s="115">
        <v>0.629</v>
      </c>
      <c r="T949" s="115">
        <v>0.45900000000000002</v>
      </c>
      <c r="U949" s="115">
        <v>0.436</v>
      </c>
      <c r="V949" s="115">
        <v>0.38400000000000001</v>
      </c>
      <c r="W949" s="115">
        <v>0.38100000000000001</v>
      </c>
      <c r="X949" s="115">
        <v>0.36399999999999999</v>
      </c>
      <c r="Y949" s="115">
        <v>0.34799999999999998</v>
      </c>
      <c r="Z949" s="115">
        <v>0.33300000000000002</v>
      </c>
      <c r="AA949" s="115">
        <v>0.31900000000000001</v>
      </c>
      <c r="AB949" s="115">
        <v>0.30599999999999999</v>
      </c>
      <c r="AC949" s="115">
        <v>0.29399999999999998</v>
      </c>
      <c r="AD949" s="43"/>
      <c r="AE949" s="43"/>
      <c r="AF949" s="43"/>
      <c r="AG949" s="43"/>
      <c r="AH949" s="43"/>
      <c r="AI949" s="43"/>
    </row>
    <row r="950" spans="1:35" x14ac:dyDescent="0.25">
      <c r="A950" s="115" t="s">
        <v>420</v>
      </c>
      <c r="B950" s="115"/>
      <c r="C950" s="115">
        <v>0.98</v>
      </c>
      <c r="D950" s="115">
        <v>0.77500000000000002</v>
      </c>
      <c r="E950" s="115">
        <v>1.139</v>
      </c>
      <c r="F950" s="115">
        <v>1.2050000000000001</v>
      </c>
      <c r="G950" s="115">
        <v>1.1539999999999999</v>
      </c>
      <c r="H950" s="115">
        <v>1.075</v>
      </c>
      <c r="I950" s="115">
        <v>1.23</v>
      </c>
      <c r="J950" s="115">
        <v>1.5229999999999999</v>
      </c>
      <c r="K950" s="115">
        <v>1.462</v>
      </c>
      <c r="L950" s="115">
        <v>1.3859999999999999</v>
      </c>
      <c r="M950" s="115">
        <v>1.359</v>
      </c>
      <c r="N950" s="115">
        <v>1.2669999999999999</v>
      </c>
      <c r="O950" s="115">
        <v>1.284</v>
      </c>
      <c r="P950" s="115">
        <v>1.7829999999999999</v>
      </c>
      <c r="Q950" s="115">
        <v>1.679</v>
      </c>
      <c r="R950" s="115">
        <v>1.62</v>
      </c>
      <c r="S950" s="115">
        <v>2.2850000000000001</v>
      </c>
      <c r="T950" s="115">
        <v>1.7869999999999999</v>
      </c>
      <c r="U950" s="115">
        <v>1.7010000000000001</v>
      </c>
      <c r="V950" s="115">
        <v>1.5029999999999999</v>
      </c>
      <c r="W950" s="115">
        <v>1.4930000000000001</v>
      </c>
      <c r="X950" s="115">
        <v>1.4279999999999999</v>
      </c>
      <c r="Y950" s="115">
        <v>1.365</v>
      </c>
      <c r="Z950" s="115">
        <v>1.3069999999999999</v>
      </c>
      <c r="AA950" s="115">
        <v>1.2529999999999999</v>
      </c>
      <c r="AB950" s="115">
        <v>1.202</v>
      </c>
      <c r="AC950" s="115">
        <v>1.159</v>
      </c>
      <c r="AD950" s="43"/>
      <c r="AE950" s="43"/>
      <c r="AF950" s="43"/>
      <c r="AG950" s="43"/>
      <c r="AH950" s="43"/>
      <c r="AI950" s="43"/>
    </row>
    <row r="951" spans="1:35" x14ac:dyDescent="0.25">
      <c r="A951" s="115" t="s">
        <v>419</v>
      </c>
      <c r="B951" s="115"/>
      <c r="C951" s="115">
        <v>600.85699999999997</v>
      </c>
      <c r="D951" s="115">
        <v>435.21600000000001</v>
      </c>
      <c r="E951" s="115">
        <v>624.22199999999998</v>
      </c>
      <c r="F951" s="115">
        <v>673.15200000000004</v>
      </c>
      <c r="G951" s="115">
        <v>685.49099999999999</v>
      </c>
      <c r="H951" s="115">
        <v>664.053</v>
      </c>
      <c r="I951" s="115">
        <v>710.43600000000004</v>
      </c>
      <c r="J951" s="115">
        <v>934.53099999999995</v>
      </c>
      <c r="K951" s="115">
        <v>880.7</v>
      </c>
      <c r="L951" s="115">
        <v>852.71100000000001</v>
      </c>
      <c r="M951" s="115">
        <v>866.88699999999994</v>
      </c>
      <c r="N951" s="115">
        <v>831.27499999999998</v>
      </c>
      <c r="O951" s="115">
        <v>828.06100000000004</v>
      </c>
      <c r="P951" s="115">
        <v>1249.94</v>
      </c>
      <c r="Q951" s="115">
        <v>1187.1849999999999</v>
      </c>
      <c r="R951" s="115">
        <v>1164.289</v>
      </c>
      <c r="S951" s="115">
        <v>1411.4090000000001</v>
      </c>
      <c r="T951" s="115">
        <v>1240.482</v>
      </c>
      <c r="U951" s="115">
        <v>1187.8009999999999</v>
      </c>
      <c r="V951" s="115">
        <v>1057.498</v>
      </c>
      <c r="W951" s="115">
        <v>1059.9280000000001</v>
      </c>
      <c r="X951" s="115">
        <v>1009.215</v>
      </c>
      <c r="Y951" s="115">
        <v>962.01300000000003</v>
      </c>
      <c r="Z951" s="115">
        <v>917.62599999999998</v>
      </c>
      <c r="AA951" s="115">
        <v>876.84199999999998</v>
      </c>
      <c r="AB951" s="115">
        <v>838.50099999999998</v>
      </c>
      <c r="AC951" s="115">
        <v>803.86300000000006</v>
      </c>
      <c r="AD951" s="43"/>
      <c r="AE951" s="43"/>
      <c r="AF951" s="43"/>
      <c r="AG951" s="43"/>
      <c r="AH951" s="43"/>
      <c r="AI951" s="43"/>
    </row>
    <row r="952" spans="1:35" x14ac:dyDescent="0.25">
      <c r="A952" s="115" t="s">
        <v>1124</v>
      </c>
      <c r="B952" s="115"/>
      <c r="C952" s="115">
        <v>0.98</v>
      </c>
      <c r="D952" s="115">
        <v>0.77500000000000002</v>
      </c>
      <c r="E952" s="115">
        <v>1.139</v>
      </c>
      <c r="F952" s="115">
        <v>1.2050000000000001</v>
      </c>
      <c r="G952" s="115">
        <v>1.1539999999999999</v>
      </c>
      <c r="H952" s="115">
        <v>1.075</v>
      </c>
      <c r="I952" s="115">
        <v>1.23</v>
      </c>
      <c r="J952" s="115">
        <v>1.5229999999999999</v>
      </c>
      <c r="K952" s="115">
        <v>1.462</v>
      </c>
      <c r="L952" s="115">
        <v>1.3859999999999999</v>
      </c>
      <c r="M952" s="115">
        <v>1.359</v>
      </c>
      <c r="N952" s="115">
        <v>1.2669999999999999</v>
      </c>
      <c r="O952" s="115">
        <v>1.284</v>
      </c>
      <c r="P952" s="115">
        <v>1.7829999999999999</v>
      </c>
      <c r="Q952" s="115">
        <v>1.679</v>
      </c>
      <c r="R952" s="115">
        <v>1.62</v>
      </c>
      <c r="S952" s="115">
        <v>2.2850000000000001</v>
      </c>
      <c r="T952" s="115">
        <v>1.7869999999999999</v>
      </c>
      <c r="U952" s="115">
        <v>1.7010000000000001</v>
      </c>
      <c r="V952" s="115">
        <v>1.5029999999999999</v>
      </c>
      <c r="W952" s="115">
        <v>1.4930000000000001</v>
      </c>
      <c r="X952" s="115">
        <v>1.4279999999999999</v>
      </c>
      <c r="Y952" s="115">
        <v>1.365</v>
      </c>
      <c r="Z952" s="115">
        <v>1.3069999999999999</v>
      </c>
      <c r="AA952" s="115">
        <v>1.2529999999999999</v>
      </c>
      <c r="AB952" s="115">
        <v>1.202</v>
      </c>
      <c r="AC952" s="115">
        <v>1.159</v>
      </c>
      <c r="AD952" s="43"/>
      <c r="AE952" s="43"/>
      <c r="AF952" s="43"/>
      <c r="AG952" s="43"/>
      <c r="AH952" s="43"/>
      <c r="AI952" s="43"/>
    </row>
    <row r="953" spans="1:35" x14ac:dyDescent="0.25">
      <c r="A953" s="115" t="s">
        <v>1121</v>
      </c>
      <c r="B953" s="115"/>
      <c r="C953" s="115">
        <v>600.85699999999997</v>
      </c>
      <c r="D953" s="115">
        <v>435.21600000000001</v>
      </c>
      <c r="E953" s="115">
        <v>624.22199999999998</v>
      </c>
      <c r="F953" s="115">
        <v>673.15200000000004</v>
      </c>
      <c r="G953" s="115">
        <v>685.49099999999999</v>
      </c>
      <c r="H953" s="115">
        <v>664.053</v>
      </c>
      <c r="I953" s="115">
        <v>710.43600000000004</v>
      </c>
      <c r="J953" s="115">
        <v>934.53099999999995</v>
      </c>
      <c r="K953" s="115">
        <v>880.7</v>
      </c>
      <c r="L953" s="115">
        <v>852.71100000000001</v>
      </c>
      <c r="M953" s="115">
        <v>866.88699999999994</v>
      </c>
      <c r="N953" s="115">
        <v>831.27499999999998</v>
      </c>
      <c r="O953" s="115">
        <v>828.06100000000004</v>
      </c>
      <c r="P953" s="115">
        <v>1249.94</v>
      </c>
      <c r="Q953" s="115">
        <v>1187.1849999999999</v>
      </c>
      <c r="R953" s="115">
        <v>1164.289</v>
      </c>
      <c r="S953" s="115">
        <v>1411.4090000000001</v>
      </c>
      <c r="T953" s="115">
        <v>1240.482</v>
      </c>
      <c r="U953" s="115">
        <v>1187.8009999999999</v>
      </c>
      <c r="V953" s="115">
        <v>1057.498</v>
      </c>
      <c r="W953" s="115">
        <v>1059.9280000000001</v>
      </c>
      <c r="X953" s="115">
        <v>1009.215</v>
      </c>
      <c r="Y953" s="115">
        <v>962.01300000000003</v>
      </c>
      <c r="Z953" s="115">
        <v>917.62599999999998</v>
      </c>
      <c r="AA953" s="115">
        <v>876.84199999999998</v>
      </c>
      <c r="AB953" s="115">
        <v>838.50099999999998</v>
      </c>
      <c r="AC953" s="115">
        <v>803.86300000000006</v>
      </c>
      <c r="AD953" s="43"/>
      <c r="AE953" s="43"/>
      <c r="AF953" s="43"/>
      <c r="AG953" s="43"/>
      <c r="AH953" s="43"/>
      <c r="AI953" s="43"/>
    </row>
    <row r="954" spans="1:35" x14ac:dyDescent="0.25">
      <c r="A954" s="115" t="s">
        <v>1116</v>
      </c>
      <c r="B954" s="115"/>
      <c r="C954" s="115">
        <v>43.878</v>
      </c>
      <c r="D954" s="115">
        <v>8.8659999999999997</v>
      </c>
      <c r="E954" s="115">
        <v>32.566000000000003</v>
      </c>
      <c r="F954" s="115">
        <v>34.44</v>
      </c>
      <c r="G954" s="115">
        <v>31.911000000000001</v>
      </c>
      <c r="H954" s="115">
        <v>29.78</v>
      </c>
      <c r="I954" s="115">
        <v>38.844000000000001</v>
      </c>
      <c r="J954" s="115">
        <v>50.932000000000002</v>
      </c>
      <c r="K954" s="115">
        <v>45.956000000000003</v>
      </c>
      <c r="L954" s="115">
        <v>41.651000000000003</v>
      </c>
      <c r="M954" s="115">
        <v>38.040999999999997</v>
      </c>
      <c r="N954" s="115">
        <v>34.984999999999999</v>
      </c>
      <c r="O954" s="115">
        <v>39.381</v>
      </c>
      <c r="P954" s="115">
        <v>69.417000000000002</v>
      </c>
      <c r="Q954" s="115">
        <v>65.346999999999994</v>
      </c>
      <c r="R954" s="115">
        <v>61.652000000000001</v>
      </c>
      <c r="S954" s="115">
        <v>86.399000000000001</v>
      </c>
      <c r="T954" s="115">
        <v>81.942999999999998</v>
      </c>
      <c r="U954" s="115">
        <v>78.221999999999994</v>
      </c>
      <c r="V954" s="115">
        <v>74.653999999999996</v>
      </c>
      <c r="W954" s="115">
        <v>72.12</v>
      </c>
      <c r="X954" s="115">
        <v>69.677000000000007</v>
      </c>
      <c r="Y954" s="115">
        <v>67.265000000000001</v>
      </c>
      <c r="Z954" s="115">
        <v>64.962999999999994</v>
      </c>
      <c r="AA954" s="115">
        <v>62.756999999999998</v>
      </c>
      <c r="AB954" s="115">
        <v>60.637</v>
      </c>
      <c r="AC954" s="115">
        <v>58.509</v>
      </c>
      <c r="AD954" s="43"/>
      <c r="AE954" s="43"/>
      <c r="AF954" s="43"/>
      <c r="AG954" s="43"/>
      <c r="AH954" s="43"/>
      <c r="AI954" s="43"/>
    </row>
    <row r="955" spans="1:35" x14ac:dyDescent="0.25">
      <c r="A955" s="115" t="s">
        <v>1117</v>
      </c>
      <c r="B955" s="115"/>
      <c r="C955" s="115">
        <v>71.819999999999993</v>
      </c>
      <c r="D955" s="115">
        <v>41.564</v>
      </c>
      <c r="E955" s="115">
        <v>49.637999999999998</v>
      </c>
      <c r="F955" s="115">
        <v>52.726999999999997</v>
      </c>
      <c r="G955" s="115">
        <v>49.392000000000003</v>
      </c>
      <c r="H955" s="115">
        <v>46.558999999999997</v>
      </c>
      <c r="I955" s="115">
        <v>57.613</v>
      </c>
      <c r="J955" s="115">
        <v>69.299000000000007</v>
      </c>
      <c r="K955" s="115">
        <v>63.652000000000001</v>
      </c>
      <c r="L955" s="115">
        <v>58.325000000000003</v>
      </c>
      <c r="M955" s="115">
        <v>53.789000000000001</v>
      </c>
      <c r="N955" s="115">
        <v>49.893999999999998</v>
      </c>
      <c r="O955" s="115">
        <v>55.061999999999998</v>
      </c>
      <c r="P955" s="115">
        <v>87.183999999999997</v>
      </c>
      <c r="Q955" s="115">
        <v>81.915999999999997</v>
      </c>
      <c r="R955" s="115">
        <v>77.171999999999997</v>
      </c>
      <c r="S955" s="115">
        <v>114.223</v>
      </c>
      <c r="T955" s="115">
        <v>106.717</v>
      </c>
      <c r="U955" s="115">
        <v>101.38800000000001</v>
      </c>
      <c r="V955" s="115">
        <v>96.381</v>
      </c>
      <c r="W955" s="115">
        <v>92.948999999999998</v>
      </c>
      <c r="X955" s="115">
        <v>89.75</v>
      </c>
      <c r="Y955" s="115">
        <v>86.52</v>
      </c>
      <c r="Z955" s="115">
        <v>83.501999999999995</v>
      </c>
      <c r="AA955" s="115">
        <v>80.62</v>
      </c>
      <c r="AB955" s="115">
        <v>77.855000000000004</v>
      </c>
      <c r="AC955" s="115">
        <v>77.039000000000001</v>
      </c>
      <c r="AD955" s="43"/>
      <c r="AE955" s="43"/>
      <c r="AF955" s="43"/>
      <c r="AG955" s="43"/>
      <c r="AH955" s="43"/>
      <c r="AI955" s="43"/>
    </row>
    <row r="956" spans="1:35" x14ac:dyDescent="0.25">
      <c r="A956" s="115" t="s">
        <v>1118</v>
      </c>
      <c r="B956" s="115"/>
      <c r="C956" s="115">
        <v>125.9</v>
      </c>
      <c r="D956" s="115">
        <v>66.677000000000007</v>
      </c>
      <c r="E956" s="115">
        <v>76.138999999999996</v>
      </c>
      <c r="F956" s="115">
        <v>77.531000000000006</v>
      </c>
      <c r="G956" s="115">
        <v>72.852000000000004</v>
      </c>
      <c r="H956" s="115">
        <v>68.91</v>
      </c>
      <c r="I956" s="115">
        <v>77.441999999999993</v>
      </c>
      <c r="J956" s="115">
        <v>93.555999999999997</v>
      </c>
      <c r="K956" s="115">
        <v>87.834999999999994</v>
      </c>
      <c r="L956" s="115">
        <v>80.430999999999997</v>
      </c>
      <c r="M956" s="115">
        <v>74.114999999999995</v>
      </c>
      <c r="N956" s="115">
        <v>68.680000000000007</v>
      </c>
      <c r="O956" s="115">
        <v>74.125</v>
      </c>
      <c r="P956" s="115">
        <v>124.294</v>
      </c>
      <c r="Q956" s="115">
        <v>115.505</v>
      </c>
      <c r="R956" s="115">
        <v>107.736</v>
      </c>
      <c r="S956" s="115">
        <v>165.12</v>
      </c>
      <c r="T956" s="115">
        <v>133.74299999999999</v>
      </c>
      <c r="U956" s="115">
        <v>125.508</v>
      </c>
      <c r="V956" s="115">
        <v>117.99299999999999</v>
      </c>
      <c r="W956" s="115">
        <v>112.96</v>
      </c>
      <c r="X956" s="115">
        <v>108.429</v>
      </c>
      <c r="Y956" s="115">
        <v>103.877</v>
      </c>
      <c r="Z956" s="115">
        <v>99.718000000000004</v>
      </c>
      <c r="AA956" s="115">
        <v>95.843999999999994</v>
      </c>
      <c r="AB956" s="115">
        <v>92.191999999999993</v>
      </c>
      <c r="AC956" s="115">
        <v>88.697999999999993</v>
      </c>
      <c r="AD956" s="43"/>
      <c r="AE956" s="43"/>
      <c r="AF956" s="43"/>
      <c r="AG956" s="43"/>
      <c r="AH956" s="43"/>
      <c r="AI956" s="43"/>
    </row>
    <row r="957" spans="1:35" x14ac:dyDescent="0.25">
      <c r="A957" s="115" t="s">
        <v>1119</v>
      </c>
      <c r="B957" s="115"/>
      <c r="C957" s="115">
        <v>131.65799999999999</v>
      </c>
      <c r="D957" s="115">
        <v>85.039000000000001</v>
      </c>
      <c r="E957" s="115">
        <v>100.76</v>
      </c>
      <c r="F957" s="115">
        <v>99.778000000000006</v>
      </c>
      <c r="G957" s="115">
        <v>92.905000000000001</v>
      </c>
      <c r="H957" s="115">
        <v>87.218999999999994</v>
      </c>
      <c r="I957" s="115">
        <v>95.784999999999997</v>
      </c>
      <c r="J957" s="115">
        <v>133.86600000000001</v>
      </c>
      <c r="K957" s="115">
        <v>123.09699999999999</v>
      </c>
      <c r="L957" s="115">
        <v>110.63200000000001</v>
      </c>
      <c r="M957" s="115">
        <v>100.259</v>
      </c>
      <c r="N957" s="115">
        <v>91.59</v>
      </c>
      <c r="O957" s="115">
        <v>96.683000000000007</v>
      </c>
      <c r="P957" s="115">
        <v>191.232</v>
      </c>
      <c r="Q957" s="115">
        <v>176.27</v>
      </c>
      <c r="R957" s="115">
        <v>163.06399999999999</v>
      </c>
      <c r="S957" s="115">
        <v>224.392</v>
      </c>
      <c r="T957" s="115">
        <v>183.661</v>
      </c>
      <c r="U957" s="115">
        <v>170.958</v>
      </c>
      <c r="V957" s="115">
        <v>159.41300000000001</v>
      </c>
      <c r="W957" s="115">
        <v>151.797</v>
      </c>
      <c r="X957" s="115">
        <v>144.749</v>
      </c>
      <c r="Y957" s="115">
        <v>137.822</v>
      </c>
      <c r="Z957" s="115">
        <v>131.51</v>
      </c>
      <c r="AA957" s="115">
        <v>125.66</v>
      </c>
      <c r="AB957" s="115">
        <v>120.21</v>
      </c>
      <c r="AC957" s="115">
        <v>115.048</v>
      </c>
      <c r="AD957" s="43"/>
      <c r="AE957" s="43"/>
      <c r="AF957" s="43"/>
      <c r="AG957" s="43"/>
      <c r="AH957" s="43"/>
      <c r="AI957" s="43"/>
    </row>
    <row r="958" spans="1:35" x14ac:dyDescent="0.25">
      <c r="A958" s="115" t="s">
        <v>1120</v>
      </c>
      <c r="B958" s="115"/>
      <c r="C958" s="115">
        <v>227.601</v>
      </c>
      <c r="D958" s="115">
        <v>233.07</v>
      </c>
      <c r="E958" s="115">
        <v>365.11900000000003</v>
      </c>
      <c r="F958" s="115">
        <v>408.67599999999999</v>
      </c>
      <c r="G958" s="115">
        <v>438.43</v>
      </c>
      <c r="H958" s="115">
        <v>431.58499999999998</v>
      </c>
      <c r="I958" s="115">
        <v>440.75400000000002</v>
      </c>
      <c r="J958" s="115">
        <v>586.87800000000004</v>
      </c>
      <c r="K958" s="115">
        <v>560.16</v>
      </c>
      <c r="L958" s="115">
        <v>561.67200000000003</v>
      </c>
      <c r="M958" s="115">
        <v>600.68299999999999</v>
      </c>
      <c r="N958" s="115">
        <v>586.12599999999998</v>
      </c>
      <c r="O958" s="115">
        <v>562.80999999999995</v>
      </c>
      <c r="P958" s="115">
        <v>777.81200000000001</v>
      </c>
      <c r="Q958" s="115">
        <v>748.14700000000005</v>
      </c>
      <c r="R958" s="115">
        <v>754.66499999999996</v>
      </c>
      <c r="S958" s="115">
        <v>821.27499999999998</v>
      </c>
      <c r="T958" s="115">
        <v>734.41800000000001</v>
      </c>
      <c r="U958" s="115">
        <v>711.72500000000002</v>
      </c>
      <c r="V958" s="115">
        <v>609.05700000000002</v>
      </c>
      <c r="W958" s="115">
        <v>630.10299999999995</v>
      </c>
      <c r="X958" s="115">
        <v>596.61099999999999</v>
      </c>
      <c r="Y958" s="115">
        <v>566.529</v>
      </c>
      <c r="Z958" s="115">
        <v>537.93299999999999</v>
      </c>
      <c r="AA958" s="115">
        <v>511.96100000000001</v>
      </c>
      <c r="AB958" s="115">
        <v>487.60700000000003</v>
      </c>
      <c r="AC958" s="115">
        <v>464.56900000000002</v>
      </c>
      <c r="AD958" s="43"/>
      <c r="AE958" s="43"/>
      <c r="AF958" s="43"/>
      <c r="AG958" s="43"/>
      <c r="AH958" s="43"/>
      <c r="AI958" s="43"/>
    </row>
    <row r="959" spans="1:35" x14ac:dyDescent="0.25">
      <c r="A959" s="115" t="s">
        <v>1114</v>
      </c>
      <c r="B959" s="115"/>
      <c r="C959" s="115">
        <v>157.84200000000001</v>
      </c>
      <c r="D959" s="115">
        <v>173.30600000000001</v>
      </c>
      <c r="E959" s="115">
        <v>280.38</v>
      </c>
      <c r="F959" s="115">
        <v>312.40300000000002</v>
      </c>
      <c r="G959" s="115">
        <v>343.65300000000002</v>
      </c>
      <c r="H959" s="115">
        <v>344.43400000000003</v>
      </c>
      <c r="I959" s="115">
        <v>344.48599999999999</v>
      </c>
      <c r="J959" s="115">
        <v>545.66700000000003</v>
      </c>
      <c r="K959" s="115">
        <v>496.81900000000002</v>
      </c>
      <c r="L959" s="115">
        <v>478.94200000000001</v>
      </c>
      <c r="M959" s="115">
        <v>495.16800000000001</v>
      </c>
      <c r="N959" s="115">
        <v>485.15600000000001</v>
      </c>
      <c r="O959" s="115">
        <v>474.69799999999998</v>
      </c>
      <c r="P959" s="115">
        <v>754.30899999999997</v>
      </c>
      <c r="Q959" s="115">
        <v>719.49599999999998</v>
      </c>
      <c r="R959" s="115">
        <v>719.62599999999998</v>
      </c>
      <c r="S959" s="115">
        <v>771.00699999999995</v>
      </c>
      <c r="T959" s="115">
        <v>685.86500000000001</v>
      </c>
      <c r="U959" s="115">
        <v>662.077</v>
      </c>
      <c r="V959" s="115">
        <v>595.36500000000001</v>
      </c>
      <c r="W959" s="115">
        <v>608.30999999999995</v>
      </c>
      <c r="X959" s="115">
        <v>572.58699999999999</v>
      </c>
      <c r="Y959" s="115">
        <v>540.65099999999995</v>
      </c>
      <c r="Z959" s="115">
        <v>510.57</v>
      </c>
      <c r="AA959" s="115">
        <v>483.21600000000001</v>
      </c>
      <c r="AB959" s="115">
        <v>457.79</v>
      </c>
      <c r="AC959" s="115">
        <v>433.91</v>
      </c>
      <c r="AD959" s="43"/>
      <c r="AE959" s="43"/>
      <c r="AF959" s="43"/>
      <c r="AG959" s="43"/>
      <c r="AH959" s="43"/>
      <c r="AI959" s="43"/>
    </row>
    <row r="960" spans="1:35" x14ac:dyDescent="0.25">
      <c r="A960" s="115" t="s">
        <v>1115</v>
      </c>
      <c r="B960" s="115"/>
      <c r="C960" s="115">
        <v>443.01600000000002</v>
      </c>
      <c r="D960" s="115">
        <v>261.90899999999999</v>
      </c>
      <c r="E960" s="115">
        <v>343.84199999999998</v>
      </c>
      <c r="F960" s="115">
        <v>360.74900000000002</v>
      </c>
      <c r="G960" s="115">
        <v>341.83800000000002</v>
      </c>
      <c r="H960" s="115">
        <v>319.61900000000003</v>
      </c>
      <c r="I960" s="115">
        <v>365.95100000000002</v>
      </c>
      <c r="J960" s="115">
        <v>388.863</v>
      </c>
      <c r="K960" s="115">
        <v>383.88099999999997</v>
      </c>
      <c r="L960" s="115">
        <v>373.76900000000001</v>
      </c>
      <c r="M960" s="115">
        <v>371.71899999999999</v>
      </c>
      <c r="N960" s="115">
        <v>346.11900000000003</v>
      </c>
      <c r="O960" s="115">
        <v>353.363</v>
      </c>
      <c r="P960" s="115">
        <v>495.63099999999997</v>
      </c>
      <c r="Q960" s="115">
        <v>467.68900000000002</v>
      </c>
      <c r="R960" s="115">
        <v>444.66300000000001</v>
      </c>
      <c r="S960" s="115">
        <v>640.40200000000004</v>
      </c>
      <c r="T960" s="115">
        <v>554.61699999999996</v>
      </c>
      <c r="U960" s="115">
        <v>525.72299999999996</v>
      </c>
      <c r="V960" s="115">
        <v>462.13400000000001</v>
      </c>
      <c r="W960" s="115">
        <v>451.61799999999999</v>
      </c>
      <c r="X960" s="115">
        <v>436.62900000000002</v>
      </c>
      <c r="Y960" s="115">
        <v>421.36200000000002</v>
      </c>
      <c r="Z960" s="115">
        <v>407.05599999999998</v>
      </c>
      <c r="AA960" s="115">
        <v>393.62599999999998</v>
      </c>
      <c r="AB960" s="115">
        <v>380.71100000000001</v>
      </c>
      <c r="AC960" s="115">
        <v>369.95299999999997</v>
      </c>
      <c r="AD960" s="43"/>
      <c r="AE960" s="43"/>
      <c r="AF960" s="43"/>
      <c r="AG960" s="43"/>
      <c r="AH960" s="43"/>
      <c r="AI960" s="43"/>
    </row>
    <row r="961" spans="1:35" x14ac:dyDescent="0.25">
      <c r="A961" s="115" t="s">
        <v>1146</v>
      </c>
      <c r="B961" s="115"/>
      <c r="C961" s="115">
        <v>157.84200000000001</v>
      </c>
      <c r="D961" s="115">
        <v>173.30600000000001</v>
      </c>
      <c r="E961" s="115">
        <v>280.38</v>
      </c>
      <c r="F961" s="115">
        <v>312.40300000000002</v>
      </c>
      <c r="G961" s="115">
        <v>343.65300000000002</v>
      </c>
      <c r="H961" s="115">
        <v>344.43400000000003</v>
      </c>
      <c r="I961" s="115">
        <v>344.48599999999999</v>
      </c>
      <c r="J961" s="115">
        <v>545.66700000000003</v>
      </c>
      <c r="K961" s="115">
        <v>496.81900000000002</v>
      </c>
      <c r="L961" s="115">
        <v>478.94200000000001</v>
      </c>
      <c r="M961" s="115">
        <v>495.16800000000001</v>
      </c>
      <c r="N961" s="115">
        <v>485.15600000000001</v>
      </c>
      <c r="O961" s="115">
        <v>474.69799999999998</v>
      </c>
      <c r="P961" s="115">
        <v>754.30899999999997</v>
      </c>
      <c r="Q961" s="115">
        <v>719.49599999999998</v>
      </c>
      <c r="R961" s="115">
        <v>719.62599999999998</v>
      </c>
      <c r="S961" s="115">
        <v>771.00699999999995</v>
      </c>
      <c r="T961" s="115">
        <v>685.86500000000001</v>
      </c>
      <c r="U961" s="115">
        <v>662.077</v>
      </c>
      <c r="V961" s="115">
        <v>595.36500000000001</v>
      </c>
      <c r="W961" s="115">
        <v>608.30999999999995</v>
      </c>
      <c r="X961" s="115">
        <v>572.58699999999999</v>
      </c>
      <c r="Y961" s="115">
        <v>540.65099999999995</v>
      </c>
      <c r="Z961" s="115">
        <v>510.57</v>
      </c>
      <c r="AA961" s="115">
        <v>483.21600000000001</v>
      </c>
      <c r="AB961" s="115">
        <v>457.79</v>
      </c>
      <c r="AC961" s="115">
        <v>433.91</v>
      </c>
      <c r="AD961" s="43"/>
      <c r="AE961" s="43"/>
      <c r="AF961" s="43"/>
      <c r="AG961" s="43"/>
      <c r="AH961" s="43"/>
      <c r="AI961" s="43"/>
    </row>
    <row r="962" spans="1:35" x14ac:dyDescent="0.25">
      <c r="A962" s="115" t="s">
        <v>1147</v>
      </c>
      <c r="B962" s="115"/>
      <c r="C962" s="115">
        <v>443.01600000000002</v>
      </c>
      <c r="D962" s="115">
        <v>261.90899999999999</v>
      </c>
      <c r="E962" s="115">
        <v>343.84199999999998</v>
      </c>
      <c r="F962" s="115">
        <v>360.74900000000002</v>
      </c>
      <c r="G962" s="115">
        <v>341.83800000000002</v>
      </c>
      <c r="H962" s="115">
        <v>319.61900000000003</v>
      </c>
      <c r="I962" s="115">
        <v>365.95100000000002</v>
      </c>
      <c r="J962" s="115">
        <v>388.863</v>
      </c>
      <c r="K962" s="115">
        <v>383.88099999999997</v>
      </c>
      <c r="L962" s="115">
        <v>373.76900000000001</v>
      </c>
      <c r="M962" s="115">
        <v>371.71899999999999</v>
      </c>
      <c r="N962" s="115">
        <v>346.11900000000003</v>
      </c>
      <c r="O962" s="115">
        <v>353.363</v>
      </c>
      <c r="P962" s="115">
        <v>495.63099999999997</v>
      </c>
      <c r="Q962" s="115">
        <v>467.68900000000002</v>
      </c>
      <c r="R962" s="115">
        <v>444.66300000000001</v>
      </c>
      <c r="S962" s="115">
        <v>640.40200000000004</v>
      </c>
      <c r="T962" s="115">
        <v>554.61699999999996</v>
      </c>
      <c r="U962" s="115">
        <v>525.72299999999996</v>
      </c>
      <c r="V962" s="115">
        <v>462.13400000000001</v>
      </c>
      <c r="W962" s="115">
        <v>451.61799999999999</v>
      </c>
      <c r="X962" s="115">
        <v>436.62900000000002</v>
      </c>
      <c r="Y962" s="115">
        <v>421.36200000000002</v>
      </c>
      <c r="Z962" s="115">
        <v>407.05599999999998</v>
      </c>
      <c r="AA962" s="115">
        <v>393.62599999999998</v>
      </c>
      <c r="AB962" s="115">
        <v>380.71100000000001</v>
      </c>
      <c r="AC962" s="115">
        <v>369.95299999999997</v>
      </c>
      <c r="AD962" s="43"/>
      <c r="AE962" s="43"/>
      <c r="AF962" s="43"/>
      <c r="AG962" s="43"/>
      <c r="AH962" s="43"/>
      <c r="AI962" s="43"/>
    </row>
    <row r="963" spans="1:35" x14ac:dyDescent="0.25">
      <c r="A963" s="115"/>
      <c r="B963" s="43">
        <v>2023</v>
      </c>
      <c r="C963" s="43">
        <v>2024</v>
      </c>
      <c r="D963" s="43">
        <v>2025</v>
      </c>
      <c r="E963" s="43">
        <v>2026</v>
      </c>
      <c r="F963" s="43">
        <v>2027</v>
      </c>
      <c r="G963" s="43">
        <v>2028</v>
      </c>
      <c r="H963" s="43">
        <v>2029</v>
      </c>
      <c r="I963" s="43">
        <v>2030</v>
      </c>
      <c r="J963" s="43">
        <v>2031</v>
      </c>
      <c r="K963" s="43">
        <v>2032</v>
      </c>
      <c r="L963" s="43">
        <v>2033</v>
      </c>
      <c r="M963" s="43">
        <v>2034</v>
      </c>
      <c r="N963" s="43">
        <v>2035</v>
      </c>
      <c r="O963" s="43">
        <v>2036</v>
      </c>
      <c r="P963" s="43">
        <v>2037</v>
      </c>
      <c r="Q963" s="43">
        <v>2038</v>
      </c>
      <c r="R963" s="43">
        <v>2039</v>
      </c>
      <c r="S963" s="43">
        <v>2040</v>
      </c>
      <c r="T963" s="43">
        <v>2041</v>
      </c>
      <c r="U963" s="43">
        <v>2042</v>
      </c>
      <c r="V963" s="43">
        <v>2043</v>
      </c>
      <c r="W963" s="43">
        <v>2044</v>
      </c>
      <c r="X963" s="43">
        <v>2045</v>
      </c>
      <c r="Y963" s="43">
        <v>2046</v>
      </c>
      <c r="Z963" s="43">
        <v>2047</v>
      </c>
      <c r="AA963" s="43">
        <v>2048</v>
      </c>
      <c r="AB963" s="43">
        <v>2049</v>
      </c>
      <c r="AC963" s="43">
        <v>2050</v>
      </c>
      <c r="AD963" s="43"/>
      <c r="AE963" s="43"/>
      <c r="AF963" s="43"/>
      <c r="AG963" s="43"/>
      <c r="AH963" s="43"/>
      <c r="AI963" s="43"/>
    </row>
    <row r="964" spans="1:35" x14ac:dyDescent="0.25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43"/>
      <c r="AE964" s="43"/>
      <c r="AF964" s="43"/>
      <c r="AG964" s="43"/>
      <c r="AH964" s="43"/>
      <c r="AI964" s="43"/>
    </row>
    <row r="965" spans="1:35" x14ac:dyDescent="0.2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43"/>
      <c r="AE965" s="43"/>
      <c r="AF965" s="43"/>
      <c r="AG965" s="43"/>
      <c r="AH965" s="43"/>
      <c r="AI965" s="43"/>
    </row>
    <row r="966" spans="1:35" x14ac:dyDescent="0.25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43"/>
      <c r="AE966" s="43"/>
      <c r="AF966" s="43"/>
      <c r="AG966" s="43"/>
      <c r="AH966" s="43"/>
      <c r="AI966" s="43"/>
    </row>
    <row r="967" spans="1:35" x14ac:dyDescent="0.25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43"/>
      <c r="AE967" s="43"/>
      <c r="AF967" s="43"/>
      <c r="AG967" s="43"/>
      <c r="AH967" s="43"/>
      <c r="AI967" s="43"/>
    </row>
    <row r="968" spans="1:35" x14ac:dyDescent="0.25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43"/>
      <c r="AE968" s="43"/>
      <c r="AF968" s="43"/>
      <c r="AG968" s="43"/>
      <c r="AH968" s="43"/>
      <c r="AI968" s="43"/>
    </row>
    <row r="969" spans="1:35" x14ac:dyDescent="0.25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43"/>
      <c r="AE969" s="43"/>
      <c r="AF969" s="43"/>
      <c r="AG969" s="43"/>
      <c r="AH969" s="43"/>
      <c r="AI969" s="43"/>
    </row>
    <row r="970" spans="1:35" x14ac:dyDescent="0.25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43"/>
      <c r="AE970" s="43"/>
      <c r="AF970" s="43"/>
      <c r="AG970" s="43"/>
      <c r="AH970" s="43"/>
      <c r="AI970" s="43"/>
    </row>
    <row r="971" spans="1:35" x14ac:dyDescent="0.25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43"/>
      <c r="AE971" s="43"/>
      <c r="AF971" s="43"/>
      <c r="AG971" s="43"/>
      <c r="AH971" s="43"/>
      <c r="AI971" s="43"/>
    </row>
    <row r="972" spans="1:35" x14ac:dyDescent="0.25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43"/>
      <c r="AE972" s="43"/>
      <c r="AF972" s="43"/>
      <c r="AG972" s="43"/>
      <c r="AH972" s="43"/>
      <c r="AI972" s="43"/>
    </row>
    <row r="973" spans="1:35" x14ac:dyDescent="0.25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43"/>
      <c r="AE973" s="43"/>
      <c r="AF973" s="43"/>
      <c r="AG973" s="43"/>
      <c r="AH973" s="43"/>
      <c r="AI973" s="43"/>
    </row>
    <row r="974" spans="1:35" x14ac:dyDescent="0.25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43"/>
      <c r="AE974" s="43"/>
      <c r="AF974" s="43"/>
      <c r="AG974" s="43"/>
      <c r="AH974" s="43"/>
      <c r="AI974" s="43"/>
    </row>
    <row r="975" spans="1:35" x14ac:dyDescent="0.2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43"/>
      <c r="AE975" s="43"/>
      <c r="AF975" s="43"/>
      <c r="AG975" s="43"/>
      <c r="AH975" s="43"/>
      <c r="AI975" s="43"/>
    </row>
    <row r="976" spans="1:35" x14ac:dyDescent="0.25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43"/>
      <c r="AE976" s="43"/>
      <c r="AF976" s="43"/>
      <c r="AG976" s="43"/>
      <c r="AH976" s="43"/>
      <c r="AI976" s="43"/>
    </row>
    <row r="977" spans="1:35" x14ac:dyDescent="0.25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43"/>
      <c r="AE977" s="43"/>
      <c r="AF977" s="43"/>
      <c r="AG977" s="43"/>
      <c r="AH977" s="43"/>
      <c r="AI977" s="43"/>
    </row>
    <row r="978" spans="1:35" x14ac:dyDescent="0.25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43"/>
      <c r="AE978" s="43"/>
      <c r="AF978" s="43"/>
      <c r="AG978" s="43"/>
      <c r="AH978" s="43"/>
      <c r="AI978" s="43"/>
    </row>
    <row r="979" spans="1:35" x14ac:dyDescent="0.25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43"/>
      <c r="AE979" s="43"/>
      <c r="AF979" s="43"/>
      <c r="AG979" s="43"/>
      <c r="AH979" s="43"/>
      <c r="AI979" s="43"/>
    </row>
    <row r="980" spans="1:35" x14ac:dyDescent="0.25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43"/>
      <c r="AE980" s="43"/>
      <c r="AF980" s="43"/>
      <c r="AG980" s="43"/>
      <c r="AH980" s="43"/>
      <c r="AI980" s="43"/>
    </row>
    <row r="981" spans="1:35" x14ac:dyDescent="0.25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43"/>
      <c r="AE981" s="43"/>
      <c r="AF981" s="43"/>
      <c r="AG981" s="43"/>
      <c r="AH981" s="43"/>
      <c r="AI981" s="43"/>
    </row>
    <row r="982" spans="1:35" x14ac:dyDescent="0.25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43"/>
      <c r="AE982" s="43"/>
      <c r="AF982" s="43"/>
      <c r="AG982" s="43"/>
      <c r="AH982" s="43"/>
      <c r="AI982" s="43"/>
    </row>
    <row r="983" spans="1:35" x14ac:dyDescent="0.25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43"/>
      <c r="AE983" s="43"/>
      <c r="AF983" s="43"/>
      <c r="AG983" s="43"/>
      <c r="AH983" s="43"/>
      <c r="AI983" s="43"/>
    </row>
    <row r="984" spans="1:35" x14ac:dyDescent="0.25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43"/>
      <c r="AE984" s="43"/>
      <c r="AF984" s="43"/>
      <c r="AG984" s="43"/>
      <c r="AH984" s="43"/>
      <c r="AI984" s="43"/>
    </row>
    <row r="985" spans="1:35" x14ac:dyDescent="0.2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43"/>
      <c r="AE985" s="43"/>
      <c r="AF985" s="43"/>
      <c r="AG985" s="43"/>
      <c r="AH985" s="43"/>
      <c r="AI985" s="43"/>
    </row>
    <row r="986" spans="1:35" x14ac:dyDescent="0.25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43"/>
      <c r="AE986" s="43"/>
      <c r="AF986" s="43"/>
      <c r="AG986" s="43"/>
      <c r="AH986" s="43"/>
      <c r="AI986" s="43"/>
    </row>
    <row r="987" spans="1:35" x14ac:dyDescent="0.25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43"/>
      <c r="AE987" s="43"/>
      <c r="AF987" s="43"/>
      <c r="AG987" s="43"/>
      <c r="AH987" s="43"/>
      <c r="AI987" s="43"/>
    </row>
    <row r="988" spans="1:35" x14ac:dyDescent="0.25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43"/>
      <c r="AE988" s="43"/>
      <c r="AF988" s="43"/>
      <c r="AG988" s="43"/>
      <c r="AH988" s="43"/>
      <c r="AI988" s="43"/>
    </row>
    <row r="989" spans="1:35" x14ac:dyDescent="0.25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43"/>
      <c r="AE989" s="43"/>
      <c r="AF989" s="43"/>
      <c r="AG989" s="43"/>
      <c r="AH989" s="43"/>
      <c r="AI989" s="43"/>
    </row>
    <row r="990" spans="1:35" x14ac:dyDescent="0.25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43"/>
      <c r="AE990" s="43"/>
      <c r="AF990" s="43"/>
      <c r="AG990" s="43"/>
      <c r="AH990" s="43"/>
      <c r="AI990" s="43"/>
    </row>
    <row r="991" spans="1:35" x14ac:dyDescent="0.25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43"/>
      <c r="AE991" s="43"/>
      <c r="AF991" s="43"/>
      <c r="AG991" s="43"/>
      <c r="AH991" s="43"/>
      <c r="AI991" s="43"/>
    </row>
    <row r="992" spans="1:35" x14ac:dyDescent="0.25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43"/>
      <c r="AE992" s="43"/>
      <c r="AF992" s="43"/>
      <c r="AG992" s="43"/>
      <c r="AH992" s="43"/>
      <c r="AI992" s="43"/>
    </row>
    <row r="993" spans="1:35" x14ac:dyDescent="0.25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43"/>
      <c r="AE993" s="43"/>
      <c r="AF993" s="43"/>
      <c r="AG993" s="43"/>
      <c r="AH993" s="43"/>
      <c r="AI993" s="43"/>
    </row>
    <row r="994" spans="1:35" x14ac:dyDescent="0.25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43"/>
      <c r="AE994" s="43"/>
      <c r="AF994" s="43"/>
      <c r="AG994" s="43"/>
      <c r="AH994" s="43"/>
      <c r="AI994" s="43"/>
    </row>
    <row r="995" spans="1:35" x14ac:dyDescent="0.2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43"/>
      <c r="AE995" s="43"/>
      <c r="AF995" s="43"/>
      <c r="AG995" s="43"/>
      <c r="AH995" s="43"/>
      <c r="AI995" s="43"/>
    </row>
    <row r="996" spans="1:35" x14ac:dyDescent="0.25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43"/>
      <c r="AE996" s="43"/>
      <c r="AF996" s="43"/>
      <c r="AG996" s="43"/>
      <c r="AH996" s="43"/>
      <c r="AI996" s="43"/>
    </row>
    <row r="997" spans="1:35" x14ac:dyDescent="0.25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43"/>
      <c r="AE997" s="43"/>
      <c r="AF997" s="43"/>
      <c r="AG997" s="43"/>
      <c r="AH997" s="43"/>
      <c r="AI997" s="43"/>
    </row>
    <row r="998" spans="1:35" x14ac:dyDescent="0.25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43"/>
      <c r="AE998" s="43"/>
      <c r="AF998" s="43"/>
      <c r="AG998" s="43"/>
      <c r="AH998" s="43"/>
      <c r="AI998" s="43"/>
    </row>
    <row r="999" spans="1:35" x14ac:dyDescent="0.25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43"/>
      <c r="AE999" s="43"/>
      <c r="AF999" s="43"/>
      <c r="AG999" s="43"/>
      <c r="AH999" s="43"/>
      <c r="AI999" s="43"/>
    </row>
    <row r="1000" spans="1:35" x14ac:dyDescent="0.25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43"/>
      <c r="AE1000" s="43"/>
      <c r="AF1000" s="43"/>
      <c r="AG1000" s="43"/>
      <c r="AH1000" s="43"/>
      <c r="AI1000" s="43"/>
    </row>
    <row r="1001" spans="1:35" x14ac:dyDescent="0.25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43"/>
      <c r="AE1001" s="43"/>
      <c r="AF1001" s="43"/>
      <c r="AG1001" s="43"/>
      <c r="AH1001" s="43"/>
      <c r="AI1001" s="43"/>
    </row>
    <row r="1002" spans="1:35" x14ac:dyDescent="0.25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43"/>
      <c r="AE1002" s="43"/>
      <c r="AF1002" s="43"/>
      <c r="AG1002" s="43"/>
      <c r="AH1002" s="43"/>
      <c r="AI1002" s="43"/>
    </row>
    <row r="1003" spans="1:35" x14ac:dyDescent="0.25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43"/>
      <c r="AE1003" s="43"/>
      <c r="AF1003" s="43"/>
      <c r="AG1003" s="43"/>
      <c r="AH1003" s="43"/>
      <c r="AI1003" s="43"/>
    </row>
    <row r="1004" spans="1:35" x14ac:dyDescent="0.25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43"/>
      <c r="AE1004" s="43"/>
      <c r="AF1004" s="43"/>
      <c r="AG1004" s="43"/>
      <c r="AH1004" s="43"/>
      <c r="AI1004" s="43"/>
    </row>
    <row r="1005" spans="1:35" x14ac:dyDescent="0.25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43"/>
      <c r="AE1005" s="43"/>
      <c r="AF1005" s="43"/>
      <c r="AG1005" s="43"/>
      <c r="AH1005" s="43"/>
      <c r="AI1005" s="43"/>
    </row>
    <row r="1006" spans="1:35" x14ac:dyDescent="0.25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43"/>
      <c r="AE1006" s="43"/>
      <c r="AF1006" s="43"/>
      <c r="AG1006" s="43"/>
      <c r="AH1006" s="43"/>
      <c r="AI1006" s="43"/>
    </row>
    <row r="1007" spans="1:35" s="36" customFormat="1" x14ac:dyDescent="0.25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43"/>
      <c r="AE1007" s="43"/>
      <c r="AF1007" s="43"/>
      <c r="AG1007" s="43"/>
      <c r="AH1007" s="43"/>
      <c r="AI1007" s="43"/>
    </row>
    <row r="1008" spans="1:35" x14ac:dyDescent="0.25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43"/>
      <c r="AE1008" s="43"/>
      <c r="AF1008" s="43"/>
      <c r="AG1008" s="43"/>
      <c r="AH1008" s="43"/>
      <c r="AI1008" s="43"/>
    </row>
    <row r="1009" spans="1:35" x14ac:dyDescent="0.25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43"/>
      <c r="AE1009" s="43"/>
      <c r="AF1009" s="43"/>
      <c r="AG1009" s="43"/>
      <c r="AH1009" s="43"/>
      <c r="AI1009" s="43"/>
    </row>
    <row r="1010" spans="1:35" s="36" customFormat="1" x14ac:dyDescent="0.25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43"/>
      <c r="AE1010" s="43"/>
      <c r="AF1010" s="43"/>
      <c r="AG1010" s="43"/>
      <c r="AH1010" s="43"/>
      <c r="AI1010" s="43"/>
    </row>
    <row r="1011" spans="1:35" x14ac:dyDescent="0.25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43"/>
      <c r="AE1011" s="43"/>
      <c r="AF1011" s="43"/>
      <c r="AG1011" s="43"/>
      <c r="AH1011" s="43"/>
      <c r="AI1011" s="43"/>
    </row>
    <row r="1012" spans="1:35" x14ac:dyDescent="0.25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43"/>
      <c r="AE1012" s="43"/>
      <c r="AF1012" s="43"/>
      <c r="AG1012" s="43"/>
      <c r="AH1012" s="43"/>
      <c r="AI1012" s="43"/>
    </row>
    <row r="1013" spans="1:35" x14ac:dyDescent="0.25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43"/>
      <c r="AE1013" s="43"/>
      <c r="AF1013" s="43"/>
      <c r="AG1013" s="43"/>
      <c r="AH1013" s="43"/>
      <c r="AI1013" s="43"/>
    </row>
    <row r="1014" spans="1:35" x14ac:dyDescent="0.25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43"/>
      <c r="AE1014" s="43"/>
      <c r="AF1014" s="43"/>
      <c r="AG1014" s="43"/>
      <c r="AH1014" s="43"/>
      <c r="AI1014" s="43"/>
    </row>
    <row r="1015" spans="1:35" x14ac:dyDescent="0.25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43"/>
      <c r="AE1015" s="43"/>
      <c r="AF1015" s="43"/>
      <c r="AG1015" s="43"/>
      <c r="AH1015" s="43"/>
      <c r="AI1015" s="43"/>
    </row>
    <row r="1016" spans="1:35" x14ac:dyDescent="0.25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43"/>
      <c r="AE1016" s="43"/>
      <c r="AF1016" s="43"/>
      <c r="AG1016" s="43"/>
      <c r="AH1016" s="43"/>
      <c r="AI1016" s="43"/>
    </row>
    <row r="1017" spans="1:35" x14ac:dyDescent="0.25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43"/>
      <c r="AE1017" s="43"/>
      <c r="AF1017" s="43"/>
      <c r="AG1017" s="43"/>
      <c r="AH1017" s="43"/>
      <c r="AI1017" s="43"/>
    </row>
    <row r="1018" spans="1:35" x14ac:dyDescent="0.25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43"/>
      <c r="AE1018" s="43"/>
      <c r="AF1018" s="43"/>
      <c r="AG1018" s="43"/>
      <c r="AH1018" s="43"/>
      <c r="AI1018" s="43"/>
    </row>
    <row r="1019" spans="1:35" x14ac:dyDescent="0.25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43"/>
      <c r="AE1019" s="43"/>
      <c r="AF1019" s="43"/>
      <c r="AG1019" s="43"/>
      <c r="AH1019" s="43"/>
      <c r="AI1019" s="43"/>
    </row>
    <row r="1020" spans="1:35" x14ac:dyDescent="0.25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43"/>
      <c r="AE1020" s="43"/>
      <c r="AF1020" s="43"/>
      <c r="AG1020" s="43"/>
      <c r="AH1020" s="43"/>
      <c r="AI1020" s="43"/>
    </row>
    <row r="1021" spans="1:35" x14ac:dyDescent="0.25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43"/>
      <c r="AE1021" s="43"/>
      <c r="AF1021" s="43"/>
      <c r="AG1021" s="43"/>
      <c r="AH1021" s="43"/>
      <c r="AI1021" s="43"/>
    </row>
    <row r="1022" spans="1:35" x14ac:dyDescent="0.25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43"/>
      <c r="AE1022" s="43"/>
      <c r="AF1022" s="43"/>
      <c r="AG1022" s="43"/>
      <c r="AH1022" s="43"/>
      <c r="AI1022" s="43"/>
    </row>
    <row r="1023" spans="1:35" x14ac:dyDescent="0.25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43"/>
      <c r="AE1023" s="43"/>
      <c r="AF1023" s="43"/>
      <c r="AG1023" s="43"/>
      <c r="AH1023" s="43"/>
      <c r="AI1023" s="43"/>
    </row>
    <row r="1024" spans="1:35" x14ac:dyDescent="0.25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43"/>
      <c r="AE1024" s="43"/>
      <c r="AF1024" s="43"/>
      <c r="AG1024" s="43"/>
      <c r="AH1024" s="43"/>
      <c r="AI1024" s="43"/>
    </row>
    <row r="1025" spans="1:35" x14ac:dyDescent="0.25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43"/>
      <c r="AE1025" s="43"/>
      <c r="AF1025" s="43"/>
      <c r="AG1025" s="43"/>
      <c r="AH1025" s="43"/>
      <c r="AI1025" s="43"/>
    </row>
    <row r="1026" spans="1:35" x14ac:dyDescent="0.25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43"/>
      <c r="AE1026" s="43"/>
      <c r="AF1026" s="43"/>
      <c r="AG1026" s="43"/>
      <c r="AH1026" s="43"/>
      <c r="AI1026" s="43"/>
    </row>
    <row r="1027" spans="1:35" x14ac:dyDescent="0.25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43"/>
      <c r="AE1027" s="43"/>
      <c r="AF1027" s="43"/>
      <c r="AG1027" s="43"/>
      <c r="AH1027" s="43"/>
      <c r="AI1027" s="43"/>
    </row>
    <row r="1028" spans="1:35" x14ac:dyDescent="0.25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43"/>
      <c r="AE1028" s="43"/>
      <c r="AF1028" s="43"/>
      <c r="AG1028" s="43"/>
      <c r="AH1028" s="43"/>
      <c r="AI1028" s="43"/>
    </row>
    <row r="1029" spans="1:35" x14ac:dyDescent="0.25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43"/>
      <c r="AE1029" s="43"/>
      <c r="AF1029" s="43"/>
      <c r="AG1029" s="43"/>
      <c r="AH1029" s="43"/>
      <c r="AI1029" s="43"/>
    </row>
    <row r="1030" spans="1:35" x14ac:dyDescent="0.25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43"/>
      <c r="AE1030" s="43"/>
      <c r="AF1030" s="43"/>
      <c r="AG1030" s="43"/>
      <c r="AH1030" s="43"/>
      <c r="AI1030" s="43"/>
    </row>
    <row r="1031" spans="1:35" x14ac:dyDescent="0.25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43"/>
      <c r="AE1031" s="43"/>
      <c r="AF1031" s="43"/>
      <c r="AG1031" s="43"/>
      <c r="AH1031" s="43"/>
      <c r="AI1031" s="43"/>
    </row>
    <row r="1032" spans="1:35" x14ac:dyDescent="0.25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43"/>
      <c r="AE1032" s="43"/>
      <c r="AF1032" s="43"/>
      <c r="AG1032" s="43"/>
      <c r="AH1032" s="43"/>
      <c r="AI1032" s="43"/>
    </row>
    <row r="1033" spans="1:35" x14ac:dyDescent="0.25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43"/>
      <c r="AE1033" s="43"/>
      <c r="AF1033" s="43"/>
      <c r="AG1033" s="43"/>
      <c r="AH1033" s="43"/>
      <c r="AI1033" s="43"/>
    </row>
    <row r="1034" spans="1:35" x14ac:dyDescent="0.25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43"/>
      <c r="AE1034" s="43"/>
      <c r="AF1034" s="43"/>
      <c r="AG1034" s="43"/>
      <c r="AH1034" s="43"/>
      <c r="AI1034" s="43"/>
    </row>
    <row r="1035" spans="1:35" x14ac:dyDescent="0.25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43"/>
      <c r="AE1035" s="43"/>
      <c r="AF1035" s="43"/>
      <c r="AG1035" s="43"/>
      <c r="AH1035" s="43"/>
      <c r="AI1035" s="43"/>
    </row>
    <row r="1036" spans="1:35" x14ac:dyDescent="0.25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43"/>
      <c r="AE1036" s="43"/>
      <c r="AF1036" s="43"/>
      <c r="AG1036" s="43"/>
      <c r="AH1036" s="43"/>
      <c r="AI1036" s="43"/>
    </row>
    <row r="1037" spans="1:35" x14ac:dyDescent="0.25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43"/>
      <c r="AE1037" s="43"/>
      <c r="AF1037" s="43"/>
      <c r="AG1037" s="43"/>
      <c r="AH1037" s="43"/>
      <c r="AI1037" s="43"/>
    </row>
    <row r="1038" spans="1:35" x14ac:dyDescent="0.25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43"/>
      <c r="AE1038" s="43"/>
      <c r="AF1038" s="43"/>
      <c r="AG1038" s="43"/>
      <c r="AH1038" s="43"/>
      <c r="AI1038" s="43"/>
    </row>
    <row r="1039" spans="1:35" x14ac:dyDescent="0.25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43"/>
      <c r="AE1039" s="43"/>
      <c r="AF1039" s="43"/>
      <c r="AG1039" s="43"/>
      <c r="AH1039" s="43"/>
      <c r="AI1039" s="43"/>
    </row>
    <row r="1040" spans="1:35" x14ac:dyDescent="0.25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43"/>
      <c r="AE1040" s="43"/>
      <c r="AF1040" s="43"/>
      <c r="AG1040" s="43"/>
      <c r="AH1040" s="43"/>
      <c r="AI1040" s="43"/>
    </row>
    <row r="1041" spans="2:35" x14ac:dyDescent="0.25"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3"/>
      <c r="AG1041" s="43"/>
      <c r="AH1041" s="43"/>
      <c r="AI1041" s="43"/>
    </row>
    <row r="1042" spans="2:35" x14ac:dyDescent="0.25"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  <c r="AH1042" s="43"/>
      <c r="AI1042" s="43"/>
    </row>
    <row r="1043" spans="2:35" x14ac:dyDescent="0.25"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/>
      <c r="AH1043" s="43"/>
      <c r="AI1043" s="43"/>
    </row>
    <row r="1044" spans="2:35" x14ac:dyDescent="0.25"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  <c r="AA1044" s="43"/>
      <c r="AB1044" s="43"/>
      <c r="AC1044" s="43"/>
      <c r="AD1044" s="43"/>
      <c r="AE1044" s="43"/>
      <c r="AF1044" s="43"/>
      <c r="AG1044" s="43"/>
      <c r="AH1044" s="43"/>
      <c r="AI1044" s="43"/>
    </row>
    <row r="1045" spans="2:35" x14ac:dyDescent="0.25"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/>
      <c r="AH1045" s="43"/>
      <c r="AI1045" s="43"/>
    </row>
    <row r="1046" spans="2:35" x14ac:dyDescent="0.25"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  <c r="AA1046" s="43"/>
      <c r="AB1046" s="43"/>
      <c r="AC1046" s="43"/>
      <c r="AD1046" s="43"/>
      <c r="AE1046" s="43"/>
      <c r="AF1046" s="43"/>
      <c r="AG1046" s="43"/>
      <c r="AH1046" s="43"/>
      <c r="AI1046" s="43"/>
    </row>
    <row r="1047" spans="2:35" x14ac:dyDescent="0.25"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/>
      <c r="AH1047" s="43"/>
      <c r="AI1047" s="43"/>
    </row>
    <row r="1048" spans="2:35" x14ac:dyDescent="0.25"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  <c r="AA1048" s="43"/>
      <c r="AB1048" s="43"/>
      <c r="AC1048" s="43"/>
      <c r="AD1048" s="43"/>
      <c r="AE1048" s="43"/>
      <c r="AF1048" s="43"/>
      <c r="AG1048" s="43"/>
      <c r="AH1048" s="43"/>
      <c r="AI1048" s="43"/>
    </row>
    <row r="1049" spans="2:35" x14ac:dyDescent="0.25"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/>
      <c r="AF1049" s="43"/>
      <c r="AG1049" s="43"/>
      <c r="AH1049" s="43"/>
      <c r="AI1049" s="43"/>
    </row>
    <row r="1050" spans="2:35" x14ac:dyDescent="0.25"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  <c r="AA1050" s="43"/>
      <c r="AB1050" s="43"/>
      <c r="AC1050" s="43"/>
      <c r="AD1050" s="43"/>
      <c r="AE1050" s="43"/>
      <c r="AF1050" s="43"/>
      <c r="AG1050" s="43"/>
      <c r="AH1050" s="43"/>
      <c r="AI1050" s="43"/>
    </row>
    <row r="1051" spans="2:35" x14ac:dyDescent="0.25"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/>
      <c r="AH1051" s="43"/>
      <c r="AI1051" s="43"/>
    </row>
    <row r="1052" spans="2:35" x14ac:dyDescent="0.25"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3"/>
      <c r="AE1052" s="43"/>
      <c r="AF1052" s="43"/>
      <c r="AG1052" s="43"/>
      <c r="AH1052" s="43"/>
      <c r="AI1052" s="43"/>
    </row>
    <row r="1053" spans="2:35" x14ac:dyDescent="0.25"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/>
      <c r="AH1053" s="43"/>
      <c r="AI1053" s="43"/>
    </row>
    <row r="1054" spans="2:35" x14ac:dyDescent="0.25"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  <c r="AC1054" s="43"/>
      <c r="AD1054" s="43"/>
      <c r="AE1054" s="43"/>
      <c r="AF1054" s="43"/>
      <c r="AG1054" s="43"/>
      <c r="AH1054" s="43"/>
      <c r="AI1054" s="43"/>
    </row>
    <row r="1055" spans="2:35" x14ac:dyDescent="0.25"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/>
      <c r="AF1055" s="43"/>
      <c r="AG1055" s="43"/>
      <c r="AH1055" s="43"/>
      <c r="AI1055" s="43"/>
    </row>
    <row r="1056" spans="2:35" x14ac:dyDescent="0.25"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  <c r="AA1056" s="43"/>
      <c r="AB1056" s="43"/>
      <c r="AC1056" s="43"/>
      <c r="AD1056" s="43"/>
      <c r="AE1056" s="43"/>
      <c r="AF1056" s="43"/>
      <c r="AG1056" s="43"/>
      <c r="AH1056" s="43"/>
      <c r="AI1056" s="43"/>
    </row>
    <row r="1057" spans="2:35" x14ac:dyDescent="0.25"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/>
      <c r="AH1057" s="43"/>
      <c r="AI1057" s="43"/>
    </row>
    <row r="1058" spans="2:35" x14ac:dyDescent="0.25"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  <c r="AC1058" s="43"/>
      <c r="AD1058" s="43"/>
      <c r="AE1058" s="43"/>
      <c r="AF1058" s="43"/>
      <c r="AG1058" s="43"/>
      <c r="AH1058" s="43"/>
      <c r="AI1058" s="43"/>
    </row>
    <row r="1059" spans="2:35" x14ac:dyDescent="0.25"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3"/>
      <c r="AE1059" s="43"/>
      <c r="AF1059" s="43"/>
      <c r="AG1059" s="43"/>
      <c r="AH1059" s="43"/>
      <c r="AI1059" s="43"/>
    </row>
    <row r="1060" spans="2:35" x14ac:dyDescent="0.25"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3"/>
      <c r="AE1060" s="43"/>
      <c r="AF1060" s="43"/>
      <c r="AG1060" s="43"/>
      <c r="AH1060" s="43"/>
      <c r="AI1060" s="43"/>
    </row>
    <row r="1061" spans="2:35" x14ac:dyDescent="0.25"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3"/>
      <c r="AE1061" s="43"/>
      <c r="AF1061" s="43"/>
      <c r="AG1061" s="43"/>
      <c r="AH1061" s="43"/>
      <c r="AI1061" s="43"/>
    </row>
    <row r="1062" spans="2:35" x14ac:dyDescent="0.25"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  <c r="AA1062" s="43"/>
      <c r="AB1062" s="43"/>
      <c r="AC1062" s="43"/>
      <c r="AD1062" s="43"/>
      <c r="AE1062" s="43"/>
      <c r="AF1062" s="43"/>
      <c r="AG1062" s="43"/>
      <c r="AH1062" s="43"/>
      <c r="AI1062" s="43"/>
    </row>
    <row r="1063" spans="2:35" x14ac:dyDescent="0.25"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/>
      <c r="AH1063" s="43"/>
      <c r="AI1063" s="43"/>
    </row>
    <row r="1064" spans="2:35" x14ac:dyDescent="0.25"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/>
      <c r="AD1064" s="43"/>
      <c r="AE1064" s="43"/>
      <c r="AF1064" s="43"/>
      <c r="AG1064" s="43"/>
      <c r="AH1064" s="43"/>
      <c r="AI1064" s="43"/>
    </row>
    <row r="1065" spans="2:35" x14ac:dyDescent="0.25"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/>
      <c r="AH1065" s="43"/>
      <c r="AI1065" s="43"/>
    </row>
    <row r="1066" spans="2:35" x14ac:dyDescent="0.25"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  <c r="AC1066" s="43"/>
      <c r="AD1066" s="43"/>
      <c r="AE1066" s="43"/>
      <c r="AF1066" s="43"/>
      <c r="AG1066" s="43"/>
      <c r="AH1066" s="43"/>
      <c r="AI1066" s="43"/>
    </row>
    <row r="1067" spans="2:35" x14ac:dyDescent="0.25"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/>
      <c r="AH1067" s="43"/>
      <c r="AI1067" s="43"/>
    </row>
    <row r="1068" spans="2:35" x14ac:dyDescent="0.25"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  <c r="AA1068" s="43"/>
      <c r="AB1068" s="43"/>
      <c r="AC1068" s="43"/>
      <c r="AD1068" s="43"/>
      <c r="AE1068" s="43"/>
      <c r="AF1068" s="43"/>
      <c r="AG1068" s="43"/>
      <c r="AH1068" s="43"/>
      <c r="AI1068" s="43"/>
    </row>
    <row r="1069" spans="2:35" x14ac:dyDescent="0.25"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  <c r="AH1069" s="43"/>
      <c r="AI1069" s="43"/>
    </row>
    <row r="1070" spans="2:35" x14ac:dyDescent="0.25"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3"/>
      <c r="AE1070" s="43"/>
      <c r="AF1070" s="43"/>
      <c r="AG1070" s="43"/>
      <c r="AH1070" s="43"/>
      <c r="AI1070" s="43"/>
    </row>
    <row r="1071" spans="2:35" x14ac:dyDescent="0.25"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/>
      <c r="AH1071" s="43"/>
      <c r="AI1071" s="43"/>
    </row>
    <row r="1072" spans="2:35" x14ac:dyDescent="0.25"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  <c r="AA1072" s="43"/>
      <c r="AB1072" s="43"/>
      <c r="AC1072" s="43"/>
      <c r="AD1072" s="43"/>
      <c r="AE1072" s="43"/>
      <c r="AF1072" s="43"/>
      <c r="AG1072" s="43"/>
      <c r="AH1072" s="43"/>
      <c r="AI1072" s="43"/>
    </row>
    <row r="1073" spans="2:35" x14ac:dyDescent="0.25"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3"/>
      <c r="AE1073" s="43"/>
      <c r="AF1073" s="43"/>
      <c r="AG1073" s="43"/>
      <c r="AH1073" s="43"/>
      <c r="AI1073" s="43"/>
    </row>
    <row r="1074" spans="2:35" x14ac:dyDescent="0.25"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  <c r="AC1074" s="43"/>
      <c r="AD1074" s="43"/>
      <c r="AE1074" s="43"/>
      <c r="AF1074" s="43"/>
      <c r="AG1074" s="43"/>
      <c r="AH1074" s="43"/>
      <c r="AI1074" s="43"/>
    </row>
    <row r="1075" spans="2:35" x14ac:dyDescent="0.25"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/>
      <c r="AF1075" s="43"/>
      <c r="AG1075" s="43"/>
      <c r="AH1075" s="43"/>
      <c r="AI1075" s="43"/>
    </row>
    <row r="1076" spans="2:35" x14ac:dyDescent="0.25"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/>
      <c r="AF1076" s="43"/>
      <c r="AG1076" s="43"/>
      <c r="AH1076" s="43"/>
      <c r="AI1076" s="43"/>
    </row>
    <row r="1077" spans="2:35" x14ac:dyDescent="0.25"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/>
      <c r="AH1077" s="43"/>
      <c r="AI1077" s="43"/>
    </row>
    <row r="1078" spans="2:35" x14ac:dyDescent="0.25"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  <c r="AC1078" s="43"/>
      <c r="AD1078" s="43"/>
      <c r="AE1078" s="43"/>
      <c r="AF1078" s="43"/>
      <c r="AG1078" s="43"/>
      <c r="AH1078" s="43"/>
      <c r="AI1078" s="43"/>
    </row>
    <row r="1079" spans="2:35" x14ac:dyDescent="0.25"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/>
      <c r="AF1079" s="43"/>
      <c r="AG1079" s="43"/>
      <c r="AH1079" s="43"/>
      <c r="AI1079" s="43"/>
    </row>
    <row r="1080" spans="2:35" x14ac:dyDescent="0.25"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3"/>
      <c r="AE1080" s="43"/>
      <c r="AF1080" s="43"/>
      <c r="AG1080" s="43"/>
      <c r="AH1080" s="43"/>
      <c r="AI1080" s="43"/>
    </row>
    <row r="1081" spans="2:35" x14ac:dyDescent="0.25"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3"/>
      <c r="AE1081" s="43"/>
      <c r="AF1081" s="43"/>
      <c r="AG1081" s="43"/>
      <c r="AH1081" s="43"/>
      <c r="AI1081" s="43"/>
    </row>
    <row r="1082" spans="2:35" x14ac:dyDescent="0.25"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3"/>
      <c r="AE1082" s="43"/>
      <c r="AF1082" s="43"/>
      <c r="AG1082" s="43"/>
      <c r="AH1082" s="43"/>
      <c r="AI1082" s="43"/>
    </row>
    <row r="1083" spans="2:35" x14ac:dyDescent="0.25"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/>
      <c r="AH1083" s="43"/>
      <c r="AI1083" s="43"/>
    </row>
    <row r="1084" spans="2:35" x14ac:dyDescent="0.25"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/>
      <c r="AB1084" s="43"/>
      <c r="AC1084" s="43"/>
      <c r="AD1084" s="43"/>
      <c r="AE1084" s="43"/>
      <c r="AF1084" s="43"/>
      <c r="AG1084" s="43"/>
      <c r="AH1084" s="43"/>
      <c r="AI1084" s="43"/>
    </row>
    <row r="1085" spans="2:35" x14ac:dyDescent="0.25"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  <c r="AF1085" s="43"/>
      <c r="AG1085" s="43"/>
      <c r="AH1085" s="43"/>
      <c r="AI1085" s="43"/>
    </row>
    <row r="1086" spans="2:35" x14ac:dyDescent="0.25"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3"/>
      <c r="AE1086" s="43"/>
      <c r="AF1086" s="43"/>
      <c r="AG1086" s="43"/>
      <c r="AH1086" s="43"/>
      <c r="AI1086" s="43"/>
    </row>
    <row r="1087" spans="2:35" x14ac:dyDescent="0.25"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/>
      <c r="AH1087" s="43"/>
      <c r="AI1087" s="43"/>
    </row>
    <row r="1088" spans="2:35" x14ac:dyDescent="0.25"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/>
      <c r="AC1088" s="43"/>
      <c r="AD1088" s="43"/>
      <c r="AE1088" s="43"/>
      <c r="AF1088" s="43"/>
      <c r="AG1088" s="43"/>
      <c r="AH1088" s="43"/>
      <c r="AI1088" s="43"/>
    </row>
    <row r="1089" spans="1:35" x14ac:dyDescent="0.25"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/>
      <c r="AH1089" s="43"/>
      <c r="AI1089" s="43"/>
    </row>
    <row r="1090" spans="1:35" x14ac:dyDescent="0.25"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  <c r="AA1090" s="43"/>
      <c r="AB1090" s="43"/>
      <c r="AC1090" s="43"/>
      <c r="AD1090" s="43"/>
      <c r="AE1090" s="43"/>
      <c r="AF1090" s="43"/>
      <c r="AG1090" s="43"/>
      <c r="AH1090" s="43"/>
      <c r="AI1090" s="43"/>
    </row>
    <row r="1091" spans="1:35" x14ac:dyDescent="0.25"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/>
      <c r="AH1091" s="43"/>
      <c r="AI1091" s="43"/>
    </row>
    <row r="1092" spans="1:35" x14ac:dyDescent="0.25"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  <c r="AC1092" s="43"/>
      <c r="AD1092" s="43"/>
      <c r="AE1092" s="43"/>
      <c r="AF1092" s="43"/>
      <c r="AG1092" s="43"/>
      <c r="AH1092" s="43"/>
      <c r="AI1092" s="43"/>
    </row>
    <row r="1093" spans="1:35" x14ac:dyDescent="0.25"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/>
      <c r="AF1093" s="43"/>
      <c r="AG1093" s="43"/>
      <c r="AH1093" s="43"/>
      <c r="AI1093" s="43"/>
    </row>
    <row r="1094" spans="1:35" x14ac:dyDescent="0.25">
      <c r="B1094" s="43"/>
      <c r="C1094" s="43"/>
      <c r="D1094" s="43"/>
      <c r="E1094" s="43"/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  <c r="AA1094" s="43"/>
      <c r="AB1094" s="43"/>
      <c r="AC1094" s="43"/>
      <c r="AD1094" s="43"/>
      <c r="AE1094" s="43"/>
      <c r="AF1094" s="43"/>
      <c r="AG1094" s="43"/>
      <c r="AH1094" s="43"/>
      <c r="AI1094" s="43"/>
    </row>
    <row r="1095" spans="1:35" x14ac:dyDescent="0.25"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3"/>
      <c r="AE1095" s="43"/>
      <c r="AF1095" s="43"/>
      <c r="AG1095" s="43"/>
      <c r="AH1095" s="43"/>
      <c r="AI1095" s="43"/>
    </row>
    <row r="1096" spans="1:35" x14ac:dyDescent="0.25">
      <c r="B1096" s="43"/>
      <c r="C1096" s="43"/>
      <c r="D1096" s="43"/>
      <c r="E1096" s="43"/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3"/>
      <c r="AE1096" s="43"/>
      <c r="AF1096" s="43"/>
      <c r="AG1096" s="43"/>
      <c r="AH1096" s="43"/>
      <c r="AI1096" s="43"/>
    </row>
    <row r="1097" spans="1:35" x14ac:dyDescent="0.25"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/>
      <c r="AF1097" s="43"/>
      <c r="AG1097" s="43"/>
      <c r="AH1097" s="43"/>
      <c r="AI1097" s="43"/>
    </row>
    <row r="1098" spans="1:35" x14ac:dyDescent="0.25">
      <c r="B1098" s="43"/>
      <c r="C1098" s="43"/>
      <c r="D1098" s="43"/>
      <c r="E1098" s="43"/>
      <c r="F1098" s="43"/>
      <c r="G1098" s="43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  <c r="AC1098" s="43"/>
      <c r="AD1098" s="43"/>
      <c r="AE1098" s="43"/>
      <c r="AF1098" s="43"/>
      <c r="AG1098" s="43"/>
      <c r="AH1098" s="43"/>
      <c r="AI1098" s="43"/>
    </row>
    <row r="1099" spans="1:35" x14ac:dyDescent="0.25"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/>
      <c r="AF1099" s="43"/>
      <c r="AG1099" s="43"/>
      <c r="AH1099" s="43"/>
      <c r="AI1099" s="43"/>
    </row>
    <row r="1100" spans="1:35" x14ac:dyDescent="0.25">
      <c r="A1100" s="43"/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  <c r="AH1100" s="43"/>
      <c r="AI1100" s="43"/>
    </row>
    <row r="1101" spans="1:35" x14ac:dyDescent="0.25">
      <c r="A1101" s="43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/>
      <c r="AF1101" s="43"/>
      <c r="AG1101" s="43"/>
      <c r="AH1101" s="43"/>
      <c r="AI1101" s="43"/>
    </row>
    <row r="1102" spans="1:35" x14ac:dyDescent="0.25">
      <c r="A1102" s="43"/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3"/>
      <c r="AE1102" s="43"/>
      <c r="AF1102" s="43"/>
      <c r="AG1102" s="43"/>
      <c r="AH1102" s="43"/>
      <c r="AI1102" s="43"/>
    </row>
    <row r="1103" spans="1:35" x14ac:dyDescent="0.25">
      <c r="A1103" s="43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/>
      <c r="AF1103" s="43"/>
      <c r="AG1103" s="43"/>
      <c r="AH1103" s="43"/>
      <c r="AI1103" s="43"/>
    </row>
    <row r="1104" spans="1:35" x14ac:dyDescent="0.25">
      <c r="A1104" s="43"/>
      <c r="B1104" s="43"/>
      <c r="C1104" s="43"/>
      <c r="D1104" s="43"/>
      <c r="E1104" s="43"/>
      <c r="F1104" s="43"/>
      <c r="G1104" s="43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  <c r="AA1104" s="43"/>
      <c r="AB1104" s="43"/>
      <c r="AC1104" s="43"/>
      <c r="AD1104" s="43"/>
      <c r="AE1104" s="43"/>
      <c r="AF1104" s="43"/>
      <c r="AG1104" s="43"/>
      <c r="AH1104" s="43"/>
      <c r="AI1104" s="43"/>
    </row>
    <row r="1105" spans="1:35" x14ac:dyDescent="0.25">
      <c r="A1105" s="43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/>
      <c r="AF1105" s="43"/>
      <c r="AG1105" s="43"/>
      <c r="AH1105" s="43"/>
      <c r="AI1105" s="43"/>
    </row>
    <row r="1106" spans="1:35" x14ac:dyDescent="0.25">
      <c r="A1106" s="43"/>
      <c r="B1106" s="43"/>
      <c r="C1106" s="43"/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  <c r="AA1106" s="43"/>
      <c r="AB1106" s="43"/>
      <c r="AC1106" s="43"/>
      <c r="AD1106" s="43"/>
      <c r="AE1106" s="43"/>
      <c r="AF1106" s="43"/>
      <c r="AG1106" s="43"/>
      <c r="AH1106" s="43"/>
      <c r="AI1106" s="43"/>
    </row>
    <row r="1107" spans="1:35" x14ac:dyDescent="0.25">
      <c r="A1107" s="43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3"/>
      <c r="AE1107" s="43"/>
      <c r="AF1107" s="43"/>
      <c r="AG1107" s="43"/>
      <c r="AH1107" s="43"/>
      <c r="AI1107" s="43"/>
    </row>
    <row r="1108" spans="1:35" x14ac:dyDescent="0.25">
      <c r="A1108" s="43"/>
      <c r="B1108" s="43"/>
      <c r="C1108" s="43"/>
      <c r="D1108" s="43"/>
      <c r="E1108" s="43"/>
      <c r="F1108" s="43"/>
      <c r="G1108" s="43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  <c r="AC1108" s="43"/>
      <c r="AD1108" s="43"/>
      <c r="AE1108" s="43"/>
      <c r="AF1108" s="43"/>
      <c r="AG1108" s="43"/>
      <c r="AH1108" s="43"/>
      <c r="AI1108" s="43"/>
    </row>
    <row r="1109" spans="1:35" x14ac:dyDescent="0.25">
      <c r="A1109" s="43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/>
      <c r="AF1109" s="43"/>
      <c r="AG1109" s="43"/>
      <c r="AH1109" s="43"/>
      <c r="AI1109" s="43"/>
    </row>
    <row r="1110" spans="1:35" x14ac:dyDescent="0.25">
      <c r="A1110" s="43"/>
      <c r="B1110" s="43"/>
      <c r="C1110" s="43"/>
      <c r="D1110" s="43"/>
      <c r="E1110" s="43"/>
      <c r="F1110" s="43"/>
      <c r="G1110" s="43"/>
      <c r="H1110" s="43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  <c r="AC1110" s="43"/>
      <c r="AD1110" s="43"/>
      <c r="AE1110" s="43"/>
      <c r="AF1110" s="43"/>
      <c r="AG1110" s="43"/>
      <c r="AH1110" s="43"/>
      <c r="AI1110" s="43"/>
    </row>
    <row r="1111" spans="1:35" x14ac:dyDescent="0.25">
      <c r="A1111" s="43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3"/>
      <c r="AE1111" s="43"/>
      <c r="AF1111" s="43"/>
      <c r="AG1111" s="43"/>
      <c r="AH1111" s="43"/>
      <c r="AI1111" s="43"/>
    </row>
    <row r="1112" spans="1:35" x14ac:dyDescent="0.25">
      <c r="A1112" s="43"/>
      <c r="B1112" s="43"/>
      <c r="C1112" s="43"/>
      <c r="D1112" s="43"/>
      <c r="E1112" s="43"/>
      <c r="F1112" s="43"/>
      <c r="G1112" s="43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  <c r="AA1112" s="43"/>
      <c r="AB1112" s="43"/>
      <c r="AC1112" s="43"/>
      <c r="AD1112" s="43"/>
      <c r="AE1112" s="43"/>
      <c r="AF1112" s="43"/>
      <c r="AG1112" s="43"/>
      <c r="AH1112" s="43"/>
      <c r="AI1112" s="43"/>
    </row>
    <row r="1113" spans="1:35" x14ac:dyDescent="0.25">
      <c r="A1113" s="43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/>
      <c r="AF1113" s="43"/>
      <c r="AG1113" s="43"/>
      <c r="AH1113" s="43"/>
      <c r="AI1113" s="43"/>
    </row>
    <row r="1114" spans="1:35" x14ac:dyDescent="0.25">
      <c r="A1114" s="43"/>
      <c r="B1114" s="43"/>
      <c r="C1114" s="43"/>
      <c r="D1114" s="43"/>
      <c r="E1114" s="43"/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3"/>
      <c r="AE1114" s="43"/>
      <c r="AF1114" s="43"/>
      <c r="AG1114" s="43"/>
      <c r="AH1114" s="43"/>
      <c r="AI1114" s="43"/>
    </row>
    <row r="1115" spans="1:35" x14ac:dyDescent="0.25">
      <c r="A1115" s="43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/>
      <c r="AF1115" s="43"/>
      <c r="AG1115" s="43"/>
      <c r="AH1115" s="43"/>
      <c r="AI1115" s="43"/>
    </row>
    <row r="1116" spans="1:35" x14ac:dyDescent="0.25">
      <c r="A1116" s="43"/>
      <c r="B1116" s="43"/>
      <c r="C1116" s="43"/>
      <c r="D1116" s="43"/>
      <c r="E1116" s="43"/>
      <c r="F1116" s="43"/>
      <c r="G1116" s="43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  <c r="AA1116" s="43"/>
      <c r="AB1116" s="43"/>
      <c r="AC1116" s="43"/>
      <c r="AD1116" s="43"/>
      <c r="AE1116" s="43"/>
      <c r="AF1116" s="43"/>
      <c r="AG1116" s="43"/>
      <c r="AH1116" s="43"/>
      <c r="AI1116" s="43"/>
    </row>
    <row r="1117" spans="1:35" x14ac:dyDescent="0.25">
      <c r="A1117" s="43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/>
      <c r="AF1117" s="43"/>
      <c r="AG1117" s="43"/>
      <c r="AH1117" s="43"/>
      <c r="AI1117" s="43"/>
    </row>
    <row r="1118" spans="1:35" x14ac:dyDescent="0.25">
      <c r="A1118" s="43"/>
      <c r="B1118" s="43"/>
      <c r="C1118" s="43"/>
      <c r="D1118" s="43"/>
      <c r="E1118" s="43"/>
      <c r="F1118" s="43"/>
      <c r="G1118" s="43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  <c r="AA1118" s="43"/>
      <c r="AB1118" s="43"/>
      <c r="AC1118" s="43"/>
      <c r="AD1118" s="43"/>
      <c r="AE1118" s="43"/>
      <c r="AF1118" s="43"/>
      <c r="AG1118" s="43"/>
      <c r="AH1118" s="43"/>
      <c r="AI1118" s="43"/>
    </row>
    <row r="1119" spans="1:35" x14ac:dyDescent="0.25">
      <c r="A1119" s="43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/>
      <c r="AF1119" s="43"/>
      <c r="AG1119" s="43"/>
      <c r="AH1119" s="43"/>
      <c r="AI1119" s="43"/>
    </row>
    <row r="1120" spans="1:35" x14ac:dyDescent="0.25">
      <c r="A1120" s="43"/>
      <c r="B1120" s="43"/>
      <c r="C1120" s="43"/>
      <c r="D1120" s="43"/>
      <c r="E1120" s="43"/>
      <c r="F1120" s="43"/>
      <c r="G1120" s="43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  <c r="AA1120" s="43"/>
      <c r="AB1120" s="43"/>
      <c r="AC1120" s="43"/>
      <c r="AD1120" s="43"/>
      <c r="AE1120" s="43"/>
      <c r="AF1120" s="43"/>
      <c r="AG1120" s="43"/>
      <c r="AH1120" s="43"/>
      <c r="AI1120" s="43"/>
    </row>
    <row r="1121" spans="1:35" x14ac:dyDescent="0.25">
      <c r="A1121" s="43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/>
      <c r="AF1121" s="43"/>
      <c r="AG1121" s="43"/>
      <c r="AH1121" s="43"/>
      <c r="AI1121" s="43"/>
    </row>
    <row r="1122" spans="1:35" x14ac:dyDescent="0.25">
      <c r="A1122" s="43"/>
      <c r="B1122" s="43"/>
      <c r="C1122" s="43"/>
      <c r="D1122" s="43"/>
      <c r="E1122" s="43"/>
      <c r="F1122" s="43"/>
      <c r="G1122" s="43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  <c r="AC1122" s="43"/>
      <c r="AD1122" s="43"/>
      <c r="AE1122" s="43"/>
      <c r="AF1122" s="43"/>
      <c r="AG1122" s="43"/>
      <c r="AH1122" s="43"/>
      <c r="AI1122" s="43"/>
    </row>
    <row r="1123" spans="1:35" x14ac:dyDescent="0.25">
      <c r="A1123" s="43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3"/>
      <c r="AE1123" s="43"/>
      <c r="AF1123" s="43"/>
      <c r="AG1123" s="43"/>
      <c r="AH1123" s="43"/>
      <c r="AI1123" s="43"/>
    </row>
    <row r="1124" spans="1:35" x14ac:dyDescent="0.25">
      <c r="A1124" s="43"/>
      <c r="B1124" s="43"/>
      <c r="C1124" s="43"/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3"/>
      <c r="AE1124" s="43"/>
      <c r="AF1124" s="43"/>
      <c r="AG1124" s="43"/>
      <c r="AH1124" s="43"/>
      <c r="AI1124" s="43"/>
    </row>
    <row r="1125" spans="1:35" x14ac:dyDescent="0.25">
      <c r="A1125" s="43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/>
      <c r="AF1125" s="43"/>
      <c r="AG1125" s="43"/>
      <c r="AH1125" s="43"/>
      <c r="AI1125" s="43"/>
    </row>
    <row r="1126" spans="1:35" x14ac:dyDescent="0.25">
      <c r="A1126" s="43"/>
      <c r="B1126" s="43"/>
      <c r="C1126" s="43"/>
      <c r="D1126" s="43"/>
      <c r="E1126" s="43"/>
      <c r="F1126" s="43"/>
      <c r="G1126" s="43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  <c r="AA1126" s="43"/>
      <c r="AB1126" s="43"/>
      <c r="AC1126" s="43"/>
      <c r="AD1126" s="43"/>
      <c r="AE1126" s="43"/>
      <c r="AF1126" s="43"/>
      <c r="AG1126" s="43"/>
      <c r="AH1126" s="43"/>
      <c r="AI1126" s="43"/>
    </row>
    <row r="1127" spans="1:35" x14ac:dyDescent="0.25">
      <c r="A1127" s="43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/>
      <c r="AF1127" s="43"/>
      <c r="AG1127" s="43"/>
      <c r="AH1127" s="43"/>
      <c r="AI1127" s="43"/>
    </row>
    <row r="1128" spans="1:35" x14ac:dyDescent="0.25">
      <c r="A1128" s="43"/>
      <c r="B1128" s="43"/>
      <c r="C1128" s="43"/>
      <c r="D1128" s="43"/>
      <c r="E1128" s="43"/>
      <c r="F1128" s="43"/>
      <c r="G1128" s="43"/>
      <c r="H1128" s="43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  <c r="AA1128" s="43"/>
      <c r="AB1128" s="43"/>
      <c r="AC1128" s="43"/>
      <c r="AD1128" s="43"/>
      <c r="AE1128" s="43"/>
      <c r="AF1128" s="43"/>
      <c r="AG1128" s="43"/>
      <c r="AH1128" s="43"/>
      <c r="AI1128" s="43"/>
    </row>
    <row r="1129" spans="1:35" x14ac:dyDescent="0.25">
      <c r="A1129" s="43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/>
      <c r="AF1129" s="43"/>
      <c r="AG1129" s="43"/>
      <c r="AH1129" s="43"/>
      <c r="AI1129" s="43"/>
    </row>
    <row r="1130" spans="1:35" x14ac:dyDescent="0.25">
      <c r="A1130" s="43"/>
      <c r="B1130" s="43"/>
      <c r="C1130" s="43"/>
      <c r="D1130" s="43"/>
      <c r="E1130" s="43"/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  <c r="AC1130" s="43"/>
      <c r="AD1130" s="43"/>
      <c r="AE1130" s="43"/>
      <c r="AF1130" s="43"/>
      <c r="AG1130" s="43"/>
      <c r="AH1130" s="43"/>
      <c r="AI1130" s="43"/>
    </row>
    <row r="1131" spans="1:35" x14ac:dyDescent="0.25">
      <c r="A1131" s="43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3"/>
      <c r="AE1131" s="43"/>
      <c r="AF1131" s="43"/>
      <c r="AG1131" s="43"/>
      <c r="AH1131" s="43"/>
      <c r="AI1131" s="43"/>
    </row>
  </sheetData>
  <sortState xmlns:xlrd2="http://schemas.microsoft.com/office/spreadsheetml/2017/richdata2" ref="A1:AC963">
    <sortCondition ref="A1:A96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X167"/>
  <sheetViews>
    <sheetView zoomScale="73" zoomScaleNormal="70" workbookViewId="0">
      <pane ySplit="1" topLeftCell="A26" activePane="bottomLeft" state="frozen"/>
      <selection pane="bottomLeft" activeCell="H83" sqref="H83"/>
    </sheetView>
  </sheetViews>
  <sheetFormatPr baseColWidth="10" defaultRowHeight="15" x14ac:dyDescent="0.25"/>
  <cols>
    <col min="7" max="7" width="66.140625" customWidth="1"/>
    <col min="8" max="8" width="57.42578125" bestFit="1" customWidth="1"/>
    <col min="9" max="9" width="29.5703125" customWidth="1"/>
    <col min="13" max="13" width="22.42578125" customWidth="1"/>
  </cols>
  <sheetData>
    <row r="1" spans="8:23" x14ac:dyDescent="0.25"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</row>
    <row r="3" spans="8:23" x14ac:dyDescent="0.25">
      <c r="H3" t="s">
        <v>7</v>
      </c>
      <c r="I3" t="s">
        <v>107</v>
      </c>
      <c r="J3" s="1">
        <f>VLOOKUP($H3,output!$A$10:$N$2201,J$1-$J$1+2)</f>
        <v>20.02</v>
      </c>
      <c r="K3" s="1">
        <f>VLOOKUP($H3,output!$A$10:$N$2201,K$1-$J$1+2)</f>
        <v>19.600999999999999</v>
      </c>
      <c r="L3" s="1">
        <f>VLOOKUP($H3,output!$A$10:$N$2201,L$1-$J$1+2)</f>
        <v>19.574999999999999</v>
      </c>
      <c r="M3" s="1">
        <f>VLOOKUP($H3,output!$A$10:$N$2201,M$1-$J$1+2)</f>
        <v>19.088000000000001</v>
      </c>
      <c r="N3" s="1">
        <f>VLOOKUP($H3,output!$A$10:$N$2201,N$1-$J$1+2)</f>
        <v>18.257000000000001</v>
      </c>
      <c r="O3" s="1">
        <f>VLOOKUP($H3,output!$A$10:$N$2201,O$1-$J$1+2)</f>
        <v>17.594000000000001</v>
      </c>
      <c r="P3" s="1">
        <f>VLOOKUP($H3,output!$A$10:$N$2201,P$1-$J$1+2)</f>
        <v>16.811</v>
      </c>
      <c r="Q3" s="1">
        <f>VLOOKUP($H3,output!$A$10:$N$2201,Q$1-$J$1+2)</f>
        <v>15.885999999999999</v>
      </c>
      <c r="R3" s="1">
        <f>VLOOKUP($H3,output!$A$10:$N$2201,R$1-$J$1+2)</f>
        <v>15.006</v>
      </c>
      <c r="S3" s="1">
        <f>VLOOKUP($H3,output!$A$10:$N$2201,S$1-$J$1+2)</f>
        <v>14.026999999999999</v>
      </c>
      <c r="T3" s="1">
        <f>VLOOKUP($H3,output!$A$10:$N$2201,T$1-$J$1+2)</f>
        <v>13.111000000000001</v>
      </c>
      <c r="U3" s="1">
        <f>VLOOKUP($H3,output!$A$10:$N$2201,U$1-$J$1+2)</f>
        <v>12.26</v>
      </c>
      <c r="V3" s="1">
        <f>VLOOKUP($H3,output!$A$10:$N$2201,V$1-$J$1+2)</f>
        <v>11.457000000000001</v>
      </c>
    </row>
    <row r="4" spans="8:23" x14ac:dyDescent="0.25">
      <c r="H4" t="s">
        <v>8</v>
      </c>
      <c r="I4" t="s">
        <v>108</v>
      </c>
      <c r="J4" s="1">
        <f>VLOOKUP($H4,output!$A$10:$N$2201,J$1-$J$1+2)</f>
        <v>10.044</v>
      </c>
      <c r="K4" s="1">
        <f>VLOOKUP($H4,output!$A$10:$N$2201,K$1-$J$1+2)</f>
        <v>9.0399999999999991</v>
      </c>
      <c r="L4" s="1">
        <f>VLOOKUP($H4,output!$A$10:$N$2201,L$1-$J$1+2)</f>
        <v>8.1820000000000004</v>
      </c>
      <c r="M4" s="1">
        <f>VLOOKUP($H4,output!$A$10:$N$2201,M$1-$J$1+2)</f>
        <v>7.23</v>
      </c>
      <c r="N4" s="1">
        <f>VLOOKUP($H4,output!$A$10:$N$2201,N$1-$J$1+2)</f>
        <v>6.14</v>
      </c>
      <c r="O4" s="1">
        <f>VLOOKUP($H4,output!$A$10:$N$2201,O$1-$J$1+2)</f>
        <v>5.2370000000000001</v>
      </c>
      <c r="P4" s="1">
        <f>VLOOKUP($H4,output!$A$10:$N$2201,P$1-$J$1+2)</f>
        <v>4.3789999999999996</v>
      </c>
      <c r="Q4" s="1">
        <f>VLOOKUP($H4,output!$A$10:$N$2201,Q$1-$J$1+2)</f>
        <v>3.5590000000000002</v>
      </c>
      <c r="R4" s="1">
        <f>VLOOKUP($H4,output!$A$10:$N$2201,R$1-$J$1+2)</f>
        <v>2.7570000000000001</v>
      </c>
      <c r="S4" s="1">
        <f>VLOOKUP($H4,output!$A$10:$N$2201,S$1-$J$1+2)</f>
        <v>1.996</v>
      </c>
      <c r="T4" s="1">
        <f>VLOOKUP($H4,output!$A$10:$N$2201,T$1-$J$1+2)</f>
        <v>1.2849999999999999</v>
      </c>
      <c r="U4" s="1">
        <f>VLOOKUP($H4,output!$A$10:$N$2201,U$1-$J$1+2)</f>
        <v>0.622</v>
      </c>
      <c r="V4" s="1">
        <f>VLOOKUP($H4,output!$A$10:$N$2201,V$1-$J$1+2)</f>
        <v>0</v>
      </c>
    </row>
    <row r="5" spans="8:23" x14ac:dyDescent="0.25">
      <c r="H5" t="s">
        <v>6</v>
      </c>
      <c r="I5" t="s">
        <v>109</v>
      </c>
      <c r="J5" s="1">
        <f>VLOOKUP($H5,output!$A$10:$N$2201,J$1-$J$1+2)</f>
        <v>4.0209999999999999</v>
      </c>
      <c r="K5" s="1">
        <f>VLOOKUP($H5,output!$A$10:$N$2201,K$1-$J$1+2)</f>
        <v>3.9380000000000002</v>
      </c>
      <c r="L5" s="1">
        <f>VLOOKUP($H5,output!$A$10:$N$2201,L$1-$J$1+2)</f>
        <v>3.923</v>
      </c>
      <c r="M5" s="1">
        <f>VLOOKUP($H5,output!$A$10:$N$2201,M$1-$J$1+2)</f>
        <v>3.9079999999999999</v>
      </c>
      <c r="N5" s="1">
        <f>VLOOKUP($H5,output!$A$10:$N$2201,N$1-$J$1+2)</f>
        <v>3.915</v>
      </c>
      <c r="O5" s="1">
        <f>VLOOKUP($H5,output!$A$10:$N$2201,O$1-$J$1+2)</f>
        <v>3.9169999999999998</v>
      </c>
      <c r="P5" s="1">
        <f>VLOOKUP($H5,output!$A$10:$N$2201,P$1-$J$1+2)</f>
        <v>3.915</v>
      </c>
      <c r="Q5" s="1">
        <f>VLOOKUP($H5,output!$A$10:$N$2201,Q$1-$J$1+2)</f>
        <v>3.8889999999999998</v>
      </c>
      <c r="R5" s="1">
        <f>VLOOKUP($H5,output!$A$10:$N$2201,R$1-$J$1+2)</f>
        <v>3.8849999999999998</v>
      </c>
      <c r="S5" s="1">
        <f>VLOOKUP($H5,output!$A$10:$N$2201,S$1-$J$1+2)</f>
        <v>3.8730000000000002</v>
      </c>
      <c r="T5" s="1">
        <f>VLOOKUP($H5,output!$A$10:$N$2201,T$1-$J$1+2)</f>
        <v>3.871</v>
      </c>
      <c r="U5" s="1">
        <f>VLOOKUP($H5,output!$A$10:$N$2201,U$1-$J$1+2)</f>
        <v>3.8809999999999998</v>
      </c>
      <c r="V5" s="1">
        <f>VLOOKUP($H5,output!$A$10:$N$2201,V$1-$J$1+2)</f>
        <v>3.9009999999999998</v>
      </c>
    </row>
    <row r="7" spans="8:23" x14ac:dyDescent="0.25">
      <c r="I7" t="s">
        <v>137</v>
      </c>
      <c r="J7" s="1">
        <f>J3+J4</f>
        <v>30.064</v>
      </c>
      <c r="K7" s="1">
        <f t="shared" ref="K7:V7" si="0">K3+K4</f>
        <v>28.640999999999998</v>
      </c>
      <c r="L7" s="1">
        <f t="shared" si="0"/>
        <v>27.756999999999998</v>
      </c>
      <c r="M7" s="1">
        <f t="shared" si="0"/>
        <v>26.318000000000001</v>
      </c>
      <c r="N7" s="1">
        <f t="shared" si="0"/>
        <v>24.397000000000002</v>
      </c>
      <c r="O7" s="1">
        <f t="shared" si="0"/>
        <v>22.831000000000003</v>
      </c>
      <c r="P7" s="1">
        <f t="shared" si="0"/>
        <v>21.189999999999998</v>
      </c>
      <c r="Q7" s="1">
        <f t="shared" si="0"/>
        <v>19.445</v>
      </c>
      <c r="R7" s="1">
        <f t="shared" si="0"/>
        <v>17.763000000000002</v>
      </c>
      <c r="S7" s="1">
        <f t="shared" si="0"/>
        <v>16.023</v>
      </c>
      <c r="T7" s="1">
        <f t="shared" si="0"/>
        <v>14.396000000000001</v>
      </c>
      <c r="U7" s="1">
        <f t="shared" si="0"/>
        <v>12.882</v>
      </c>
      <c r="V7" s="5">
        <f t="shared" si="0"/>
        <v>11.457000000000001</v>
      </c>
      <c r="W7" s="3">
        <f>V7/L7-1</f>
        <v>-0.58723925496271212</v>
      </c>
    </row>
    <row r="8" spans="8:23" x14ac:dyDescent="0.25">
      <c r="I8" t="s">
        <v>142</v>
      </c>
      <c r="J8" s="4"/>
      <c r="K8" s="4">
        <f t="shared" ref="K8:L8" si="1">J7-K7</f>
        <v>1.4230000000000018</v>
      </c>
      <c r="L8" s="4">
        <f t="shared" si="1"/>
        <v>0.88400000000000034</v>
      </c>
      <c r="M8" s="4">
        <f>L7-M7</f>
        <v>1.4389999999999965</v>
      </c>
      <c r="N8" s="4">
        <f t="shared" ref="N8:V8" si="2">M7-N7</f>
        <v>1.9209999999999994</v>
      </c>
      <c r="O8" s="4">
        <f t="shared" si="2"/>
        <v>1.5659999999999989</v>
      </c>
      <c r="P8" s="4">
        <f t="shared" si="2"/>
        <v>1.6410000000000053</v>
      </c>
      <c r="Q8" s="4">
        <f t="shared" si="2"/>
        <v>1.7449999999999974</v>
      </c>
      <c r="R8" s="4">
        <f t="shared" si="2"/>
        <v>1.6819999999999986</v>
      </c>
      <c r="S8" s="4">
        <f t="shared" si="2"/>
        <v>1.740000000000002</v>
      </c>
      <c r="T8" s="4">
        <f t="shared" si="2"/>
        <v>1.6269999999999989</v>
      </c>
      <c r="U8" s="4">
        <f t="shared" si="2"/>
        <v>1.5140000000000011</v>
      </c>
      <c r="V8" s="4">
        <f t="shared" si="2"/>
        <v>1.4249999999999989</v>
      </c>
    </row>
    <row r="13" spans="8:23" x14ac:dyDescent="0.25">
      <c r="H13" t="s">
        <v>9</v>
      </c>
      <c r="I13" t="s">
        <v>110</v>
      </c>
      <c r="J13" s="1">
        <f>VLOOKUP($H13,output!$A$10:$N$2201,J$1-$J$1+2)</f>
        <v>0.39700000000000002</v>
      </c>
      <c r="K13" s="1">
        <f>VLOOKUP($H13,output!$A$10:$N$2201,K$1-$J$1+2)</f>
        <v>0.54500000000000004</v>
      </c>
      <c r="L13" s="1">
        <f>VLOOKUP($H13,output!$A$10:$N$2201,L$1-$J$1+2)</f>
        <v>0.75700000000000001</v>
      </c>
      <c r="M13" s="1">
        <f>VLOOKUP($H13,output!$A$10:$N$2201,M$1-$J$1+2)</f>
        <v>0.96899999999999997</v>
      </c>
      <c r="N13" s="1">
        <f>VLOOKUP($H13,output!$A$10:$N$2201,N$1-$J$1+2)</f>
        <v>1.1819999999999999</v>
      </c>
      <c r="O13" s="1">
        <f>VLOOKUP($H13,output!$A$10:$N$2201,O$1-$J$1+2)</f>
        <v>1.395</v>
      </c>
      <c r="P13" s="1">
        <f>VLOOKUP($H13,output!$A$10:$N$2201,P$1-$J$1+2)</f>
        <v>1.6060000000000001</v>
      </c>
      <c r="Q13" s="1">
        <f>VLOOKUP($H13,output!$A$10:$N$2201,Q$1-$J$1+2)</f>
        <v>1.7569999999999999</v>
      </c>
      <c r="R13" s="1">
        <f>VLOOKUP($H13,output!$A$10:$N$2201,R$1-$J$1+2)</f>
        <v>1.913</v>
      </c>
      <c r="S13" s="1">
        <f>VLOOKUP($H13,output!$A$10:$N$2201,S$1-$J$1+2)</f>
        <v>2.0670000000000002</v>
      </c>
      <c r="T13" s="1">
        <f>VLOOKUP($H13,output!$A$10:$N$2201,T$1-$J$1+2)</f>
        <v>2.2250000000000001</v>
      </c>
      <c r="U13" s="1">
        <f>VLOOKUP($H13,output!$A$10:$N$2201,U$1-$J$1+2)</f>
        <v>2.3849999999999998</v>
      </c>
      <c r="V13" s="1">
        <f>VLOOKUP($H13,output!$A$10:$N$2201,V$1-$J$1+2)</f>
        <v>2.5489999999999999</v>
      </c>
    </row>
    <row r="14" spans="8:23" x14ac:dyDescent="0.25">
      <c r="H14" t="s">
        <v>10</v>
      </c>
      <c r="I14" t="s">
        <v>111</v>
      </c>
      <c r="J14" s="1">
        <f>VLOOKUP($H14,output!$A$10:$N$2201,J$1-$J$1+2)</f>
        <v>2.1560000000000001</v>
      </c>
      <c r="K14" s="1">
        <f>VLOOKUP($H14,output!$A$10:$N$2201,K$1-$J$1+2)</f>
        <v>2.4350000000000001</v>
      </c>
      <c r="L14" s="1">
        <f>VLOOKUP($H14,output!$A$10:$N$2201,L$1-$J$1+2)</f>
        <v>2.6859999999999999</v>
      </c>
      <c r="M14" s="1">
        <f>VLOOKUP($H14,output!$A$10:$N$2201,M$1-$J$1+2)</f>
        <v>2.9470000000000001</v>
      </c>
      <c r="N14" s="1">
        <f>VLOOKUP($H14,output!$A$10:$N$2201,N$1-$J$1+2)</f>
        <v>3.2240000000000002</v>
      </c>
      <c r="O14" s="1">
        <f>VLOOKUP($H14,output!$A$10:$N$2201,O$1-$J$1+2)</f>
        <v>3.5190000000000001</v>
      </c>
      <c r="P14" s="1">
        <f>VLOOKUP($H14,output!$A$10:$N$2201,P$1-$J$1+2)</f>
        <v>3.8340000000000001</v>
      </c>
      <c r="Q14" s="1">
        <f>VLOOKUP($H14,output!$A$10:$N$2201,Q$1-$J$1+2)</f>
        <v>4.141</v>
      </c>
      <c r="R14" s="1">
        <f>VLOOKUP($H14,output!$A$10:$N$2201,R$1-$J$1+2)</f>
        <v>4.4649999999999999</v>
      </c>
      <c r="S14" s="1">
        <f>VLOOKUP($H14,output!$A$10:$N$2201,S$1-$J$1+2)</f>
        <v>4.8179999999999996</v>
      </c>
      <c r="T14" s="1">
        <f>VLOOKUP($H14,output!$A$10:$N$2201,T$1-$J$1+2)</f>
        <v>5.194</v>
      </c>
      <c r="U14" s="1">
        <f>VLOOKUP($H14,output!$A$10:$N$2201,U$1-$J$1+2)</f>
        <v>5.5949999999999998</v>
      </c>
      <c r="V14" s="1">
        <f>VLOOKUP($H14,output!$A$10:$N$2201,V$1-$J$1+2)</f>
        <v>6.0179999999999998</v>
      </c>
    </row>
    <row r="15" spans="8:23" x14ac:dyDescent="0.25">
      <c r="H15" t="s">
        <v>11</v>
      </c>
      <c r="I15" t="s">
        <v>112</v>
      </c>
      <c r="J15" s="1">
        <f>VLOOKUP($H15,output!$A$10:$N$2201,J$1-$J$1+2)</f>
        <v>5.55</v>
      </c>
      <c r="K15" s="1">
        <f>VLOOKUP($H15,output!$A$10:$N$2201,K$1-$J$1+2)</f>
        <v>6.0179999999999998</v>
      </c>
      <c r="L15" s="1">
        <f>VLOOKUP($H15,output!$A$10:$N$2201,L$1-$J$1+2)</f>
        <v>6.359</v>
      </c>
      <c r="M15" s="1">
        <f>VLOOKUP($H15,output!$A$10:$N$2201,M$1-$J$1+2)</f>
        <v>6.835</v>
      </c>
      <c r="N15" s="1">
        <f>VLOOKUP($H15,output!$A$10:$N$2201,N$1-$J$1+2)</f>
        <v>7.3259999999999996</v>
      </c>
      <c r="O15" s="1">
        <f>VLOOKUP($H15,output!$A$10:$N$2201,O$1-$J$1+2)</f>
        <v>7.843</v>
      </c>
      <c r="P15" s="1">
        <f>VLOOKUP($H15,output!$A$10:$N$2201,P$1-$J$1+2)</f>
        <v>8.3770000000000007</v>
      </c>
      <c r="Q15" s="1">
        <f>VLOOKUP($H15,output!$A$10:$N$2201,Q$1-$J$1+2)</f>
        <v>8.9450000000000003</v>
      </c>
      <c r="R15" s="1">
        <f>VLOOKUP($H15,output!$A$10:$N$2201,R$1-$J$1+2)</f>
        <v>9.5090000000000003</v>
      </c>
      <c r="S15" s="1">
        <f>VLOOKUP($H15,output!$A$10:$N$2201,S$1-$J$1+2)</f>
        <v>10.092000000000001</v>
      </c>
      <c r="T15" s="1">
        <f>VLOOKUP($H15,output!$A$10:$N$2201,T$1-$J$1+2)</f>
        <v>10.634</v>
      </c>
      <c r="U15" s="1">
        <f>VLOOKUP($H15,output!$A$10:$N$2201,U$1-$J$1+2)</f>
        <v>11.148</v>
      </c>
      <c r="V15" s="1">
        <f>VLOOKUP($H15,output!$A$10:$N$2201,V$1-$J$1+2)</f>
        <v>11.615</v>
      </c>
    </row>
    <row r="16" spans="8:23" x14ac:dyDescent="0.25">
      <c r="H16" t="s">
        <v>12</v>
      </c>
      <c r="I16" t="s">
        <v>113</v>
      </c>
      <c r="J16" s="1">
        <f>VLOOKUP($H16,output!$A$10:$N$2201,J$1-$J$1+2)</f>
        <v>12.773999999999999</v>
      </c>
      <c r="K16" s="1">
        <f>VLOOKUP($H16,output!$A$10:$N$2201,K$1-$J$1+2)</f>
        <v>12.688000000000001</v>
      </c>
      <c r="L16" s="1">
        <f>VLOOKUP($H16,output!$A$10:$N$2201,L$1-$J$1+2)</f>
        <v>12.638999999999999</v>
      </c>
      <c r="M16" s="1">
        <f>VLOOKUP($H16,output!$A$10:$N$2201,M$1-$J$1+2)</f>
        <v>12.526999999999999</v>
      </c>
      <c r="N16" s="1">
        <f>VLOOKUP($H16,output!$A$10:$N$2201,N$1-$J$1+2)</f>
        <v>12.387</v>
      </c>
      <c r="O16" s="1">
        <f>VLOOKUP($H16,output!$A$10:$N$2201,O$1-$J$1+2)</f>
        <v>12.167999999999999</v>
      </c>
      <c r="P16" s="1">
        <f>VLOOKUP($H16,output!$A$10:$N$2201,P$1-$J$1+2)</f>
        <v>11.875999999999999</v>
      </c>
      <c r="Q16" s="1">
        <f>VLOOKUP($H16,output!$A$10:$N$2201,Q$1-$J$1+2)</f>
        <v>11.561999999999999</v>
      </c>
      <c r="R16" s="1">
        <f>VLOOKUP($H16,output!$A$10:$N$2201,R$1-$J$1+2)</f>
        <v>11.433</v>
      </c>
      <c r="S16" s="1">
        <f>VLOOKUP($H16,output!$A$10:$N$2201,S$1-$J$1+2)</f>
        <v>11.183999999999999</v>
      </c>
      <c r="T16" s="1">
        <f>VLOOKUP($H16,output!$A$10:$N$2201,T$1-$J$1+2)</f>
        <v>10.872999999999999</v>
      </c>
      <c r="U16" s="1">
        <f>VLOOKUP($H16,output!$A$10:$N$2201,U$1-$J$1+2)</f>
        <v>10.478999999999999</v>
      </c>
      <c r="V16" s="1">
        <f>VLOOKUP($H16,output!$A$10:$N$2201,V$1-$J$1+2)</f>
        <v>10.039</v>
      </c>
    </row>
    <row r="17" spans="8:23" x14ac:dyDescent="0.25">
      <c r="H17" t="s">
        <v>13</v>
      </c>
      <c r="I17" t="s">
        <v>114</v>
      </c>
      <c r="J17" s="1">
        <f>VLOOKUP($H17,output!$A$10:$N$2201,J$1-$J$1+2)</f>
        <v>5.024</v>
      </c>
      <c r="K17" s="1">
        <f>VLOOKUP($H17,output!$A$10:$N$2201,K$1-$J$1+2)</f>
        <v>4.8410000000000002</v>
      </c>
      <c r="L17" s="1">
        <f>VLOOKUP($H17,output!$A$10:$N$2201,L$1-$J$1+2)</f>
        <v>4.6470000000000002</v>
      </c>
      <c r="M17" s="1">
        <f>VLOOKUP($H17,output!$A$10:$N$2201,M$1-$J$1+2)</f>
        <v>4.4459999999999997</v>
      </c>
      <c r="N17" s="1">
        <f>VLOOKUP($H17,output!$A$10:$N$2201,N$1-$J$1+2)</f>
        <v>4.2290000000000001</v>
      </c>
      <c r="O17" s="1">
        <f>VLOOKUP($H17,output!$A$10:$N$2201,O$1-$J$1+2)</f>
        <v>4.0010000000000003</v>
      </c>
      <c r="P17" s="1">
        <f>VLOOKUP($H17,output!$A$10:$N$2201,P$1-$J$1+2)</f>
        <v>3.77</v>
      </c>
      <c r="Q17" s="1">
        <f>VLOOKUP($H17,output!$A$10:$N$2201,Q$1-$J$1+2)</f>
        <v>3.54</v>
      </c>
      <c r="R17" s="1">
        <f>VLOOKUP($H17,output!$A$10:$N$2201,R$1-$J$1+2)</f>
        <v>3.0720000000000001</v>
      </c>
      <c r="S17" s="1">
        <f>VLOOKUP($H17,output!$A$10:$N$2201,S$1-$J$1+2)</f>
        <v>2.66</v>
      </c>
      <c r="T17" s="1">
        <f>VLOOKUP($H17,output!$A$10:$N$2201,T$1-$J$1+2)</f>
        <v>2.294</v>
      </c>
      <c r="U17" s="1">
        <f>VLOOKUP($H17,output!$A$10:$N$2201,U$1-$J$1+2)</f>
        <v>1.988</v>
      </c>
      <c r="V17" s="1">
        <f>VLOOKUP($H17,output!$A$10:$N$2201,V$1-$J$1+2)</f>
        <v>1.7230000000000001</v>
      </c>
    </row>
    <row r="18" spans="8:23" x14ac:dyDescent="0.25">
      <c r="H18" t="s">
        <v>14</v>
      </c>
      <c r="I18" t="s">
        <v>115</v>
      </c>
      <c r="J18" s="1">
        <f>VLOOKUP($H18,output!$A$10:$N$2201,J$1-$J$1+2)</f>
        <v>2.927</v>
      </c>
      <c r="K18" s="1">
        <f>VLOOKUP($H18,output!$A$10:$N$2201,K$1-$J$1+2)</f>
        <v>2.7549999999999999</v>
      </c>
      <c r="L18" s="1">
        <f>VLOOKUP($H18,output!$A$10:$N$2201,L$1-$J$1+2)</f>
        <v>2.62</v>
      </c>
      <c r="M18" s="1">
        <f>VLOOKUP($H18,output!$A$10:$N$2201,M$1-$J$1+2)</f>
        <v>2.3849999999999998</v>
      </c>
      <c r="N18" s="1">
        <f>VLOOKUP($H18,output!$A$10:$N$2201,N$1-$J$1+2)</f>
        <v>2.17</v>
      </c>
      <c r="O18" s="1">
        <f>VLOOKUP($H18,output!$A$10:$N$2201,O$1-$J$1+2)</f>
        <v>1.984</v>
      </c>
      <c r="P18" s="1">
        <f>VLOOKUP($H18,output!$A$10:$N$2201,P$1-$J$1+2)</f>
        <v>1.823</v>
      </c>
      <c r="Q18" s="1">
        <f>VLOOKUP($H18,output!$A$10:$N$2201,Q$1-$J$1+2)</f>
        <v>1.613</v>
      </c>
      <c r="R18" s="1">
        <f>VLOOKUP($H18,output!$A$10:$N$2201,R$1-$J$1+2)</f>
        <v>1.4239999999999999</v>
      </c>
      <c r="S18" s="1">
        <f>VLOOKUP($H18,output!$A$10:$N$2201,S$1-$J$1+2)</f>
        <v>1.248</v>
      </c>
      <c r="T18" s="1">
        <f>VLOOKUP($H18,output!$A$10:$N$2201,T$1-$J$1+2)</f>
        <v>1.089</v>
      </c>
      <c r="U18" s="1">
        <f>VLOOKUP($H18,output!$A$10:$N$2201,U$1-$J$1+2)</f>
        <v>0.94499999999999995</v>
      </c>
      <c r="V18" s="1">
        <f>VLOOKUP($H18,output!$A$10:$N$2201,V$1-$J$1+2)</f>
        <v>0.81599999999999995</v>
      </c>
    </row>
    <row r="19" spans="8:23" x14ac:dyDescent="0.25">
      <c r="H19" t="s">
        <v>15</v>
      </c>
      <c r="I19" t="s">
        <v>116</v>
      </c>
      <c r="J19" s="1">
        <f>VLOOKUP($H19,output!$A$10:$N$2201,J$1-$J$1+2)</f>
        <v>1.3979999999999999</v>
      </c>
      <c r="K19" s="1">
        <f>VLOOKUP($H19,output!$A$10:$N$2201,K$1-$J$1+2)</f>
        <v>1.1619999999999999</v>
      </c>
      <c r="L19" s="1">
        <f>VLOOKUP($H19,output!$A$10:$N$2201,L$1-$J$1+2)</f>
        <v>1.006</v>
      </c>
      <c r="M19" s="1">
        <f>VLOOKUP($H19,output!$A$10:$N$2201,M$1-$J$1+2)</f>
        <v>0.872</v>
      </c>
      <c r="N19" s="1">
        <f>VLOOKUP($H19,output!$A$10:$N$2201,N$1-$J$1+2)</f>
        <v>0.72899999999999998</v>
      </c>
      <c r="O19" s="1">
        <f>VLOOKUP($H19,output!$A$10:$N$2201,O$1-$J$1+2)</f>
        <v>0.60499999999999998</v>
      </c>
      <c r="P19" s="1">
        <f>VLOOKUP($H19,output!$A$10:$N$2201,P$1-$J$1+2)</f>
        <v>0.497</v>
      </c>
      <c r="Q19" s="1">
        <f>VLOOKUP($H19,output!$A$10:$N$2201,Q$1-$J$1+2)</f>
        <v>0.40300000000000002</v>
      </c>
      <c r="R19" s="1">
        <f>VLOOKUP($H19,output!$A$10:$N$2201,R$1-$J$1+2)</f>
        <v>0.32200000000000001</v>
      </c>
      <c r="S19" s="1">
        <f>VLOOKUP($H19,output!$A$10:$N$2201,S$1-$J$1+2)</f>
        <v>0.247</v>
      </c>
      <c r="T19" s="1">
        <f>VLOOKUP($H19,output!$A$10:$N$2201,T$1-$J$1+2)</f>
        <v>0.184</v>
      </c>
      <c r="U19" s="1">
        <f>VLOOKUP($H19,output!$A$10:$N$2201,U$1-$J$1+2)</f>
        <v>0.13200000000000001</v>
      </c>
      <c r="V19" s="1">
        <f>VLOOKUP($H19,output!$A$10:$N$2201,V$1-$J$1+2)</f>
        <v>8.8999999999999996E-2</v>
      </c>
    </row>
    <row r="21" spans="8:23" x14ac:dyDescent="0.25">
      <c r="I21" t="s">
        <v>136</v>
      </c>
      <c r="J21" s="1">
        <f>J18+J19</f>
        <v>4.3250000000000002</v>
      </c>
      <c r="K21" s="1">
        <f t="shared" ref="K21:V21" si="3">K18+K19</f>
        <v>3.9169999999999998</v>
      </c>
      <c r="L21" s="1">
        <f t="shared" si="3"/>
        <v>3.6260000000000003</v>
      </c>
      <c r="M21" s="1">
        <f t="shared" si="3"/>
        <v>3.2569999999999997</v>
      </c>
      <c r="N21" s="1">
        <f t="shared" si="3"/>
        <v>2.899</v>
      </c>
      <c r="O21" s="1">
        <f t="shared" si="3"/>
        <v>2.589</v>
      </c>
      <c r="P21" s="1">
        <f t="shared" si="3"/>
        <v>2.3199999999999998</v>
      </c>
      <c r="Q21" s="1">
        <f t="shared" si="3"/>
        <v>2.016</v>
      </c>
      <c r="R21" s="1">
        <f t="shared" si="3"/>
        <v>1.746</v>
      </c>
      <c r="S21" s="1">
        <f t="shared" si="3"/>
        <v>1.4950000000000001</v>
      </c>
      <c r="T21" s="1">
        <f t="shared" si="3"/>
        <v>1.2729999999999999</v>
      </c>
      <c r="U21" s="1">
        <f t="shared" si="3"/>
        <v>1.077</v>
      </c>
      <c r="V21" s="1">
        <f t="shared" si="3"/>
        <v>0.90499999999999992</v>
      </c>
      <c r="W21" s="6">
        <f>V21/N21-1</f>
        <v>-0.68782338737495685</v>
      </c>
    </row>
    <row r="25" spans="8:23" x14ac:dyDescent="0.25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8:23" x14ac:dyDescent="0.25">
      <c r="H26" t="s">
        <v>0</v>
      </c>
      <c r="I26" t="s">
        <v>117</v>
      </c>
      <c r="J26" s="1">
        <f>VLOOKUP($H26,output!$A$10:$N$2201,J$1-$J$1+2)</f>
        <v>11.458</v>
      </c>
      <c r="K26" s="1">
        <f>VLOOKUP($H26,output!$A$10:$N$2201,K$1-$J$1+2)</f>
        <v>12.433</v>
      </c>
      <c r="L26" s="1">
        <f>VLOOKUP($H26,output!$A$10:$N$2201,L$1-$J$1+2)</f>
        <v>12.516999999999999</v>
      </c>
      <c r="M26" s="1">
        <f>VLOOKUP($H26,output!$A$10:$N$2201,M$1-$J$1+2)</f>
        <v>14.035</v>
      </c>
      <c r="N26" s="1">
        <f>VLOOKUP($H26,output!$A$10:$N$2201,N$1-$J$1+2)</f>
        <v>15.012</v>
      </c>
      <c r="O26" s="1">
        <f>VLOOKUP($H26,output!$A$10:$N$2201,O$1-$J$1+2)</f>
        <v>17.038</v>
      </c>
      <c r="P26" s="1">
        <f>VLOOKUP($H26,output!$A$10:$N$2201,P$1-$J$1+2)</f>
        <v>20.233000000000001</v>
      </c>
      <c r="Q26" s="1">
        <f>VLOOKUP($H26,output!$A$10:$N$2201,Q$1-$J$1+2)</f>
        <v>24.457999999999998</v>
      </c>
      <c r="R26" s="1">
        <f>VLOOKUP($H26,output!$A$10:$N$2201,R$1-$J$1+2)</f>
        <v>26.763999999999999</v>
      </c>
      <c r="S26" s="1">
        <f>VLOOKUP($H26,output!$A$10:$N$2201,S$1-$J$1+2)</f>
        <v>30.184999999999999</v>
      </c>
      <c r="T26" s="1">
        <f>VLOOKUP($H26,output!$A$10:$N$2201,T$1-$J$1+2)</f>
        <v>33.073999999999998</v>
      </c>
      <c r="U26" s="1">
        <f>VLOOKUP($H26,output!$A$10:$N$2201,U$1-$J$1+2)</f>
        <v>35.36</v>
      </c>
      <c r="V26" s="1">
        <f>VLOOKUP($H26,output!$A$10:$N$2201,V$1-$J$1+2)</f>
        <v>37.128</v>
      </c>
    </row>
    <row r="27" spans="8:23" x14ac:dyDescent="0.25">
      <c r="H27" t="s">
        <v>1</v>
      </c>
      <c r="I27" t="s">
        <v>118</v>
      </c>
      <c r="J27" s="1">
        <f>VLOOKUP($H27,output!$A$10:$N$2201,J$1-$J$1+2)</f>
        <v>91</v>
      </c>
      <c r="K27" s="1">
        <f>VLOOKUP($H27,output!$A$10:$N$2201,K$1-$J$1+2)</f>
        <v>89.096999999999994</v>
      </c>
      <c r="L27" s="1">
        <f>VLOOKUP($H27,output!$A$10:$N$2201,L$1-$J$1+2)</f>
        <v>88.978999999999999</v>
      </c>
      <c r="M27" s="1">
        <f>VLOOKUP($H27,output!$A$10:$N$2201,M$1-$J$1+2)</f>
        <v>86.763999999999996</v>
      </c>
      <c r="N27" s="1">
        <f>VLOOKUP($H27,output!$A$10:$N$2201,N$1-$J$1+2)</f>
        <v>82.988</v>
      </c>
      <c r="O27" s="1">
        <f>VLOOKUP($H27,output!$A$10:$N$2201,O$1-$J$1+2)</f>
        <v>79.971999999999994</v>
      </c>
      <c r="P27" s="1">
        <f>VLOOKUP($H27,output!$A$10:$N$2201,P$1-$J$1+2)</f>
        <v>76.412000000000006</v>
      </c>
      <c r="Q27" s="1">
        <f>VLOOKUP($H27,output!$A$10:$N$2201,Q$1-$J$1+2)</f>
        <v>72.209000000000003</v>
      </c>
      <c r="R27" s="1">
        <f>VLOOKUP($H27,output!$A$10:$N$2201,R$1-$J$1+2)</f>
        <v>68.207999999999998</v>
      </c>
      <c r="S27" s="1">
        <f>VLOOKUP($H27,output!$A$10:$N$2201,S$1-$J$1+2)</f>
        <v>63.76</v>
      </c>
      <c r="T27" s="1">
        <f>VLOOKUP($H27,output!$A$10:$N$2201,T$1-$J$1+2)</f>
        <v>59.594999999999999</v>
      </c>
      <c r="U27" s="1">
        <f>VLOOKUP($H27,output!$A$10:$N$2201,U$1-$J$1+2)</f>
        <v>55.725999999999999</v>
      </c>
      <c r="V27" s="1">
        <f>VLOOKUP($H27,output!$A$10:$N$2201,V$1-$J$1+2)</f>
        <v>52.078000000000003</v>
      </c>
    </row>
    <row r="28" spans="8:23" x14ac:dyDescent="0.25">
      <c r="H28" t="s">
        <v>2</v>
      </c>
      <c r="I28" t="s">
        <v>119</v>
      </c>
      <c r="J28" s="1">
        <f>VLOOKUP($H28,output!$A$10:$N$2201,J$1-$J$1+2)</f>
        <v>31</v>
      </c>
      <c r="K28" s="1">
        <f>VLOOKUP($H28,output!$A$10:$N$2201,K$1-$J$1+2)</f>
        <v>27.902999999999999</v>
      </c>
      <c r="L28" s="1">
        <f>VLOOKUP($H28,output!$A$10:$N$2201,L$1-$J$1+2)</f>
        <v>25.251999999999999</v>
      </c>
      <c r="M28" s="1">
        <f>VLOOKUP($H28,output!$A$10:$N$2201,M$1-$J$1+2)</f>
        <v>22.315000000000001</v>
      </c>
      <c r="N28" s="1">
        <f>VLOOKUP($H28,output!$A$10:$N$2201,N$1-$J$1+2)</f>
        <v>18.951000000000001</v>
      </c>
      <c r="O28" s="1">
        <f>VLOOKUP($H28,output!$A$10:$N$2201,O$1-$J$1+2)</f>
        <v>16.163</v>
      </c>
      <c r="P28" s="1">
        <f>VLOOKUP($H28,output!$A$10:$N$2201,P$1-$J$1+2)</f>
        <v>13.513999999999999</v>
      </c>
      <c r="Q28" s="1">
        <f>VLOOKUP($H28,output!$A$10:$N$2201,Q$1-$J$1+2)</f>
        <v>10.984</v>
      </c>
      <c r="R28" s="1">
        <f>VLOOKUP($H28,output!$A$10:$N$2201,R$1-$J$1+2)</f>
        <v>8.5090000000000003</v>
      </c>
      <c r="S28" s="1">
        <f>VLOOKUP($H28,output!$A$10:$N$2201,S$1-$J$1+2)</f>
        <v>6.16</v>
      </c>
      <c r="T28" s="1">
        <f>VLOOKUP($H28,output!$A$10:$N$2201,T$1-$J$1+2)</f>
        <v>3.9670000000000001</v>
      </c>
      <c r="U28" s="1">
        <f>VLOOKUP($H28,output!$A$10:$N$2201,U$1-$J$1+2)</f>
        <v>1.9179999999999999</v>
      </c>
      <c r="V28" s="1">
        <f>VLOOKUP($H28,output!$A$10:$N$2201,V$1-$J$1+2)</f>
        <v>0</v>
      </c>
    </row>
    <row r="29" spans="8:23" x14ac:dyDescent="0.25">
      <c r="H29" t="s">
        <v>3</v>
      </c>
      <c r="I29" t="s">
        <v>120</v>
      </c>
      <c r="J29" s="1">
        <f>VLOOKUP($H29,output!$A$10:$N$2201,J$1-$J$1+2)</f>
        <v>76.102999999999994</v>
      </c>
      <c r="K29" s="1">
        <f>VLOOKUP($H29,output!$A$10:$N$2201,K$1-$J$1+2)</f>
        <v>74.563999999999993</v>
      </c>
      <c r="L29" s="1">
        <f>VLOOKUP($H29,output!$A$10:$N$2201,L$1-$J$1+2)</f>
        <v>73.540999999999997</v>
      </c>
      <c r="M29" s="1">
        <f>VLOOKUP($H29,output!$A$10:$N$2201,M$1-$J$1+2)</f>
        <v>71.847999999999999</v>
      </c>
      <c r="N29" s="1">
        <f>VLOOKUP($H29,output!$A$10:$N$2201,N$1-$J$1+2)</f>
        <v>69.644999999999996</v>
      </c>
      <c r="O29" s="1">
        <f>VLOOKUP($H29,output!$A$10:$N$2201,O$1-$J$1+2)</f>
        <v>67.831000000000003</v>
      </c>
      <c r="P29" s="1">
        <f>VLOOKUP($H29,output!$A$10:$N$2201,P$1-$J$1+2)</f>
        <v>65.930000000000007</v>
      </c>
      <c r="Q29" s="1">
        <f>VLOOKUP($H29,output!$A$10:$N$2201,Q$1-$J$1+2)</f>
        <v>63.777999999999999</v>
      </c>
      <c r="R29" s="1">
        <f>VLOOKUP($H29,output!$A$10:$N$2201,R$1-$J$1+2)</f>
        <v>61.703000000000003</v>
      </c>
      <c r="S29" s="1">
        <f>VLOOKUP($H29,output!$A$10:$N$2201,S$1-$J$1+2)</f>
        <v>59.557000000000002</v>
      </c>
      <c r="T29" s="1">
        <f>VLOOKUP($H29,output!$A$10:$N$2201,T$1-$J$1+2)</f>
        <v>57.555999999999997</v>
      </c>
      <c r="U29" s="1">
        <f>VLOOKUP($H29,output!$A$10:$N$2201,U$1-$J$1+2)</f>
        <v>55.695</v>
      </c>
      <c r="V29" s="1">
        <f>VLOOKUP($H29,output!$A$10:$N$2201,V$1-$J$1+2)</f>
        <v>53.951999999999998</v>
      </c>
    </row>
    <row r="30" spans="8:23" x14ac:dyDescent="0.25">
      <c r="H30" t="s">
        <v>4</v>
      </c>
      <c r="I30" t="s">
        <v>122</v>
      </c>
      <c r="J30" s="1">
        <f>VLOOKUP($H30,output!$A$10:$N$2201,J$1-$J$1+2)</f>
        <v>6.984</v>
      </c>
      <c r="K30" s="1">
        <f>VLOOKUP($H30,output!$A$10:$N$2201,K$1-$J$1+2)</f>
        <v>9.0269999999999992</v>
      </c>
      <c r="L30" s="1">
        <f>VLOOKUP($H30,output!$A$10:$N$2201,L$1-$J$1+2)</f>
        <v>10.851000000000001</v>
      </c>
      <c r="M30" s="1">
        <f>VLOOKUP($H30,output!$A$10:$N$2201,M$1-$J$1+2)</f>
        <v>12.635</v>
      </c>
      <c r="N30" s="1">
        <f>VLOOKUP($H30,output!$A$10:$N$2201,N$1-$J$1+2)</f>
        <v>14.589</v>
      </c>
      <c r="O30" s="1">
        <f>VLOOKUP($H30,output!$A$10:$N$2201,O$1-$J$1+2)</f>
        <v>16.460999999999999</v>
      </c>
      <c r="P30" s="1">
        <f>VLOOKUP($H30,output!$A$10:$N$2201,P$1-$J$1+2)</f>
        <v>18.247</v>
      </c>
      <c r="Q30" s="1">
        <f>VLOOKUP($H30,output!$A$10:$N$2201,Q$1-$J$1+2)</f>
        <v>19.873000000000001</v>
      </c>
      <c r="R30" s="1">
        <f>VLOOKUP($H30,output!$A$10:$N$2201,R$1-$J$1+2)</f>
        <v>21.664000000000001</v>
      </c>
      <c r="S30" s="1">
        <f>VLOOKUP($H30,output!$A$10:$N$2201,S$1-$J$1+2)</f>
        <v>23.361999999999998</v>
      </c>
      <c r="T30" s="1">
        <f>VLOOKUP($H30,output!$A$10:$N$2201,T$1-$J$1+2)</f>
        <v>25.103999999999999</v>
      </c>
      <c r="U30" s="1">
        <f>VLOOKUP($H30,output!$A$10:$N$2201,U$1-$J$1+2)</f>
        <v>26.896000000000001</v>
      </c>
      <c r="V30" s="1">
        <f>VLOOKUP($H30,output!$A$10:$N$2201,V$1-$J$1+2)</f>
        <v>28.731999999999999</v>
      </c>
    </row>
    <row r="31" spans="8:23" x14ac:dyDescent="0.25">
      <c r="H31" t="s">
        <v>5</v>
      </c>
      <c r="I31" t="s">
        <v>121</v>
      </c>
      <c r="J31" s="1">
        <f>VLOOKUP($H31,output!$A$10:$N$2201,J$1-$J$1+2)</f>
        <v>43.912999999999997</v>
      </c>
      <c r="K31" s="1">
        <f>VLOOKUP($H31,output!$A$10:$N$2201,K$1-$J$1+2)</f>
        <v>40.822000000000003</v>
      </c>
      <c r="L31" s="1">
        <f>VLOOKUP($H31,output!$A$10:$N$2201,L$1-$J$1+2)</f>
        <v>38.813000000000002</v>
      </c>
      <c r="M31" s="1">
        <f>VLOOKUP($H31,output!$A$10:$N$2201,M$1-$J$1+2)</f>
        <v>36.838999999999999</v>
      </c>
      <c r="N31" s="1">
        <f>VLOOKUP($H31,output!$A$10:$N$2201,N$1-$J$1+2)</f>
        <v>34.963000000000001</v>
      </c>
      <c r="O31" s="1">
        <f>VLOOKUP($H31,output!$A$10:$N$2201,O$1-$J$1+2)</f>
        <v>33.127000000000002</v>
      </c>
      <c r="P31" s="1">
        <f>VLOOKUP($H31,output!$A$10:$N$2201,P$1-$J$1+2)</f>
        <v>31.306999999999999</v>
      </c>
      <c r="Q31" s="1">
        <f>VLOOKUP($H31,output!$A$10:$N$2201,Q$1-$J$1+2)</f>
        <v>29.36</v>
      </c>
      <c r="R31" s="1">
        <f>VLOOKUP($H31,output!$A$10:$N$2201,R$1-$J$1+2)</f>
        <v>27.512</v>
      </c>
      <c r="S31" s="1">
        <f>VLOOKUP($H31,output!$A$10:$N$2201,S$1-$J$1+2)</f>
        <v>25.66</v>
      </c>
      <c r="T31" s="1">
        <f>VLOOKUP($H31,output!$A$10:$N$2201,T$1-$J$1+2)</f>
        <v>23.901</v>
      </c>
      <c r="U31" s="1">
        <f>VLOOKUP($H31,output!$A$10:$N$2201,U$1-$J$1+2)</f>
        <v>22.231000000000002</v>
      </c>
      <c r="V31" s="1">
        <f>VLOOKUP($H31,output!$A$10:$N$2201,V$1-$J$1+2)</f>
        <v>20.646000000000001</v>
      </c>
    </row>
    <row r="33" spans="8:22" x14ac:dyDescent="0.25">
      <c r="I33" t="s">
        <v>138</v>
      </c>
      <c r="J33" s="1">
        <f>SUM(J26:J31)</f>
        <v>260.45799999999997</v>
      </c>
      <c r="K33" s="1">
        <f t="shared" ref="K33:V33" si="4">SUM(K26:K31)</f>
        <v>253.84599999999998</v>
      </c>
      <c r="L33" s="1">
        <f t="shared" si="4"/>
        <v>249.95299999999997</v>
      </c>
      <c r="M33" s="1">
        <f t="shared" si="4"/>
        <v>244.43599999999998</v>
      </c>
      <c r="N33" s="1">
        <f t="shared" si="4"/>
        <v>236.148</v>
      </c>
      <c r="O33" s="1">
        <f t="shared" si="4"/>
        <v>230.59199999999998</v>
      </c>
      <c r="P33" s="1">
        <f t="shared" si="4"/>
        <v>225.643</v>
      </c>
      <c r="Q33" s="1">
        <f t="shared" si="4"/>
        <v>220.66199999999998</v>
      </c>
      <c r="R33" s="1">
        <f t="shared" si="4"/>
        <v>214.36</v>
      </c>
      <c r="S33" s="1">
        <f t="shared" si="4"/>
        <v>208.68399999999997</v>
      </c>
      <c r="T33" s="1">
        <f t="shared" si="4"/>
        <v>203.197</v>
      </c>
      <c r="U33" s="1">
        <f t="shared" si="4"/>
        <v>197.82600000000002</v>
      </c>
      <c r="V33" s="1">
        <f t="shared" si="4"/>
        <v>192.536</v>
      </c>
    </row>
    <row r="37" spans="8:22" x14ac:dyDescent="0.25">
      <c r="H37" t="s">
        <v>16</v>
      </c>
      <c r="I37" t="s">
        <v>121</v>
      </c>
      <c r="J37" s="1">
        <f>VLOOKUP($H37,output!$A$10:$N$2201,J$1-$J$1+2)</f>
        <v>8.3170000000000002</v>
      </c>
      <c r="K37" s="1">
        <f>VLOOKUP($H37,output!$A$10:$N$2201,K$1-$J$1+2)</f>
        <v>8.0120000000000005</v>
      </c>
      <c r="L37" s="1">
        <f>VLOOKUP($H37,output!$A$10:$N$2201,L$1-$J$1+2)</f>
        <v>7.7679999999999998</v>
      </c>
      <c r="M37" s="1">
        <f>VLOOKUP($H37,output!$A$10:$N$2201,M$1-$J$1+2)</f>
        <v>7.4989999999999997</v>
      </c>
      <c r="N37" s="1">
        <f>VLOOKUP($H37,output!$A$10:$N$2201,N$1-$J$1+2)</f>
        <v>7.2409999999999997</v>
      </c>
      <c r="O37" s="1">
        <f>VLOOKUP($H37,output!$A$10:$N$2201,O$1-$J$1+2)</f>
        <v>6.9640000000000004</v>
      </c>
      <c r="P37" s="1">
        <f>VLOOKUP($H37,output!$A$10:$N$2201,P$1-$J$1+2)</f>
        <v>6.6660000000000004</v>
      </c>
      <c r="Q37" s="1">
        <f>VLOOKUP($H37,output!$A$10:$N$2201,Q$1-$J$1+2)</f>
        <v>6.3319999999999999</v>
      </c>
      <c r="R37" s="1">
        <f>VLOOKUP($H37,output!$A$10:$N$2201,R$1-$J$1+2)</f>
        <v>6.03</v>
      </c>
      <c r="S37" s="1">
        <f>VLOOKUP($H37,output!$A$10:$N$2201,S$1-$J$1+2)</f>
        <v>5.7069999999999999</v>
      </c>
      <c r="T37" s="1">
        <f>VLOOKUP($H37,output!$A$10:$N$2201,T$1-$J$1+2)</f>
        <v>5.3929999999999998</v>
      </c>
      <c r="U37" s="1">
        <f>VLOOKUP($H37,output!$A$10:$N$2201,U$1-$J$1+2)</f>
        <v>5.09</v>
      </c>
      <c r="V37" s="1">
        <f>VLOOKUP($H37,output!$A$10:$N$2201,V$1-$J$1+2)</f>
        <v>4.7949999999999999</v>
      </c>
    </row>
    <row r="38" spans="8:22" x14ac:dyDescent="0.25">
      <c r="H38" t="s">
        <v>17</v>
      </c>
      <c r="I38" t="s">
        <v>122</v>
      </c>
      <c r="J38" s="1">
        <f>VLOOKUP($H38,output!$A$10:$N$2201,J$1-$J$1+2)</f>
        <v>2.8959999999999999</v>
      </c>
      <c r="K38" s="1">
        <f>VLOOKUP($H38,output!$A$10:$N$2201,K$1-$J$1+2)</f>
        <v>3.6419999999999999</v>
      </c>
      <c r="L38" s="1">
        <f>VLOOKUP($H38,output!$A$10:$N$2201,L$1-$J$1+2)</f>
        <v>4.3680000000000003</v>
      </c>
      <c r="M38" s="1">
        <f>VLOOKUP($H38,output!$A$10:$N$2201,M$1-$J$1+2)</f>
        <v>5.0540000000000003</v>
      </c>
      <c r="N38" s="1">
        <f>VLOOKUP($H38,output!$A$10:$N$2201,N$1-$J$1+2)</f>
        <v>5.7990000000000004</v>
      </c>
      <c r="O38" s="1">
        <f>VLOOKUP($H38,output!$A$10:$N$2201,O$1-$J$1+2)</f>
        <v>6.5110000000000001</v>
      </c>
      <c r="P38" s="1">
        <f>VLOOKUP($H38,output!$A$10:$N$2201,P$1-$J$1+2)</f>
        <v>7.1840000000000002</v>
      </c>
      <c r="Q38" s="1">
        <f>VLOOKUP($H38,output!$A$10:$N$2201,Q$1-$J$1+2)</f>
        <v>7.7560000000000002</v>
      </c>
      <c r="R38" s="1">
        <f>VLOOKUP($H38,output!$A$10:$N$2201,R$1-$J$1+2)</f>
        <v>8.4190000000000005</v>
      </c>
      <c r="S38" s="1">
        <f>VLOOKUP($H38,output!$A$10:$N$2201,S$1-$J$1+2)</f>
        <v>9.0389999999999997</v>
      </c>
      <c r="T38" s="1">
        <f>VLOOKUP($H38,output!$A$10:$N$2201,T$1-$J$1+2)</f>
        <v>9.6920000000000002</v>
      </c>
      <c r="U38" s="1">
        <f>VLOOKUP($H38,output!$A$10:$N$2201,U$1-$J$1+2)</f>
        <v>10.382</v>
      </c>
      <c r="V38" s="1">
        <f>VLOOKUP($H38,output!$A$10:$N$2201,V$1-$J$1+2)</f>
        <v>11.106999999999999</v>
      </c>
    </row>
    <row r="39" spans="8:22" x14ac:dyDescent="0.25">
      <c r="H39" t="s">
        <v>18</v>
      </c>
      <c r="I39" t="s">
        <v>119</v>
      </c>
      <c r="J39" s="1">
        <f>VLOOKUP($H39,output!$A$10:$N$2201,J$1-$J$1+2)</f>
        <v>3.0489999999999999</v>
      </c>
      <c r="K39" s="1">
        <f>VLOOKUP($H39,output!$A$10:$N$2201,K$1-$J$1+2)</f>
        <v>2.7879999999999998</v>
      </c>
      <c r="L39" s="1">
        <f>VLOOKUP($H39,output!$A$10:$N$2201,L$1-$J$1+2)</f>
        <v>2.528</v>
      </c>
      <c r="M39" s="1">
        <f>VLOOKUP($H39,output!$A$10:$N$2201,M$1-$J$1+2)</f>
        <v>2.27</v>
      </c>
      <c r="N39" s="1">
        <f>VLOOKUP($H39,output!$A$10:$N$2201,N$1-$J$1+2)</f>
        <v>2.0129999999999999</v>
      </c>
      <c r="O39" s="1">
        <f>VLOOKUP($H39,output!$A$10:$N$2201,O$1-$J$1+2)</f>
        <v>1.758</v>
      </c>
      <c r="P39" s="1">
        <f>VLOOKUP($H39,output!$A$10:$N$2201,P$1-$J$1+2)</f>
        <v>1.504</v>
      </c>
      <c r="Q39" s="1">
        <f>VLOOKUP($H39,output!$A$10:$N$2201,Q$1-$J$1+2)</f>
        <v>1.2509999999999999</v>
      </c>
      <c r="R39" s="1">
        <f>VLOOKUP($H39,output!$A$10:$N$2201,R$1-$J$1+2)</f>
        <v>0.999</v>
      </c>
      <c r="S39" s="1">
        <f>VLOOKUP($H39,output!$A$10:$N$2201,S$1-$J$1+2)</f>
        <v>0.748</v>
      </c>
      <c r="T39" s="1">
        <f>VLOOKUP($H39,output!$A$10:$N$2201,T$1-$J$1+2)</f>
        <v>0.497</v>
      </c>
      <c r="U39" s="1">
        <f>VLOOKUP($H39,output!$A$10:$N$2201,U$1-$J$1+2)</f>
        <v>0.248</v>
      </c>
      <c r="V39" s="1">
        <f>VLOOKUP($H39,output!$A$10:$N$2201,V$1-$J$1+2)</f>
        <v>0</v>
      </c>
    </row>
    <row r="40" spans="8:22" x14ac:dyDescent="0.25">
      <c r="H40" t="s">
        <v>19</v>
      </c>
      <c r="I40" t="s">
        <v>120</v>
      </c>
      <c r="J40" s="1">
        <f>VLOOKUP($H40,output!$A$10:$N$2201,J$1-$J$1+2)</f>
        <v>2.7330000000000001</v>
      </c>
      <c r="K40" s="1">
        <f>VLOOKUP($H40,output!$A$10:$N$2201,K$1-$J$1+2)</f>
        <v>2.7629999999999999</v>
      </c>
      <c r="L40" s="1">
        <f>VLOOKUP($H40,output!$A$10:$N$2201,L$1-$J$1+2)</f>
        <v>2.782</v>
      </c>
      <c r="M40" s="1">
        <f>VLOOKUP($H40,output!$A$10:$N$2201,M$1-$J$1+2)</f>
        <v>2.8</v>
      </c>
      <c r="N40" s="1">
        <f>VLOOKUP($H40,output!$A$10:$N$2201,N$1-$J$1+2)</f>
        <v>2.82</v>
      </c>
      <c r="O40" s="1">
        <f>VLOOKUP($H40,output!$A$10:$N$2201,O$1-$J$1+2)</f>
        <v>2.84</v>
      </c>
      <c r="P40" s="1">
        <f>VLOOKUP($H40,output!$A$10:$N$2201,P$1-$J$1+2)</f>
        <v>2.86</v>
      </c>
      <c r="Q40" s="1">
        <f>VLOOKUP($H40,output!$A$10:$N$2201,Q$1-$J$1+2)</f>
        <v>2.8759999999999999</v>
      </c>
      <c r="R40" s="1">
        <f>VLOOKUP($H40,output!$A$10:$N$2201,R$1-$J$1+2)</f>
        <v>2.8929999999999998</v>
      </c>
      <c r="S40" s="1">
        <f>VLOOKUP($H40,output!$A$10:$N$2201,S$1-$J$1+2)</f>
        <v>2.91</v>
      </c>
      <c r="T40" s="1">
        <f>VLOOKUP($H40,output!$A$10:$N$2201,T$1-$J$1+2)</f>
        <v>2.927</v>
      </c>
      <c r="U40" s="1">
        <f>VLOOKUP($H40,output!$A$10:$N$2201,U$1-$J$1+2)</f>
        <v>2.944</v>
      </c>
      <c r="V40" s="1">
        <f>VLOOKUP($H40,output!$A$10:$N$2201,V$1-$J$1+2)</f>
        <v>2.9620000000000002</v>
      </c>
    </row>
    <row r="41" spans="8:22" x14ac:dyDescent="0.25">
      <c r="H41" t="s">
        <v>20</v>
      </c>
      <c r="I41" t="s">
        <v>118</v>
      </c>
      <c r="J41" s="1">
        <f>VLOOKUP($H41,output!$A$10:$N$2201,J$1-$J$1+2)</f>
        <v>11.808999999999999</v>
      </c>
      <c r="K41" s="1">
        <f>VLOOKUP($H41,output!$A$10:$N$2201,K$1-$J$1+2)</f>
        <v>11.673999999999999</v>
      </c>
      <c r="L41" s="1">
        <f>VLOOKUP($H41,output!$A$10:$N$2201,L$1-$J$1+2)</f>
        <v>11.648</v>
      </c>
      <c r="M41" s="1">
        <f>VLOOKUP($H41,output!$A$10:$N$2201,M$1-$J$1+2)</f>
        <v>11.49</v>
      </c>
      <c r="N41" s="1">
        <f>VLOOKUP($H41,output!$A$10:$N$2201,N$1-$J$1+2)</f>
        <v>11.327999999999999</v>
      </c>
      <c r="O41" s="1">
        <f>VLOOKUP($H41,output!$A$10:$N$2201,O$1-$J$1+2)</f>
        <v>11.067</v>
      </c>
      <c r="P41" s="1">
        <f>VLOOKUP($H41,output!$A$10:$N$2201,P$1-$J$1+2)</f>
        <v>10.695</v>
      </c>
      <c r="Q41" s="1">
        <f>VLOOKUP($H41,output!$A$10:$N$2201,Q$1-$J$1+2)</f>
        <v>10.223000000000001</v>
      </c>
      <c r="R41" s="1">
        <f>VLOOKUP($H41,output!$A$10:$N$2201,R$1-$J$1+2)</f>
        <v>9.8780000000000001</v>
      </c>
      <c r="S41" s="1">
        <f>VLOOKUP($H41,output!$A$10:$N$2201,S$1-$J$1+2)</f>
        <v>9.4220000000000006</v>
      </c>
      <c r="T41" s="1">
        <f>VLOOKUP($H41,output!$A$10:$N$2201,T$1-$J$1+2)</f>
        <v>8.9879999999999995</v>
      </c>
      <c r="U41" s="1">
        <f>VLOOKUP($H41,output!$A$10:$N$2201,U$1-$J$1+2)</f>
        <v>8.5860000000000003</v>
      </c>
      <c r="V41" s="1">
        <f>VLOOKUP($H41,output!$A$10:$N$2201,V$1-$J$1+2)</f>
        <v>8.2080000000000002</v>
      </c>
    </row>
    <row r="42" spans="8:22" x14ac:dyDescent="0.25">
      <c r="H42" t="s">
        <v>21</v>
      </c>
      <c r="I42" t="s">
        <v>117</v>
      </c>
      <c r="J42" s="1">
        <f>VLOOKUP($H42,output!$A$10:$N$2201,J$1-$J$1+2)</f>
        <v>1.421</v>
      </c>
      <c r="K42" s="1">
        <f>VLOOKUP($H42,output!$A$10:$N$2201,K$1-$J$1+2)</f>
        <v>1.5649999999999999</v>
      </c>
      <c r="L42" s="1">
        <f>VLOOKUP($H42,output!$A$10:$N$2201,L$1-$J$1+2)</f>
        <v>1.619</v>
      </c>
      <c r="M42" s="1">
        <f>VLOOKUP($H42,output!$A$10:$N$2201,M$1-$J$1+2)</f>
        <v>1.8680000000000001</v>
      </c>
      <c r="N42" s="1">
        <f>VLOOKUP($H42,output!$A$10:$N$2201,N$1-$J$1+2)</f>
        <v>2.0470000000000002</v>
      </c>
      <c r="O42" s="1">
        <f>VLOOKUP($H42,output!$A$10:$N$2201,O$1-$J$1+2)</f>
        <v>2.375</v>
      </c>
      <c r="P42" s="1">
        <f>VLOOKUP($H42,output!$A$10:$N$2201,P$1-$J$1+2)</f>
        <v>2.8740000000000001</v>
      </c>
      <c r="Q42" s="1">
        <f>VLOOKUP($H42,output!$A$10:$N$2201,Q$1-$J$1+2)</f>
        <v>3.5219999999999998</v>
      </c>
      <c r="R42" s="1">
        <f>VLOOKUP($H42,output!$A$10:$N$2201,R$1-$J$1+2)</f>
        <v>3.919</v>
      </c>
      <c r="S42" s="1">
        <f>VLOOKUP($H42,output!$A$10:$N$2201,S$1-$J$1+2)</f>
        <v>4.4909999999999997</v>
      </c>
      <c r="T42" s="1">
        <f>VLOOKUP($H42,output!$A$10:$N$2201,T$1-$J$1+2)</f>
        <v>4.9969999999999999</v>
      </c>
      <c r="U42" s="1">
        <f>VLOOKUP($H42,output!$A$10:$N$2201,U$1-$J$1+2)</f>
        <v>5.4219999999999997</v>
      </c>
      <c r="V42" s="1">
        <f>VLOOKUP($H42,output!$A$10:$N$2201,V$1-$J$1+2)</f>
        <v>5.7770000000000001</v>
      </c>
    </row>
    <row r="48" spans="8:22" x14ac:dyDescent="0.25">
      <c r="H48" t="s">
        <v>24</v>
      </c>
      <c r="I48" t="s">
        <v>123</v>
      </c>
      <c r="J48" s="1">
        <f>VLOOKUP($H48,output!$A$10:$N$2201,J$1-$J$1+2)</f>
        <v>0</v>
      </c>
      <c r="K48" s="1">
        <f>VLOOKUP($H48,output!$A$10:$N$2201,K$1-$J$1+2)</f>
        <v>5.8999999999999997E-2</v>
      </c>
      <c r="L48" s="1">
        <f>VLOOKUP($H48,output!$A$10:$N$2201,L$1-$J$1+2)</f>
        <v>1.4E-2</v>
      </c>
      <c r="M48" s="1">
        <f>VLOOKUP($H48,output!$A$10:$N$2201,M$1-$J$1+2)</f>
        <v>6.0000000000000001E-3</v>
      </c>
      <c r="N48" s="1">
        <f>VLOOKUP($H48,output!$A$10:$N$2201,N$1-$J$1+2)</f>
        <v>3.0000000000000001E-3</v>
      </c>
      <c r="O48" s="1">
        <f>VLOOKUP($H48,output!$A$10:$N$2201,O$1-$J$1+2)</f>
        <v>2E-3</v>
      </c>
      <c r="P48" s="1">
        <f>VLOOKUP($H48,output!$A$10:$N$2201,P$1-$J$1+2)</f>
        <v>2E-3</v>
      </c>
      <c r="Q48" s="1">
        <f>VLOOKUP($H48,output!$A$10:$N$2201,Q$1-$J$1+2)</f>
        <v>1E-3</v>
      </c>
      <c r="R48" s="1">
        <f>VLOOKUP($H48,output!$A$10:$N$2201,R$1-$J$1+2)</f>
        <v>2E-3</v>
      </c>
      <c r="S48" s="1">
        <f>VLOOKUP($H48,output!$A$10:$N$2201,S$1-$J$1+2)</f>
        <v>2E-3</v>
      </c>
      <c r="T48" s="1">
        <f>VLOOKUP($H48,output!$A$10:$N$2201,T$1-$J$1+2)</f>
        <v>2E-3</v>
      </c>
      <c r="U48" s="1">
        <f>VLOOKUP($H48,output!$A$10:$N$2201,U$1-$J$1+2)</f>
        <v>1E-3</v>
      </c>
      <c r="V48" s="1">
        <f>VLOOKUP($H48,output!$A$10:$N$2201,V$1-$J$1+2)</f>
        <v>1E-3</v>
      </c>
    </row>
    <row r="49" spans="8:22" x14ac:dyDescent="0.25">
      <c r="H49" t="s">
        <v>25</v>
      </c>
      <c r="I49" t="s">
        <v>124</v>
      </c>
      <c r="J49" s="1">
        <f>VLOOKUP($H49,output!$A$10:$N$2201,J$1-$J$1+2)</f>
        <v>0</v>
      </c>
      <c r="K49" s="1">
        <f>VLOOKUP($H49,output!$A$10:$N$2201,K$1-$J$1+2)</f>
        <v>0.77300000000000002</v>
      </c>
      <c r="L49" s="1">
        <f>VLOOKUP($H49,output!$A$10:$N$2201,L$1-$J$1+2)</f>
        <v>0.31</v>
      </c>
      <c r="M49" s="1">
        <f>VLOOKUP($H49,output!$A$10:$N$2201,M$1-$J$1+2)</f>
        <v>0.24099999999999999</v>
      </c>
      <c r="N49" s="1">
        <f>VLOOKUP($H49,output!$A$10:$N$2201,N$1-$J$1+2)</f>
        <v>0.27900000000000003</v>
      </c>
      <c r="O49" s="1">
        <f>VLOOKUP($H49,output!$A$10:$N$2201,O$1-$J$1+2)</f>
        <v>0.23</v>
      </c>
      <c r="P49" s="1">
        <f>VLOOKUP($H49,output!$A$10:$N$2201,P$1-$J$1+2)</f>
        <v>0.182</v>
      </c>
      <c r="Q49" s="1">
        <f>VLOOKUP($H49,output!$A$10:$N$2201,Q$1-$J$1+2)</f>
        <v>0.16</v>
      </c>
      <c r="R49" s="1">
        <f>VLOOKUP($H49,output!$A$10:$N$2201,R$1-$J$1+2)</f>
        <v>0.14299999999999999</v>
      </c>
      <c r="S49" s="1">
        <f>VLOOKUP($H49,output!$A$10:$N$2201,S$1-$J$1+2)</f>
        <v>0.14199999999999999</v>
      </c>
      <c r="T49" s="1">
        <f>VLOOKUP($H49,output!$A$10:$N$2201,T$1-$J$1+2)</f>
        <v>0.125</v>
      </c>
      <c r="U49" s="1">
        <f>VLOOKUP($H49,output!$A$10:$N$2201,U$1-$J$1+2)</f>
        <v>0.11</v>
      </c>
      <c r="V49" s="1">
        <f>VLOOKUP($H49,output!$A$10:$N$2201,V$1-$J$1+2)</f>
        <v>9.7000000000000003E-2</v>
      </c>
    </row>
    <row r="50" spans="8:22" x14ac:dyDescent="0.25">
      <c r="H50" t="s">
        <v>26</v>
      </c>
      <c r="I50" t="s">
        <v>125</v>
      </c>
      <c r="J50" s="1">
        <f>VLOOKUP($H50,output!$A$10:$N$2201,J$1-$J$1+2)</f>
        <v>0</v>
      </c>
      <c r="K50" s="1">
        <f>VLOOKUP($H50,output!$A$10:$N$2201,K$1-$J$1+2)</f>
        <v>61.33</v>
      </c>
      <c r="L50" s="1">
        <f>VLOOKUP($H50,output!$A$10:$N$2201,L$1-$J$1+2)</f>
        <v>40.121000000000002</v>
      </c>
      <c r="M50" s="1">
        <f>VLOOKUP($H50,output!$A$10:$N$2201,M$1-$J$1+2)</f>
        <v>29.405000000000001</v>
      </c>
      <c r="N50" s="1">
        <f>VLOOKUP($H50,output!$A$10:$N$2201,N$1-$J$1+2)</f>
        <v>29.236999999999998</v>
      </c>
      <c r="O50" s="1">
        <f>VLOOKUP($H50,output!$A$10:$N$2201,O$1-$J$1+2)</f>
        <v>22.59</v>
      </c>
      <c r="P50" s="1">
        <f>VLOOKUP($H50,output!$A$10:$N$2201,P$1-$J$1+2)</f>
        <v>17.082999999999998</v>
      </c>
      <c r="Q50" s="1">
        <f>VLOOKUP($H50,output!$A$10:$N$2201,Q$1-$J$1+2)</f>
        <v>13.109</v>
      </c>
      <c r="R50" s="1">
        <f>VLOOKUP($H50,output!$A$10:$N$2201,R$1-$J$1+2)</f>
        <v>12.311</v>
      </c>
      <c r="S50" s="1">
        <f>VLOOKUP($H50,output!$A$10:$N$2201,S$1-$J$1+2)</f>
        <v>9.9390000000000001</v>
      </c>
      <c r="T50" s="1">
        <f>VLOOKUP($H50,output!$A$10:$N$2201,T$1-$J$1+2)</f>
        <v>8.3919999999999995</v>
      </c>
      <c r="U50" s="1">
        <f>VLOOKUP($H50,output!$A$10:$N$2201,U$1-$J$1+2)</f>
        <v>7.2089999999999996</v>
      </c>
      <c r="V50" s="1">
        <f>VLOOKUP($H50,output!$A$10:$N$2201,V$1-$J$1+2)</f>
        <v>6.1890000000000001</v>
      </c>
    </row>
    <row r="51" spans="8:22" x14ac:dyDescent="0.25">
      <c r="H51" t="s">
        <v>27</v>
      </c>
      <c r="I51" t="s">
        <v>126</v>
      </c>
      <c r="J51" s="1">
        <f>VLOOKUP($H51,output!$A$10:$N$2201,J$1-$J$1+2)</f>
        <v>0</v>
      </c>
      <c r="K51" s="1">
        <f>VLOOKUP($H51,output!$A$10:$N$2201,K$1-$J$1+2)</f>
        <v>251.61500000000001</v>
      </c>
      <c r="L51" s="1">
        <f>VLOOKUP($H51,output!$A$10:$N$2201,L$1-$J$1+2)</f>
        <v>184.15899999999999</v>
      </c>
      <c r="M51" s="1">
        <f>VLOOKUP($H51,output!$A$10:$N$2201,M$1-$J$1+2)</f>
        <v>210.072</v>
      </c>
      <c r="N51" s="1">
        <f>VLOOKUP($H51,output!$A$10:$N$2201,N$1-$J$1+2)</f>
        <v>221.142</v>
      </c>
      <c r="O51" s="1">
        <f>VLOOKUP($H51,output!$A$10:$N$2201,O$1-$J$1+2)</f>
        <v>192.73400000000001</v>
      </c>
      <c r="P51" s="1">
        <f>VLOOKUP($H51,output!$A$10:$N$2201,P$1-$J$1+2)</f>
        <v>166.14699999999999</v>
      </c>
      <c r="Q51" s="1">
        <f>VLOOKUP($H51,output!$A$10:$N$2201,Q$1-$J$1+2)</f>
        <v>168.64699999999999</v>
      </c>
      <c r="R51" s="1">
        <f>VLOOKUP($H51,output!$A$10:$N$2201,R$1-$J$1+2)</f>
        <v>168.32599999999999</v>
      </c>
      <c r="S51" s="1">
        <f>VLOOKUP($H51,output!$A$10:$N$2201,S$1-$J$1+2)</f>
        <v>156.03399999999999</v>
      </c>
      <c r="T51" s="1">
        <f>VLOOKUP($H51,output!$A$10:$N$2201,T$1-$J$1+2)</f>
        <v>144.17099999999999</v>
      </c>
      <c r="U51" s="1">
        <f>VLOOKUP($H51,output!$A$10:$N$2201,U$1-$J$1+2)</f>
        <v>132.35599999999999</v>
      </c>
      <c r="V51" s="1">
        <f>VLOOKUP($H51,output!$A$10:$N$2201,V$1-$J$1+2)</f>
        <v>122.339</v>
      </c>
    </row>
    <row r="52" spans="8:22" x14ac:dyDescent="0.25">
      <c r="H52" t="s">
        <v>28</v>
      </c>
      <c r="I52" t="s">
        <v>127</v>
      </c>
      <c r="J52" s="1">
        <f>VLOOKUP($H52,output!$A$10:$N$2201,J$1-$J$1+2)</f>
        <v>0</v>
      </c>
      <c r="K52" s="1">
        <f>VLOOKUP($H52,output!$A$10:$N$2201,K$1-$J$1+2)</f>
        <v>354.06599999999997</v>
      </c>
      <c r="L52" s="1">
        <f>VLOOKUP($H52,output!$A$10:$N$2201,L$1-$J$1+2)</f>
        <v>275.01600000000002</v>
      </c>
      <c r="M52" s="1">
        <f>VLOOKUP($H52,output!$A$10:$N$2201,M$1-$J$1+2)</f>
        <v>332.51100000000002</v>
      </c>
      <c r="N52" s="1">
        <f>VLOOKUP($H52,output!$A$10:$N$2201,N$1-$J$1+2)</f>
        <v>348.66500000000002</v>
      </c>
      <c r="O52" s="1">
        <f>VLOOKUP($H52,output!$A$10:$N$2201,O$1-$J$1+2)</f>
        <v>341.08800000000002</v>
      </c>
      <c r="P52" s="1">
        <f>VLOOKUP($H52,output!$A$10:$N$2201,P$1-$J$1+2)</f>
        <v>331.27100000000002</v>
      </c>
      <c r="Q52" s="1">
        <f>VLOOKUP($H52,output!$A$10:$N$2201,Q$1-$J$1+2)</f>
        <v>362.798</v>
      </c>
      <c r="R52" s="1">
        <f>VLOOKUP($H52,output!$A$10:$N$2201,R$1-$J$1+2)</f>
        <v>439.12200000000001</v>
      </c>
      <c r="S52" s="1">
        <f>VLOOKUP($H52,output!$A$10:$N$2201,S$1-$J$1+2)</f>
        <v>422.20699999999999</v>
      </c>
      <c r="T52" s="1">
        <f>VLOOKUP($H52,output!$A$10:$N$2201,T$1-$J$1+2)</f>
        <v>417.22699999999998</v>
      </c>
      <c r="U52" s="1">
        <f>VLOOKUP($H52,output!$A$10:$N$2201,U$1-$J$1+2)</f>
        <v>412.24</v>
      </c>
      <c r="V52" s="1">
        <f>VLOOKUP($H52,output!$A$10:$N$2201,V$1-$J$1+2)</f>
        <v>408.51</v>
      </c>
    </row>
    <row r="53" spans="8:22" x14ac:dyDescent="0.25">
      <c r="H53" t="s">
        <v>29</v>
      </c>
      <c r="I53" t="s">
        <v>128</v>
      </c>
      <c r="J53" s="1">
        <f>VLOOKUP($H53,output!$A$10:$N$2201,J$1-$J$1+2)</f>
        <v>0</v>
      </c>
      <c r="K53" s="1">
        <f>VLOOKUP($H53,output!$A$10:$N$2201,K$1-$J$1+2)</f>
        <v>385.95299999999997</v>
      </c>
      <c r="L53" s="1">
        <f>VLOOKUP($H53,output!$A$10:$N$2201,L$1-$J$1+2)</f>
        <v>333.73599999999999</v>
      </c>
      <c r="M53" s="1">
        <f>VLOOKUP($H53,output!$A$10:$N$2201,M$1-$J$1+2)</f>
        <v>470.83</v>
      </c>
      <c r="N53" s="1">
        <f>VLOOKUP($H53,output!$A$10:$N$2201,N$1-$J$1+2)</f>
        <v>468.452</v>
      </c>
      <c r="O53" s="1">
        <f>VLOOKUP($H53,output!$A$10:$N$2201,O$1-$J$1+2)</f>
        <v>549.61</v>
      </c>
      <c r="P53" s="1">
        <f>VLOOKUP($H53,output!$A$10:$N$2201,P$1-$J$1+2)</f>
        <v>624.923</v>
      </c>
      <c r="Q53" s="1">
        <f>VLOOKUP($H53,output!$A$10:$N$2201,Q$1-$J$1+2)</f>
        <v>694.25400000000002</v>
      </c>
      <c r="R53" s="1">
        <f>VLOOKUP($H53,output!$A$10:$N$2201,R$1-$J$1+2)</f>
        <v>754.02700000000004</v>
      </c>
      <c r="S53" s="1">
        <f>VLOOKUP($H53,output!$A$10:$N$2201,S$1-$J$1+2)</f>
        <v>801.86900000000003</v>
      </c>
      <c r="T53" s="1">
        <f>VLOOKUP($H53,output!$A$10:$N$2201,T$1-$J$1+2)</f>
        <v>753.399</v>
      </c>
      <c r="U53" s="1">
        <f>VLOOKUP($H53,output!$A$10:$N$2201,U$1-$J$1+2)</f>
        <v>713.75400000000002</v>
      </c>
      <c r="V53" s="1">
        <f>VLOOKUP($H53,output!$A$10:$N$2201,V$1-$J$1+2)</f>
        <v>668.20299999999997</v>
      </c>
    </row>
    <row r="55" spans="8:22" x14ac:dyDescent="0.25">
      <c r="I55" t="s">
        <v>148</v>
      </c>
      <c r="K55" s="3">
        <f>SUM(K48:K52)/SUM(K48:K53)</f>
        <v>0.63374979597569181</v>
      </c>
      <c r="L55" s="3">
        <f t="shared" ref="L55:V55" si="5">SUM(L48:L52)/SUM(L48:L53)</f>
        <v>0.59952769284675456</v>
      </c>
      <c r="M55" s="3">
        <f t="shared" si="5"/>
        <v>0.54860914708095854</v>
      </c>
      <c r="N55" s="3">
        <f t="shared" si="5"/>
        <v>0.56128333792230223</v>
      </c>
      <c r="O55" s="3">
        <f t="shared" si="5"/>
        <v>0.50317919754414453</v>
      </c>
      <c r="P55" s="3">
        <f t="shared" si="5"/>
        <v>0.45163336866712062</v>
      </c>
      <c r="Q55" s="3">
        <f t="shared" si="5"/>
        <v>0.43965183955369347</v>
      </c>
      <c r="R55" s="3">
        <f t="shared" si="5"/>
        <v>0.45119005248444061</v>
      </c>
      <c r="S55" s="3">
        <f t="shared" si="5"/>
        <v>0.42319591596274758</v>
      </c>
      <c r="T55" s="3">
        <f t="shared" si="5"/>
        <v>0.43067339924855441</v>
      </c>
      <c r="U55" s="3">
        <f t="shared" si="5"/>
        <v>0.43606627319917507</v>
      </c>
      <c r="V55" s="3">
        <f t="shared" si="5"/>
        <v>0.4456306483072397</v>
      </c>
    </row>
    <row r="56" spans="8:22" x14ac:dyDescent="0.25">
      <c r="I56" t="s">
        <v>149</v>
      </c>
      <c r="K56" s="3">
        <f>SUM(K48:K51)/SUM(K48:K53)</f>
        <v>0.29775876924945627</v>
      </c>
      <c r="L56" s="3">
        <f t="shared" ref="L56:V56" si="6">SUM(L48:L51)/SUM(L48:L53)</f>
        <v>0.26951746912483981</v>
      </c>
      <c r="M56" s="3">
        <f t="shared" si="6"/>
        <v>0.22982652087837285</v>
      </c>
      <c r="N56" s="3">
        <f t="shared" si="6"/>
        <v>0.23475010723202763</v>
      </c>
      <c r="O56" s="3">
        <f t="shared" si="6"/>
        <v>0.19485217680568842</v>
      </c>
      <c r="P56" s="3">
        <f t="shared" si="6"/>
        <v>0.16094481611220701</v>
      </c>
      <c r="Q56" s="3">
        <f t="shared" si="6"/>
        <v>0.14682933955571123</v>
      </c>
      <c r="R56" s="3">
        <f t="shared" si="6"/>
        <v>0.13158011574089234</v>
      </c>
      <c r="S56" s="3">
        <f t="shared" si="6"/>
        <v>0.11949204175247609</v>
      </c>
      <c r="T56" s="3">
        <f t="shared" si="6"/>
        <v>0.115384382868491</v>
      </c>
      <c r="U56" s="3">
        <f t="shared" si="6"/>
        <v>0.11035736013336808</v>
      </c>
      <c r="V56" s="3">
        <f t="shared" si="6"/>
        <v>0.10671354697724043</v>
      </c>
    </row>
    <row r="60" spans="8:22" x14ac:dyDescent="0.25">
      <c r="H60" t="s">
        <v>48</v>
      </c>
      <c r="I60" t="s">
        <v>129</v>
      </c>
      <c r="J60" s="1">
        <f>VLOOKUP($H60,output!$A$10:$N$2201,J$1-$J$1+2)</f>
        <v>0</v>
      </c>
      <c r="K60" s="1">
        <f>VLOOKUP($H60,output!$A$10:$N$2201,K$1-$J$1+2)</f>
        <v>66.858999999999995</v>
      </c>
      <c r="L60" s="1">
        <f>VLOOKUP($H60,output!$A$10:$N$2201,L$1-$J$1+2)</f>
        <v>51</v>
      </c>
      <c r="M60" s="1">
        <f>VLOOKUP($H60,output!$A$10:$N$2201,M$1-$J$1+2)</f>
        <v>50.872</v>
      </c>
      <c r="N60" s="1">
        <f>VLOOKUP($H60,output!$A$10:$N$2201,N$1-$J$1+2)</f>
        <v>55.295000000000002</v>
      </c>
      <c r="O60" s="1">
        <f>VLOOKUP($H60,output!$A$10:$N$2201,O$1-$J$1+2)</f>
        <v>54.615000000000002</v>
      </c>
      <c r="P60" s="1">
        <f>VLOOKUP($H60,output!$A$10:$N$2201,P$1-$J$1+2)</f>
        <v>53.884</v>
      </c>
      <c r="Q60" s="1">
        <f>VLOOKUP($H60,output!$A$10:$N$2201,Q$1-$J$1+2)</f>
        <v>57.445999999999998</v>
      </c>
      <c r="R60" s="1">
        <f>VLOOKUP($H60,output!$A$10:$N$2201,R$1-$J$1+2)</f>
        <v>56.115000000000002</v>
      </c>
      <c r="S60" s="1">
        <f>VLOOKUP($H60,output!$A$10:$N$2201,S$1-$J$1+2)</f>
        <v>58.914000000000001</v>
      </c>
      <c r="T60" s="1">
        <f>VLOOKUP($H60,output!$A$10:$N$2201,T$1-$J$1+2)</f>
        <v>57.405000000000001</v>
      </c>
      <c r="U60" s="1">
        <f>VLOOKUP($H60,output!$A$10:$N$2201,U$1-$J$1+2)</f>
        <v>55.917999999999999</v>
      </c>
      <c r="V60" s="1">
        <f>VLOOKUP($H60,output!$A$10:$N$2201,V$1-$J$1+2)</f>
        <v>54.484999999999999</v>
      </c>
    </row>
    <row r="61" spans="8:22" x14ac:dyDescent="0.25">
      <c r="H61" t="s">
        <v>49</v>
      </c>
      <c r="I61" t="s">
        <v>130</v>
      </c>
      <c r="J61" s="1">
        <f>VLOOKUP($H61,output!$A$10:$N$2201,J$1-$J$1+2)</f>
        <v>0</v>
      </c>
      <c r="K61" s="1">
        <f>VLOOKUP($H61,output!$A$10:$N$2201,K$1-$J$1+2)</f>
        <v>75.745999999999995</v>
      </c>
      <c r="L61" s="1">
        <f>VLOOKUP($H61,output!$A$10:$N$2201,L$1-$J$1+2)</f>
        <v>60.488</v>
      </c>
      <c r="M61" s="1">
        <f>VLOOKUP($H61,output!$A$10:$N$2201,M$1-$J$1+2)</f>
        <v>89.875</v>
      </c>
      <c r="N61" s="1">
        <f>VLOOKUP($H61,output!$A$10:$N$2201,N$1-$J$1+2)</f>
        <v>75.798000000000002</v>
      </c>
      <c r="O61" s="1">
        <f>VLOOKUP($H61,output!$A$10:$N$2201,O$1-$J$1+2)</f>
        <v>64.471999999999994</v>
      </c>
      <c r="P61" s="1">
        <f>VLOOKUP($H61,output!$A$10:$N$2201,P$1-$J$1+2)</f>
        <v>55.584000000000003</v>
      </c>
      <c r="Q61" s="1">
        <f>VLOOKUP($H61,output!$A$10:$N$2201,Q$1-$J$1+2)</f>
        <v>48.606000000000002</v>
      </c>
      <c r="R61" s="1">
        <f>VLOOKUP($H61,output!$A$10:$N$2201,R$1-$J$1+2)</f>
        <v>235.9</v>
      </c>
      <c r="S61" s="1">
        <f>VLOOKUP($H61,output!$A$10:$N$2201,S$1-$J$1+2)</f>
        <v>192.02699999999999</v>
      </c>
      <c r="T61" s="1">
        <f>VLOOKUP($H61,output!$A$10:$N$2201,T$1-$J$1+2)</f>
        <v>156.03399999999999</v>
      </c>
      <c r="U61" s="1">
        <f>VLOOKUP($H61,output!$A$10:$N$2201,U$1-$J$1+2)</f>
        <v>127.49</v>
      </c>
      <c r="V61" s="1">
        <f>VLOOKUP($H61,output!$A$10:$N$2201,V$1-$J$1+2)</f>
        <v>104.876</v>
      </c>
    </row>
    <row r="62" spans="8:22" x14ac:dyDescent="0.25">
      <c r="H62" t="s">
        <v>50</v>
      </c>
      <c r="I62" t="s">
        <v>133</v>
      </c>
      <c r="J62" s="1">
        <f>VLOOKUP($H62,output!$A$10:$N$2201,J$1-$J$1+2)</f>
        <v>0</v>
      </c>
      <c r="K62" s="1">
        <f>VLOOKUP($H62,output!$A$10:$N$2201,K$1-$J$1+2)</f>
        <v>15.24</v>
      </c>
      <c r="L62" s="1">
        <f>VLOOKUP($H62,output!$A$10:$N$2201,L$1-$J$1+2)</f>
        <v>61.817999999999998</v>
      </c>
      <c r="M62" s="1">
        <f>VLOOKUP($H62,output!$A$10:$N$2201,M$1-$J$1+2)</f>
        <v>139.63300000000001</v>
      </c>
      <c r="N62" s="1">
        <f>VLOOKUP($H62,output!$A$10:$N$2201,N$1-$J$1+2)</f>
        <v>181.31</v>
      </c>
      <c r="O62" s="1">
        <f>VLOOKUP($H62,output!$A$10:$N$2201,O$1-$J$1+2)</f>
        <v>224.56700000000001</v>
      </c>
      <c r="P62" s="1">
        <f>VLOOKUP($H62,output!$A$10:$N$2201,P$1-$J$1+2)</f>
        <v>234.96600000000001</v>
      </c>
      <c r="Q62" s="1">
        <f>VLOOKUP($H62,output!$A$10:$N$2201,Q$1-$J$1+2)</f>
        <v>238.434</v>
      </c>
      <c r="R62" s="1">
        <f>VLOOKUP($H62,output!$A$10:$N$2201,R$1-$J$1+2)</f>
        <v>253.65299999999999</v>
      </c>
      <c r="S62" s="1">
        <f>VLOOKUP($H62,output!$A$10:$N$2201,S$1-$J$1+2)</f>
        <v>245.87799999999999</v>
      </c>
      <c r="T62" s="1">
        <f>VLOOKUP($H62,output!$A$10:$N$2201,T$1-$J$1+2)</f>
        <v>265.50299999999999</v>
      </c>
      <c r="U62" s="1">
        <f>VLOOKUP($H62,output!$A$10:$N$2201,U$1-$J$1+2)</f>
        <v>311.76100000000002</v>
      </c>
      <c r="V62" s="1">
        <f>VLOOKUP($H62,output!$A$10:$N$2201,V$1-$J$1+2)</f>
        <v>325.79500000000002</v>
      </c>
    </row>
    <row r="63" spans="8:22" x14ac:dyDescent="0.25">
      <c r="H63" t="s">
        <v>51</v>
      </c>
      <c r="I63" t="s">
        <v>131</v>
      </c>
      <c r="J63" s="1">
        <f>VLOOKUP($H63,output!$A$10:$N$2201,J$1-$J$1+2)</f>
        <v>0</v>
      </c>
      <c r="K63" s="1">
        <f>VLOOKUP($H63,output!$A$10:$N$2201,K$1-$J$1+2)</f>
        <v>373.90800000000002</v>
      </c>
      <c r="L63" s="1">
        <f>VLOOKUP($H63,output!$A$10:$N$2201,L$1-$J$1+2)</f>
        <v>194.506</v>
      </c>
      <c r="M63" s="1">
        <f>VLOOKUP($H63,output!$A$10:$N$2201,M$1-$J$1+2)</f>
        <v>207.952</v>
      </c>
      <c r="N63" s="1">
        <f>VLOOKUP($H63,output!$A$10:$N$2201,N$1-$J$1+2)</f>
        <v>230.08699999999999</v>
      </c>
      <c r="O63" s="1">
        <f>VLOOKUP($H63,output!$A$10:$N$2201,O$1-$J$1+2)</f>
        <v>222.751</v>
      </c>
      <c r="P63" s="1">
        <f>VLOOKUP($H63,output!$A$10:$N$2201,P$1-$J$1+2)</f>
        <v>216.001</v>
      </c>
      <c r="Q63" s="1">
        <f>VLOOKUP($H63,output!$A$10:$N$2201,Q$1-$J$1+2)</f>
        <v>266.178</v>
      </c>
      <c r="R63" s="1">
        <f>VLOOKUP($H63,output!$A$10:$N$2201,R$1-$J$1+2)</f>
        <v>254.64</v>
      </c>
      <c r="S63" s="1">
        <f>VLOOKUP($H63,output!$A$10:$N$2201,S$1-$J$1+2)</f>
        <v>255.42400000000001</v>
      </c>
      <c r="T63" s="1">
        <f>VLOOKUP($H63,output!$A$10:$N$2201,T$1-$J$1+2)</f>
        <v>242.626</v>
      </c>
      <c r="U63" s="1">
        <f>VLOOKUP($H63,output!$A$10:$N$2201,U$1-$J$1+2)</f>
        <v>230.38900000000001</v>
      </c>
      <c r="V63" s="1">
        <f>VLOOKUP($H63,output!$A$10:$N$2201,V$1-$J$1+2)</f>
        <v>218.739</v>
      </c>
    </row>
    <row r="64" spans="8:22" x14ac:dyDescent="0.25">
      <c r="H64" t="s">
        <v>52</v>
      </c>
      <c r="I64" t="s">
        <v>132</v>
      </c>
      <c r="J64" s="1">
        <f>VLOOKUP($H64,output!$A$10:$N$2201,J$1-$J$1+2)</f>
        <v>0</v>
      </c>
      <c r="K64" s="1">
        <f>VLOOKUP($H64,output!$A$10:$N$2201,K$1-$J$1+2)</f>
        <v>54.747</v>
      </c>
      <c r="L64" s="1">
        <f>VLOOKUP($H64,output!$A$10:$N$2201,L$1-$J$1+2)</f>
        <v>37.575000000000003</v>
      </c>
      <c r="M64" s="1">
        <f>VLOOKUP($H64,output!$A$10:$N$2201,M$1-$J$1+2)</f>
        <v>88.86</v>
      </c>
      <c r="N64" s="1">
        <f>VLOOKUP($H64,output!$A$10:$N$2201,N$1-$J$1+2)</f>
        <v>71.555999999999997</v>
      </c>
      <c r="O64" s="1">
        <f>VLOOKUP($H64,output!$A$10:$N$2201,O$1-$J$1+2)</f>
        <v>57.828000000000003</v>
      </c>
      <c r="P64" s="1">
        <f>VLOOKUP($H64,output!$A$10:$N$2201,P$1-$J$1+2)</f>
        <v>47.110999999999997</v>
      </c>
      <c r="Q64" s="1">
        <f>VLOOKUP($H64,output!$A$10:$N$2201,Q$1-$J$1+2)</f>
        <v>38.75</v>
      </c>
      <c r="R64" s="1">
        <f>VLOOKUP($H64,output!$A$10:$N$2201,R$1-$J$1+2)</f>
        <v>66.132000000000005</v>
      </c>
      <c r="S64" s="1">
        <f>VLOOKUP($H64,output!$A$10:$N$2201,S$1-$J$1+2)</f>
        <v>52.555999999999997</v>
      </c>
      <c r="T64" s="1">
        <f>VLOOKUP($H64,output!$A$10:$N$2201,T$1-$J$1+2)</f>
        <v>41.511000000000003</v>
      </c>
      <c r="U64" s="1">
        <f>VLOOKUP($H64,output!$A$10:$N$2201,U$1-$J$1+2)</f>
        <v>33.067</v>
      </c>
      <c r="V64" s="1">
        <f>VLOOKUP($H64,output!$A$10:$N$2201,V$1-$J$1+2)</f>
        <v>26.641999999999999</v>
      </c>
    </row>
    <row r="65" spans="8:22" x14ac:dyDescent="0.25">
      <c r="H65" t="s">
        <v>53</v>
      </c>
      <c r="I65" t="s">
        <v>134</v>
      </c>
      <c r="J65" s="1">
        <f>VLOOKUP($H65,output!$A$10:$N$2201,J$1-$J$1+2)</f>
        <v>0</v>
      </c>
      <c r="K65" s="1">
        <f>VLOOKUP($H65,output!$A$10:$N$2201,K$1-$J$1+2)</f>
        <v>14.484</v>
      </c>
      <c r="L65" s="1">
        <f>VLOOKUP($H65,output!$A$10:$N$2201,L$1-$J$1+2)</f>
        <v>29.827999999999999</v>
      </c>
      <c r="M65" s="1">
        <f>VLOOKUP($H65,output!$A$10:$N$2201,M$1-$J$1+2)</f>
        <v>47.03</v>
      </c>
      <c r="N65" s="1">
        <f>VLOOKUP($H65,output!$A$10:$N$2201,N$1-$J$1+2)</f>
        <v>59.106000000000002</v>
      </c>
      <c r="O65" s="1">
        <f>VLOOKUP($H65,output!$A$10:$N$2201,O$1-$J$1+2)</f>
        <v>61.26</v>
      </c>
      <c r="P65" s="1">
        <f>VLOOKUP($H65,output!$A$10:$N$2201,P$1-$J$1+2)</f>
        <v>56.506999999999998</v>
      </c>
      <c r="Q65" s="1">
        <f>VLOOKUP($H65,output!$A$10:$N$2201,Q$1-$J$1+2)</f>
        <v>61.023000000000003</v>
      </c>
      <c r="R65" s="1">
        <f>VLOOKUP($H65,output!$A$10:$N$2201,R$1-$J$1+2)</f>
        <v>68.090999999999994</v>
      </c>
      <c r="S65" s="1">
        <f>VLOOKUP($H65,output!$A$10:$N$2201,S$1-$J$1+2)</f>
        <v>75.900000000000006</v>
      </c>
      <c r="T65" s="1">
        <f>VLOOKUP($H65,output!$A$10:$N$2201,T$1-$J$1+2)</f>
        <v>89.632999999999996</v>
      </c>
      <c r="U65" s="1">
        <f>VLOOKUP($H65,output!$A$10:$N$2201,U$1-$J$1+2)</f>
        <v>108.262</v>
      </c>
      <c r="V65" s="1">
        <f>VLOOKUP($H65,output!$A$10:$N$2201,V$1-$J$1+2)</f>
        <v>100.738</v>
      </c>
    </row>
    <row r="72" spans="8:22" x14ac:dyDescent="0.25">
      <c r="H72" t="s">
        <v>58</v>
      </c>
      <c r="J72" s="1">
        <f>VLOOKUP($H72,output!$A$10:$N$2201,J$1-$J$1+2)</f>
        <v>0</v>
      </c>
      <c r="K72" s="1">
        <f>VLOOKUP($H72,output!$A$10:$N$2201,K$1-$J$1+2)</f>
        <v>15.007</v>
      </c>
      <c r="L72" s="1">
        <f>VLOOKUP($H72,output!$A$10:$N$2201,L$1-$J$1+2)</f>
        <v>14.005000000000001</v>
      </c>
      <c r="M72" s="1">
        <f>VLOOKUP($H72,output!$A$10:$N$2201,M$1-$J$1+2)</f>
        <v>12.917999999999999</v>
      </c>
      <c r="N72" s="1">
        <f>VLOOKUP($H72,output!$A$10:$N$2201,N$1-$J$1+2)</f>
        <v>13.324999999999999</v>
      </c>
      <c r="O72" s="1">
        <f>VLOOKUP($H72,output!$A$10:$N$2201,O$1-$J$1+2)</f>
        <v>12.468999999999999</v>
      </c>
      <c r="P72" s="1">
        <f>VLOOKUP($H72,output!$A$10:$N$2201,P$1-$J$1+2)</f>
        <v>11.518000000000001</v>
      </c>
      <c r="Q72" s="1">
        <f>VLOOKUP($H72,output!$A$10:$N$2201,Q$1-$J$1+2)</f>
        <v>10.638</v>
      </c>
      <c r="R72" s="1">
        <f>VLOOKUP($H72,output!$A$10:$N$2201,R$1-$J$1+2)</f>
        <v>11.907999999999999</v>
      </c>
      <c r="S72" s="1">
        <f>VLOOKUP($H72,output!$A$10:$N$2201,S$1-$J$1+2)</f>
        <v>10.952</v>
      </c>
      <c r="T72" s="1">
        <f>VLOOKUP($H72,output!$A$10:$N$2201,T$1-$J$1+2)</f>
        <v>11.246</v>
      </c>
      <c r="U72" s="1">
        <f>VLOOKUP($H72,output!$A$10:$N$2201,U$1-$J$1+2)</f>
        <v>11.61</v>
      </c>
      <c r="V72" s="1">
        <f>VLOOKUP($H72,output!$A$10:$N$2201,V$1-$J$1+2)</f>
        <v>11.923</v>
      </c>
    </row>
    <row r="73" spans="8:22" x14ac:dyDescent="0.25">
      <c r="H73" t="s">
        <v>59</v>
      </c>
      <c r="J73" s="1">
        <f>VLOOKUP($H73,output!$A$10:$N$2201,J$1-$J$1+2)</f>
        <v>0</v>
      </c>
      <c r="K73" s="1">
        <f>VLOOKUP($H73,output!$A$10:$N$2201,K$1-$J$1+2)</f>
        <v>7.3760000000000003</v>
      </c>
      <c r="L73" s="1">
        <f>VLOOKUP($H73,output!$A$10:$N$2201,L$1-$J$1+2)</f>
        <v>4.1319999999999997</v>
      </c>
      <c r="M73" s="1">
        <f>VLOOKUP($H73,output!$A$10:$N$2201,M$1-$J$1+2)</f>
        <v>6.282</v>
      </c>
      <c r="N73" s="1">
        <f>VLOOKUP($H73,output!$A$10:$N$2201,N$1-$J$1+2)</f>
        <v>6.8289999999999997</v>
      </c>
      <c r="O73" s="1">
        <f>VLOOKUP($H73,output!$A$10:$N$2201,O$1-$J$1+2)</f>
        <v>6.3689999999999998</v>
      </c>
      <c r="P73" s="1">
        <f>VLOOKUP($H73,output!$A$10:$N$2201,P$1-$J$1+2)</f>
        <v>5.806</v>
      </c>
      <c r="Q73" s="1">
        <f>VLOOKUP($H73,output!$A$10:$N$2201,Q$1-$J$1+2)</f>
        <v>7.2480000000000002</v>
      </c>
      <c r="R73" s="1">
        <f>VLOOKUP($H73,output!$A$10:$N$2201,R$1-$J$1+2)</f>
        <v>8.5500000000000007</v>
      </c>
      <c r="S73" s="1">
        <f>VLOOKUP($H73,output!$A$10:$N$2201,S$1-$J$1+2)</f>
        <v>8.2110000000000003</v>
      </c>
      <c r="T73" s="1">
        <f>VLOOKUP($H73,output!$A$10:$N$2201,T$1-$J$1+2)</f>
        <v>7.6509999999999998</v>
      </c>
      <c r="U73" s="1">
        <f>VLOOKUP($H73,output!$A$10:$N$2201,U$1-$J$1+2)</f>
        <v>7.3339999999999996</v>
      </c>
      <c r="V73" s="1">
        <f>VLOOKUP($H73,output!$A$10:$N$2201,V$1-$J$1+2)</f>
        <v>6.7160000000000002</v>
      </c>
    </row>
    <row r="74" spans="8:22" x14ac:dyDescent="0.25"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8:22" x14ac:dyDescent="0.25"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8:22" x14ac:dyDescent="0.25"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8:22" x14ac:dyDescent="0.25"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9" spans="8:22" x14ac:dyDescent="0.25">
      <c r="H79" t="s">
        <v>60</v>
      </c>
      <c r="I79" t="s">
        <v>139</v>
      </c>
      <c r="J79" s="1">
        <f>VLOOKUP($H79,output!$A$10:$N$2201,J$1-$J$1+2)</f>
        <v>0</v>
      </c>
      <c r="K79" s="1">
        <f>VLOOKUP($H79,output!$A$10:$N$2201,K$1-$J$1+2)</f>
        <v>22.382999999999999</v>
      </c>
      <c r="L79" s="1">
        <f>VLOOKUP($H79,output!$A$10:$N$2201,L$1-$J$1+2)</f>
        <v>18.137</v>
      </c>
      <c r="M79" s="1">
        <f>VLOOKUP($H79,output!$A$10:$N$2201,M$1-$J$1+2)</f>
        <v>19.199000000000002</v>
      </c>
      <c r="N79" s="1">
        <f>VLOOKUP($H79,output!$A$10:$N$2201,N$1-$J$1+2)</f>
        <v>20.154</v>
      </c>
      <c r="O79" s="1">
        <f>VLOOKUP($H79,output!$A$10:$N$2201,O$1-$J$1+2)</f>
        <v>18.838000000000001</v>
      </c>
      <c r="P79" s="1">
        <f>VLOOKUP($H79,output!$A$10:$N$2201,P$1-$J$1+2)</f>
        <v>17.324000000000002</v>
      </c>
      <c r="Q79" s="1">
        <f>VLOOKUP($H79,output!$A$10:$N$2201,Q$1-$J$1+2)</f>
        <v>17.885999999999999</v>
      </c>
      <c r="R79" s="1">
        <f>VLOOKUP($H79,output!$A$10:$N$2201,R$1-$J$1+2)</f>
        <v>20.459</v>
      </c>
      <c r="S79" s="1">
        <f>VLOOKUP($H79,output!$A$10:$N$2201,S$1-$J$1+2)</f>
        <v>19.163</v>
      </c>
      <c r="T79" s="1">
        <f>VLOOKUP($H79,output!$A$10:$N$2201,T$1-$J$1+2)</f>
        <v>18.896999999999998</v>
      </c>
      <c r="U79" s="1">
        <f>VLOOKUP($H79,output!$A$10:$N$2201,U$1-$J$1+2)</f>
        <v>18.943999999999999</v>
      </c>
      <c r="V79" s="1">
        <f>VLOOKUP($H79,output!$A$10:$N$2201,V$1-$J$1+2)</f>
        <v>18.638999999999999</v>
      </c>
    </row>
    <row r="80" spans="8:22" x14ac:dyDescent="0.25">
      <c r="H80" t="s">
        <v>61</v>
      </c>
      <c r="J80" s="1">
        <f>VLOOKUP($H80,output!$A$10:$N$2201,J$1-$J$1+2)</f>
        <v>0</v>
      </c>
      <c r="K80" s="1">
        <f>VLOOKUP($H80,output!$A$10:$N$2201,K$1-$J$1+2)</f>
        <v>5.1879999999999997</v>
      </c>
      <c r="L80" s="1">
        <f>VLOOKUP($H80,output!$A$10:$N$2201,L$1-$J$1+2)</f>
        <v>6.1059999999999999</v>
      </c>
      <c r="M80" s="1">
        <f>VLOOKUP($H80,output!$A$10:$N$2201,M$1-$J$1+2)</f>
        <v>5.907</v>
      </c>
      <c r="N80" s="1">
        <f>VLOOKUP($H80,output!$A$10:$N$2201,N$1-$J$1+2)</f>
        <v>6.2080000000000002</v>
      </c>
      <c r="O80" s="1">
        <f>VLOOKUP($H80,output!$A$10:$N$2201,O$1-$J$1+2)</f>
        <v>5.7569999999999997</v>
      </c>
      <c r="P80" s="1">
        <f>VLOOKUP($H80,output!$A$10:$N$2201,P$1-$J$1+2)</f>
        <v>5.282</v>
      </c>
      <c r="Q80" s="1">
        <f>VLOOKUP($H80,output!$A$10:$N$2201,Q$1-$J$1+2)</f>
        <v>5.3029999999999999</v>
      </c>
      <c r="R80" s="1">
        <f>VLOOKUP($H80,output!$A$10:$N$2201,R$1-$J$1+2)</f>
        <v>5.8</v>
      </c>
      <c r="S80" s="1">
        <f>VLOOKUP($H80,output!$A$10:$N$2201,S$1-$J$1+2)</f>
        <v>5.3819999999999997</v>
      </c>
      <c r="T80" s="1">
        <f>VLOOKUP($H80,output!$A$10:$N$2201,T$1-$J$1+2)</f>
        <v>5.3920000000000003</v>
      </c>
      <c r="U80" s="1">
        <f>VLOOKUP($H80,output!$A$10:$N$2201,U$1-$J$1+2)</f>
        <v>5.4409999999999998</v>
      </c>
      <c r="V80" s="1">
        <f>VLOOKUP($H80,output!$A$10:$N$2201,V$1-$J$1+2)</f>
        <v>5.4660000000000002</v>
      </c>
    </row>
    <row r="81" spans="8:22" x14ac:dyDescent="0.25">
      <c r="H81" t="s">
        <v>62</v>
      </c>
      <c r="J81" s="1">
        <f>VLOOKUP($H81,output!$A$10:$N$2201,J$1-$J$1+2)</f>
        <v>0</v>
      </c>
      <c r="K81" s="1">
        <f>VLOOKUP($H81,output!$A$10:$N$2201,K$1-$J$1+2)</f>
        <v>5.71</v>
      </c>
      <c r="L81" s="1">
        <f>VLOOKUP($H81,output!$A$10:$N$2201,L$1-$J$1+2)</f>
        <v>6.2889999999999997</v>
      </c>
      <c r="M81" s="1">
        <f>VLOOKUP($H81,output!$A$10:$N$2201,M$1-$J$1+2)</f>
        <v>7.9489999999999998</v>
      </c>
      <c r="N81" s="1">
        <f>VLOOKUP($H81,output!$A$10:$N$2201,N$1-$J$1+2)</f>
        <v>8.49</v>
      </c>
      <c r="O81" s="1">
        <f>VLOOKUP($H81,output!$A$10:$N$2201,O$1-$J$1+2)</f>
        <v>8.0649999999999995</v>
      </c>
      <c r="P81" s="1">
        <f>VLOOKUP($H81,output!$A$10:$N$2201,P$1-$J$1+2)</f>
        <v>7.52</v>
      </c>
      <c r="Q81" s="1">
        <f>VLOOKUP($H81,output!$A$10:$N$2201,Q$1-$J$1+2)</f>
        <v>8.5389999999999997</v>
      </c>
      <c r="R81" s="1">
        <f>VLOOKUP($H81,output!$A$10:$N$2201,R$1-$J$1+2)</f>
        <v>9.9339999999999993</v>
      </c>
      <c r="S81" s="1">
        <f>VLOOKUP($H81,output!$A$10:$N$2201,S$1-$J$1+2)</f>
        <v>9.5150000000000006</v>
      </c>
      <c r="T81" s="1">
        <f>VLOOKUP($H81,output!$A$10:$N$2201,T$1-$J$1+2)</f>
        <v>9.0960000000000001</v>
      </c>
      <c r="U81" s="1">
        <f>VLOOKUP($H81,output!$A$10:$N$2201,U$1-$J$1+2)</f>
        <v>8.91</v>
      </c>
      <c r="V81" s="1">
        <f>VLOOKUP($H81,output!$A$10:$N$2201,V$1-$J$1+2)</f>
        <v>8.4359999999999999</v>
      </c>
    </row>
    <row r="82" spans="8:22" x14ac:dyDescent="0.25">
      <c r="H82" t="s">
        <v>135</v>
      </c>
      <c r="I82" t="s">
        <v>135</v>
      </c>
      <c r="J82" s="1">
        <f t="shared" ref="J82:V82" si="7">SUM(J106:J109)</f>
        <v>0</v>
      </c>
      <c r="K82" s="1">
        <f t="shared" si="7"/>
        <v>0</v>
      </c>
      <c r="L82" s="1">
        <f t="shared" si="7"/>
        <v>0</v>
      </c>
      <c r="M82" s="1">
        <f t="shared" si="7"/>
        <v>4.5500000000000007</v>
      </c>
      <c r="N82" s="1">
        <f t="shared" si="7"/>
        <v>4.9000000000000004</v>
      </c>
      <c r="O82" s="1">
        <f t="shared" si="7"/>
        <v>5.6999999999999993</v>
      </c>
      <c r="P82" s="1">
        <f t="shared" si="7"/>
        <v>0</v>
      </c>
      <c r="Q82" s="1">
        <f t="shared" si="7"/>
        <v>0</v>
      </c>
      <c r="R82" s="1">
        <f t="shared" si="7"/>
        <v>0</v>
      </c>
      <c r="S82" s="1">
        <f t="shared" si="7"/>
        <v>0</v>
      </c>
      <c r="T82" s="1">
        <f t="shared" si="7"/>
        <v>0</v>
      </c>
      <c r="U82" s="1">
        <f t="shared" si="7"/>
        <v>0</v>
      </c>
      <c r="V82" s="1">
        <f t="shared" si="7"/>
        <v>0</v>
      </c>
    </row>
    <row r="83" spans="8:22" x14ac:dyDescent="0.25">
      <c r="I83" t="s">
        <v>145</v>
      </c>
      <c r="K83" s="3"/>
      <c r="L83" s="3"/>
      <c r="M83" s="3">
        <f t="shared" ref="M83:V83" si="8">M82/M79</f>
        <v>0.23699150997447785</v>
      </c>
      <c r="N83" s="3">
        <f t="shared" si="8"/>
        <v>0.24312791505408357</v>
      </c>
      <c r="O83" s="3">
        <f t="shared" si="8"/>
        <v>0.30257989170824923</v>
      </c>
      <c r="P83" s="3">
        <f t="shared" si="8"/>
        <v>0</v>
      </c>
      <c r="Q83" s="3">
        <f t="shared" si="8"/>
        <v>0</v>
      </c>
      <c r="R83" s="3">
        <f t="shared" si="8"/>
        <v>0</v>
      </c>
      <c r="S83" s="3">
        <f t="shared" si="8"/>
        <v>0</v>
      </c>
      <c r="T83" s="3">
        <f t="shared" si="8"/>
        <v>0</v>
      </c>
      <c r="U83" s="3">
        <f t="shared" si="8"/>
        <v>0</v>
      </c>
      <c r="V83" s="3">
        <f t="shared" si="8"/>
        <v>0</v>
      </c>
    </row>
    <row r="84" spans="8:22" x14ac:dyDescent="0.25">
      <c r="I84" t="s">
        <v>146</v>
      </c>
      <c r="K84" s="7"/>
      <c r="L84" s="7"/>
      <c r="M84" s="7">
        <f t="shared" ref="M84:V84" si="9">1-M83</f>
        <v>0.76300849002552218</v>
      </c>
      <c r="N84" s="7">
        <f t="shared" si="9"/>
        <v>0.7568720849459164</v>
      </c>
      <c r="O84" s="7">
        <f t="shared" si="9"/>
        <v>0.69742010829175083</v>
      </c>
      <c r="P84" s="7">
        <f t="shared" si="9"/>
        <v>1</v>
      </c>
      <c r="Q84" s="7">
        <f t="shared" si="9"/>
        <v>1</v>
      </c>
      <c r="R84" s="7">
        <f t="shared" si="9"/>
        <v>1</v>
      </c>
      <c r="S84" s="7">
        <f t="shared" si="9"/>
        <v>1</v>
      </c>
      <c r="T84" s="7">
        <f t="shared" si="9"/>
        <v>1</v>
      </c>
      <c r="U84" s="7">
        <f t="shared" si="9"/>
        <v>1</v>
      </c>
      <c r="V84" s="7">
        <f t="shared" si="9"/>
        <v>1</v>
      </c>
    </row>
    <row r="85" spans="8:22" x14ac:dyDescent="0.25">
      <c r="O85" s="1"/>
      <c r="P85" s="1"/>
      <c r="Q85" s="1"/>
      <c r="R85" s="1"/>
      <c r="S85" s="1"/>
      <c r="T85" s="1"/>
      <c r="U85" s="1"/>
      <c r="V85" s="1"/>
    </row>
    <row r="86" spans="8:22" x14ac:dyDescent="0.25">
      <c r="H86" t="s">
        <v>147</v>
      </c>
      <c r="I86" t="s">
        <v>139</v>
      </c>
      <c r="M86">
        <v>15</v>
      </c>
      <c r="N86">
        <v>17</v>
      </c>
      <c r="O86" s="1">
        <v>19</v>
      </c>
      <c r="P86" s="1">
        <f t="shared" ref="P86:V86" si="10">P79</f>
        <v>17.324000000000002</v>
      </c>
      <c r="Q86" s="1">
        <f t="shared" si="10"/>
        <v>17.885999999999999</v>
      </c>
      <c r="R86" s="1">
        <f t="shared" si="10"/>
        <v>20.459</v>
      </c>
      <c r="S86" s="1">
        <f t="shared" si="10"/>
        <v>19.163</v>
      </c>
      <c r="T86" s="1">
        <f t="shared" si="10"/>
        <v>18.896999999999998</v>
      </c>
      <c r="U86" s="1">
        <f t="shared" si="10"/>
        <v>18.943999999999999</v>
      </c>
      <c r="V86" s="1">
        <f t="shared" si="10"/>
        <v>18.638999999999999</v>
      </c>
    </row>
    <row r="87" spans="8:22" x14ac:dyDescent="0.25">
      <c r="I87" t="s">
        <v>135</v>
      </c>
      <c r="M87">
        <v>4.8</v>
      </c>
      <c r="N87">
        <v>5.5</v>
      </c>
      <c r="O87" s="1">
        <v>6</v>
      </c>
      <c r="P87" s="1">
        <f t="shared" ref="P87:V87" si="11">P82</f>
        <v>0</v>
      </c>
      <c r="Q87" s="1">
        <f t="shared" si="11"/>
        <v>0</v>
      </c>
      <c r="R87" s="1">
        <f t="shared" si="11"/>
        <v>0</v>
      </c>
      <c r="S87" s="1">
        <f t="shared" si="11"/>
        <v>0</v>
      </c>
      <c r="T87" s="1">
        <f t="shared" si="11"/>
        <v>0</v>
      </c>
      <c r="U87" s="1">
        <f t="shared" si="11"/>
        <v>0</v>
      </c>
      <c r="V87" s="1">
        <f t="shared" si="11"/>
        <v>0</v>
      </c>
    </row>
    <row r="90" spans="8:22" x14ac:dyDescent="0.25">
      <c r="H90" t="s">
        <v>63</v>
      </c>
      <c r="J90" s="1">
        <f>VLOOKUP($H90,output!$A$10:$N$2201,J$1-$J$1+2)</f>
        <v>0</v>
      </c>
      <c r="K90" s="1">
        <f>VLOOKUP($H90,output!$A$10:$N$2201,K$1-$J$1+2)</f>
        <v>2.6230000000000002</v>
      </c>
      <c r="L90" s="1">
        <f>VLOOKUP($H90,output!$A$10:$N$2201,L$1-$J$1+2)</f>
        <v>1.589</v>
      </c>
      <c r="M90" s="1">
        <f>VLOOKUP($H90,output!$A$10:$N$2201,M$1-$J$1+2)</f>
        <v>2.347</v>
      </c>
      <c r="N90" s="1">
        <f>VLOOKUP($H90,output!$A$10:$N$2201,N$1-$J$1+2)</f>
        <v>2.5430000000000001</v>
      </c>
      <c r="O90" s="1">
        <f>VLOOKUP($H90,output!$A$10:$N$2201,O$1-$J$1+2)</f>
        <v>2.4590000000000001</v>
      </c>
      <c r="P90" s="1">
        <f>VLOOKUP($H90,output!$A$10:$N$2201,P$1-$J$1+2)</f>
        <v>2.3010000000000002</v>
      </c>
      <c r="Q90" s="1">
        <f>VLOOKUP($H90,output!$A$10:$N$2201,Q$1-$J$1+2)</f>
        <v>2.6640000000000001</v>
      </c>
      <c r="R90" s="1">
        <f>VLOOKUP($H90,output!$A$10:$N$2201,R$1-$J$1+2)</f>
        <v>3.3149999999999999</v>
      </c>
      <c r="S90" s="1">
        <f>VLOOKUP($H90,output!$A$10:$N$2201,S$1-$J$1+2)</f>
        <v>3.1659999999999999</v>
      </c>
      <c r="T90" s="1">
        <f>VLOOKUP($H90,output!$A$10:$N$2201,T$1-$J$1+2)</f>
        <v>2.99</v>
      </c>
      <c r="U90" s="1">
        <f>VLOOKUP($H90,output!$A$10:$N$2201,U$1-$J$1+2)</f>
        <v>2.93</v>
      </c>
      <c r="V90" s="1">
        <f>VLOOKUP($H90,output!$A$10:$N$2201,V$1-$J$1+2)</f>
        <v>2.7410000000000001</v>
      </c>
    </row>
    <row r="91" spans="8:22" x14ac:dyDescent="0.25">
      <c r="H91" t="s">
        <v>64</v>
      </c>
      <c r="J91" s="1">
        <f>VLOOKUP($H91,output!$A$10:$N$2201,J$1-$J$1+2)</f>
        <v>0</v>
      </c>
      <c r="K91" s="1">
        <f>VLOOKUP($H91,output!$A$10:$N$2201,K$1-$J$1+2)</f>
        <v>11.736000000000001</v>
      </c>
      <c r="L91" s="1">
        <f>VLOOKUP($H91,output!$A$10:$N$2201,L$1-$J$1+2)</f>
        <v>14.01</v>
      </c>
      <c r="M91" s="1">
        <f>VLOOKUP($H91,output!$A$10:$N$2201,M$1-$J$1+2)</f>
        <v>14.01</v>
      </c>
      <c r="N91" s="1">
        <f>VLOOKUP($H91,output!$A$10:$N$2201,N$1-$J$1+2)</f>
        <v>14.01</v>
      </c>
      <c r="O91" s="1">
        <f>VLOOKUP($H91,output!$A$10:$N$2201,O$1-$J$1+2)</f>
        <v>14.01</v>
      </c>
      <c r="P91" s="1">
        <f>VLOOKUP($H91,output!$A$10:$N$2201,P$1-$J$1+2)</f>
        <v>14.01</v>
      </c>
      <c r="Q91" s="1">
        <f>VLOOKUP($H91,output!$A$10:$N$2201,Q$1-$J$1+2)</f>
        <v>9.6289999999999996</v>
      </c>
      <c r="R91" s="1">
        <f>VLOOKUP($H91,output!$A$10:$N$2201,R$1-$J$1+2)</f>
        <v>9.6289999999999996</v>
      </c>
      <c r="S91" s="1">
        <f>VLOOKUP($H91,output!$A$10:$N$2201,S$1-$J$1+2)</f>
        <v>9.6289999999999996</v>
      </c>
      <c r="T91" s="1">
        <f>VLOOKUP($H91,output!$A$10:$N$2201,T$1-$J$1+2)</f>
        <v>9.6289999999999996</v>
      </c>
      <c r="U91" s="1">
        <f>VLOOKUP($H91,output!$A$10:$N$2201,U$1-$J$1+2)</f>
        <v>9.6289999999999996</v>
      </c>
      <c r="V91" s="1">
        <f>VLOOKUP($H91,output!$A$10:$N$2201,V$1-$J$1+2)</f>
        <v>9.6289999999999996</v>
      </c>
    </row>
    <row r="92" spans="8:22" x14ac:dyDescent="0.25">
      <c r="H92" t="s">
        <v>7</v>
      </c>
      <c r="J92" s="1">
        <f>VLOOKUP($H92,output!$A$10:$N$2201,J$1-$J$1+2)</f>
        <v>20.02</v>
      </c>
      <c r="K92" s="1">
        <f>VLOOKUP($H92,output!$A$10:$N$2201,K$1-$J$1+2)</f>
        <v>19.600999999999999</v>
      </c>
      <c r="L92" s="1">
        <f>VLOOKUP($H92,output!$A$10:$N$2201,L$1-$J$1+2)</f>
        <v>19.574999999999999</v>
      </c>
      <c r="M92" s="1">
        <f>VLOOKUP($H92,output!$A$10:$N$2201,M$1-$J$1+2)</f>
        <v>19.088000000000001</v>
      </c>
      <c r="N92" s="1">
        <f>VLOOKUP($H92,output!$A$10:$N$2201,N$1-$J$1+2)</f>
        <v>18.257000000000001</v>
      </c>
      <c r="O92" s="1">
        <f>VLOOKUP($H92,output!$A$10:$N$2201,O$1-$J$1+2)</f>
        <v>17.594000000000001</v>
      </c>
      <c r="P92" s="1">
        <f>VLOOKUP($H92,output!$A$10:$N$2201,P$1-$J$1+2)</f>
        <v>16.811</v>
      </c>
      <c r="Q92" s="1">
        <f>VLOOKUP($H92,output!$A$10:$N$2201,Q$1-$J$1+2)</f>
        <v>15.885999999999999</v>
      </c>
      <c r="R92" s="1">
        <f>VLOOKUP($H92,output!$A$10:$N$2201,R$1-$J$1+2)</f>
        <v>15.006</v>
      </c>
      <c r="S92" s="1">
        <f>VLOOKUP($H92,output!$A$10:$N$2201,S$1-$J$1+2)</f>
        <v>14.026999999999999</v>
      </c>
      <c r="T92" s="1">
        <f>VLOOKUP($H92,output!$A$10:$N$2201,T$1-$J$1+2)</f>
        <v>13.111000000000001</v>
      </c>
      <c r="U92" s="1">
        <f>VLOOKUP($H92,output!$A$10:$N$2201,U$1-$J$1+2)</f>
        <v>12.26</v>
      </c>
      <c r="V92" s="1">
        <f>VLOOKUP($H92,output!$A$10:$N$2201,V$1-$J$1+2)</f>
        <v>11.457000000000001</v>
      </c>
    </row>
    <row r="93" spans="8:22" x14ac:dyDescent="0.25">
      <c r="H93" t="s">
        <v>8</v>
      </c>
      <c r="J93" s="1">
        <f>VLOOKUP($H93,output!$A$10:$N$2201,J$1-$J$1+2)</f>
        <v>10.044</v>
      </c>
      <c r="K93" s="1">
        <f>VLOOKUP($H93,output!$A$10:$N$2201,K$1-$J$1+2)</f>
        <v>9.0399999999999991</v>
      </c>
      <c r="L93" s="1">
        <f>VLOOKUP($H93,output!$A$10:$N$2201,L$1-$J$1+2)</f>
        <v>8.1820000000000004</v>
      </c>
      <c r="M93" s="1">
        <f>VLOOKUP($H93,output!$A$10:$N$2201,M$1-$J$1+2)</f>
        <v>7.23</v>
      </c>
      <c r="N93" s="1">
        <f>VLOOKUP($H93,output!$A$10:$N$2201,N$1-$J$1+2)</f>
        <v>6.14</v>
      </c>
      <c r="O93" s="1">
        <f>VLOOKUP($H93,output!$A$10:$N$2201,O$1-$J$1+2)</f>
        <v>5.2370000000000001</v>
      </c>
      <c r="P93" s="1">
        <f>VLOOKUP($H93,output!$A$10:$N$2201,P$1-$J$1+2)</f>
        <v>4.3789999999999996</v>
      </c>
      <c r="Q93" s="1">
        <f>VLOOKUP($H93,output!$A$10:$N$2201,Q$1-$J$1+2)</f>
        <v>3.5590000000000002</v>
      </c>
      <c r="R93" s="1">
        <f>VLOOKUP($H93,output!$A$10:$N$2201,R$1-$J$1+2)</f>
        <v>2.7570000000000001</v>
      </c>
      <c r="S93" s="1">
        <f>VLOOKUP($H93,output!$A$10:$N$2201,S$1-$J$1+2)</f>
        <v>1.996</v>
      </c>
      <c r="T93" s="1">
        <f>VLOOKUP($H93,output!$A$10:$N$2201,T$1-$J$1+2)</f>
        <v>1.2849999999999999</v>
      </c>
      <c r="U93" s="1">
        <f>VLOOKUP($H93,output!$A$10:$N$2201,U$1-$J$1+2)</f>
        <v>0.622</v>
      </c>
      <c r="V93" s="1">
        <f>VLOOKUP($H93,output!$A$10:$N$2201,V$1-$J$1+2)</f>
        <v>0</v>
      </c>
    </row>
    <row r="94" spans="8:22" x14ac:dyDescent="0.25">
      <c r="H94" t="s">
        <v>6</v>
      </c>
      <c r="J94" s="1">
        <f>VLOOKUP($H94,output!$A$10:$N$2201,J$1-$J$1+2)</f>
        <v>4.0209999999999999</v>
      </c>
      <c r="K94" s="1">
        <f>VLOOKUP($H94,output!$A$10:$N$2201,K$1-$J$1+2)</f>
        <v>3.9380000000000002</v>
      </c>
      <c r="L94" s="1">
        <f>VLOOKUP($H94,output!$A$10:$N$2201,L$1-$J$1+2)</f>
        <v>3.923</v>
      </c>
      <c r="M94" s="1">
        <f>VLOOKUP($H94,output!$A$10:$N$2201,M$1-$J$1+2)</f>
        <v>3.9079999999999999</v>
      </c>
      <c r="N94" s="1">
        <f>VLOOKUP($H94,output!$A$10:$N$2201,N$1-$J$1+2)</f>
        <v>3.915</v>
      </c>
      <c r="O94" s="1">
        <f>VLOOKUP($H94,output!$A$10:$N$2201,O$1-$J$1+2)</f>
        <v>3.9169999999999998</v>
      </c>
      <c r="P94" s="1">
        <f>VLOOKUP($H94,output!$A$10:$N$2201,P$1-$J$1+2)</f>
        <v>3.915</v>
      </c>
      <c r="Q94" s="1">
        <f>VLOOKUP($H94,output!$A$10:$N$2201,Q$1-$J$1+2)</f>
        <v>3.8889999999999998</v>
      </c>
      <c r="R94" s="1">
        <f>VLOOKUP($H94,output!$A$10:$N$2201,R$1-$J$1+2)</f>
        <v>3.8849999999999998</v>
      </c>
      <c r="S94" s="1">
        <f>VLOOKUP($H94,output!$A$10:$N$2201,S$1-$J$1+2)</f>
        <v>3.8730000000000002</v>
      </c>
      <c r="T94" s="1">
        <f>VLOOKUP($H94,output!$A$10:$N$2201,T$1-$J$1+2)</f>
        <v>3.871</v>
      </c>
      <c r="U94" s="1">
        <f>VLOOKUP($H94,output!$A$10:$N$2201,U$1-$J$1+2)</f>
        <v>3.8809999999999998</v>
      </c>
      <c r="V94" s="1">
        <f>VLOOKUP($H94,output!$A$10:$N$2201,V$1-$J$1+2)</f>
        <v>3.9009999999999998</v>
      </c>
    </row>
    <row r="95" spans="8:22" x14ac:dyDescent="0.25"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8:22" x14ac:dyDescent="0.25"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8:24" x14ac:dyDescent="0.25"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8:24" x14ac:dyDescent="0.25"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8:24" x14ac:dyDescent="0.25">
      <c r="H99" t="s">
        <v>68</v>
      </c>
      <c r="J99" s="1">
        <f>VLOOKUP($H99,output!$A$10:$N$2201,J$1-$J$1+2)</f>
        <v>0</v>
      </c>
      <c r="K99" s="1">
        <f>VLOOKUP($H99,output!$A$10:$N$2201,K$1-$J$1+2)</f>
        <v>3.097</v>
      </c>
      <c r="L99" s="1">
        <f>VLOOKUP($H99,output!$A$10:$N$2201,L$1-$J$1+2)</f>
        <v>0</v>
      </c>
      <c r="M99" s="1">
        <f>VLOOKUP($H99,output!$A$10:$N$2201,M$1-$J$1+2)</f>
        <v>0</v>
      </c>
      <c r="N99" s="1">
        <f>VLOOKUP($H99,output!$A$10:$N$2201,N$1-$J$1+2)</f>
        <v>0</v>
      </c>
      <c r="O99" s="1">
        <f>VLOOKUP($H99,output!$A$10:$N$2201,O$1-$J$1+2)</f>
        <v>0</v>
      </c>
      <c r="P99" s="1">
        <f>VLOOKUP($H99,output!$A$10:$N$2201,P$1-$J$1+2)</f>
        <v>0</v>
      </c>
      <c r="Q99" s="1">
        <f>VLOOKUP($H99,output!$A$10:$N$2201,Q$1-$J$1+2)</f>
        <v>0</v>
      </c>
      <c r="R99" s="1">
        <f>VLOOKUP($H99,output!$A$10:$N$2201,R$1-$J$1+2)</f>
        <v>0</v>
      </c>
      <c r="S99" s="1">
        <f>VLOOKUP($H99,output!$A$10:$N$2201,S$1-$J$1+2)</f>
        <v>0</v>
      </c>
      <c r="T99" s="1">
        <f>VLOOKUP($H99,output!$A$10:$N$2201,T$1-$J$1+2)</f>
        <v>0</v>
      </c>
      <c r="U99" s="1">
        <f>VLOOKUP($H99,output!$A$10:$N$2201,U$1-$J$1+2)</f>
        <v>0</v>
      </c>
      <c r="V99" s="1">
        <f>VLOOKUP($H99,output!$A$10:$N$2201,V$1-$J$1+2)</f>
        <v>0</v>
      </c>
      <c r="X99" s="1"/>
    </row>
    <row r="100" spans="8:24" x14ac:dyDescent="0.25">
      <c r="H100" t="s">
        <v>99</v>
      </c>
      <c r="J100" s="1">
        <f>VLOOKUP($H100,output!$A$10:$N$2201,J$1-$J$1+2)</f>
        <v>0</v>
      </c>
      <c r="K100" s="1">
        <f>VLOOKUP($H100,output!$A$10:$N$2201,K$1-$J$1+2)</f>
        <v>1.607</v>
      </c>
      <c r="L100" s="1">
        <f>VLOOKUP($H100,output!$A$10:$N$2201,L$1-$J$1+2)</f>
        <v>0</v>
      </c>
      <c r="M100" s="1">
        <f>VLOOKUP($H100,output!$A$10:$N$2201,M$1-$J$1+2)</f>
        <v>0</v>
      </c>
      <c r="N100" s="1">
        <f>VLOOKUP($H100,output!$A$10:$N$2201,N$1-$J$1+2)</f>
        <v>0</v>
      </c>
      <c r="O100" s="1">
        <f>VLOOKUP($H100,output!$A$10:$N$2201,O$1-$J$1+2)</f>
        <v>0</v>
      </c>
      <c r="P100" s="1">
        <f>VLOOKUP($H100,output!$A$10:$N$2201,P$1-$J$1+2)</f>
        <v>0</v>
      </c>
      <c r="Q100" s="1">
        <f>VLOOKUP($H100,output!$A$10:$N$2201,Q$1-$J$1+2)</f>
        <v>0</v>
      </c>
      <c r="R100" s="1">
        <f>VLOOKUP($H100,output!$A$10:$N$2201,R$1-$J$1+2)</f>
        <v>0</v>
      </c>
      <c r="S100" s="1">
        <f>VLOOKUP($H100,output!$A$10:$N$2201,S$1-$J$1+2)</f>
        <v>0</v>
      </c>
      <c r="T100" s="1">
        <f>VLOOKUP($H100,output!$A$10:$N$2201,T$1-$J$1+2)</f>
        <v>0</v>
      </c>
      <c r="U100" s="1">
        <f>VLOOKUP($H100,output!$A$10:$N$2201,U$1-$J$1+2)</f>
        <v>0</v>
      </c>
      <c r="V100" s="1">
        <f>VLOOKUP($H100,output!$A$10:$N$2201,V$1-$J$1+2)</f>
        <v>0</v>
      </c>
    </row>
    <row r="101" spans="8:24" x14ac:dyDescent="0.25">
      <c r="H101" t="s">
        <v>72</v>
      </c>
      <c r="J101" s="1">
        <f>VLOOKUP($H101,output!$A$10:$N$2201,J$1-$J$1+2)</f>
        <v>0</v>
      </c>
      <c r="K101" s="1">
        <f>VLOOKUP($H101,output!$A$10:$N$2201,K$1-$J$1+2)</f>
        <v>0.23799999999999999</v>
      </c>
      <c r="L101" s="1">
        <f>VLOOKUP($H101,output!$A$10:$N$2201,L$1-$J$1+2)</f>
        <v>0</v>
      </c>
      <c r="M101" s="1">
        <f>VLOOKUP($H101,output!$A$10:$N$2201,M$1-$J$1+2)</f>
        <v>0</v>
      </c>
      <c r="N101" s="1">
        <f>VLOOKUP($H101,output!$A$10:$N$2201,N$1-$J$1+2)</f>
        <v>0</v>
      </c>
      <c r="O101" s="1">
        <f>VLOOKUP($H101,output!$A$10:$N$2201,O$1-$J$1+2)</f>
        <v>0</v>
      </c>
      <c r="P101" s="1">
        <f>VLOOKUP($H101,output!$A$10:$N$2201,P$1-$J$1+2)</f>
        <v>0</v>
      </c>
      <c r="Q101" s="1">
        <f>VLOOKUP($H101,output!$A$10:$N$2201,Q$1-$J$1+2)</f>
        <v>0</v>
      </c>
      <c r="R101" s="1">
        <f>VLOOKUP($H101,output!$A$10:$N$2201,R$1-$J$1+2)</f>
        <v>0</v>
      </c>
      <c r="S101" s="1">
        <f>VLOOKUP($H101,output!$A$10:$N$2201,S$1-$J$1+2)</f>
        <v>0</v>
      </c>
      <c r="T101" s="1">
        <f>VLOOKUP($H101,output!$A$10:$N$2201,T$1-$J$1+2)</f>
        <v>0</v>
      </c>
      <c r="U101" s="1">
        <f>VLOOKUP($H101,output!$A$10:$N$2201,U$1-$J$1+2)</f>
        <v>0</v>
      </c>
      <c r="V101" s="1">
        <f>VLOOKUP($H101,output!$A$10:$N$2201,V$1-$J$1+2)</f>
        <v>0</v>
      </c>
    </row>
    <row r="102" spans="8:24" x14ac:dyDescent="0.25">
      <c r="H102" t="s">
        <v>74</v>
      </c>
      <c r="J102" s="1">
        <f>VLOOKUP($H102,output!$A$10:$N$2201,J$1-$J$1+2)</f>
        <v>0</v>
      </c>
      <c r="K102" s="1">
        <f>VLOOKUP($H102,output!$A$10:$N$2201,K$1-$J$1+2)</f>
        <v>53.749000000000002</v>
      </c>
      <c r="L102" s="1">
        <f>VLOOKUP($H102,output!$A$10:$N$2201,L$1-$J$1+2)</f>
        <v>0</v>
      </c>
      <c r="M102" s="1">
        <f>VLOOKUP($H102,output!$A$10:$N$2201,M$1-$J$1+2)</f>
        <v>0</v>
      </c>
      <c r="N102" s="1">
        <f>VLOOKUP($H102,output!$A$10:$N$2201,N$1-$J$1+2)</f>
        <v>0</v>
      </c>
      <c r="O102" s="1">
        <f>VLOOKUP($H102,output!$A$10:$N$2201,O$1-$J$1+2)</f>
        <v>0</v>
      </c>
      <c r="P102" s="1">
        <f>VLOOKUP($H102,output!$A$10:$N$2201,P$1-$J$1+2)</f>
        <v>0</v>
      </c>
      <c r="Q102" s="1">
        <f>VLOOKUP($H102,output!$A$10:$N$2201,Q$1-$J$1+2)</f>
        <v>0</v>
      </c>
      <c r="R102" s="1">
        <f>VLOOKUP($H102,output!$A$10:$N$2201,R$1-$J$1+2)</f>
        <v>0</v>
      </c>
      <c r="S102" s="1">
        <f>VLOOKUP($H102,output!$A$10:$N$2201,S$1-$J$1+2)</f>
        <v>0</v>
      </c>
      <c r="T102" s="1">
        <f>VLOOKUP($H102,output!$A$10:$N$2201,T$1-$J$1+2)</f>
        <v>0</v>
      </c>
      <c r="U102" s="1">
        <f>VLOOKUP($H102,output!$A$10:$N$2201,U$1-$J$1+2)</f>
        <v>0</v>
      </c>
      <c r="V102" s="1">
        <f>VLOOKUP($H102,output!$A$10:$N$2201,V$1-$J$1+2)</f>
        <v>0</v>
      </c>
    </row>
    <row r="103" spans="8:24" x14ac:dyDescent="0.25">
      <c r="H103" t="s">
        <v>94</v>
      </c>
      <c r="J103" s="1">
        <f>VLOOKUP($H103,output!$A$10:$N$2201,J$1-$J$1+2)</f>
        <v>0</v>
      </c>
      <c r="K103" s="1">
        <f>VLOOKUP($H103,output!$A$10:$N$2201,K$1-$J$1+2)</f>
        <v>53.749000000000002</v>
      </c>
      <c r="L103" s="1">
        <f>VLOOKUP($H103,output!$A$10:$N$2201,L$1-$J$1+2)</f>
        <v>0</v>
      </c>
      <c r="M103" s="1">
        <f>VLOOKUP($H103,output!$A$10:$N$2201,M$1-$J$1+2)</f>
        <v>0</v>
      </c>
      <c r="N103" s="1">
        <f>VLOOKUP($H103,output!$A$10:$N$2201,N$1-$J$1+2)</f>
        <v>0</v>
      </c>
      <c r="O103" s="1">
        <f>VLOOKUP($H103,output!$A$10:$N$2201,O$1-$J$1+2)</f>
        <v>0</v>
      </c>
      <c r="P103" s="1">
        <f>VLOOKUP($H103,output!$A$10:$N$2201,P$1-$J$1+2)</f>
        <v>0</v>
      </c>
      <c r="Q103" s="1">
        <f>VLOOKUP($H103,output!$A$10:$N$2201,Q$1-$J$1+2)</f>
        <v>0</v>
      </c>
      <c r="R103" s="1">
        <f>VLOOKUP($H103,output!$A$10:$N$2201,R$1-$J$1+2)</f>
        <v>0</v>
      </c>
      <c r="S103" s="1">
        <f>VLOOKUP($H103,output!$A$10:$N$2201,S$1-$J$1+2)</f>
        <v>0</v>
      </c>
      <c r="T103" s="1">
        <f>VLOOKUP($H103,output!$A$10:$N$2201,T$1-$J$1+2)</f>
        <v>0</v>
      </c>
      <c r="U103" s="1">
        <f>VLOOKUP($H103,output!$A$10:$N$2201,U$1-$J$1+2)</f>
        <v>0</v>
      </c>
      <c r="V103" s="1">
        <f>VLOOKUP($H103,output!$A$10:$N$2201,V$1-$J$1+2)</f>
        <v>0</v>
      </c>
    </row>
    <row r="104" spans="8:24" x14ac:dyDescent="0.25">
      <c r="H104" t="s">
        <v>75</v>
      </c>
      <c r="J104" s="1">
        <f>VLOOKUP($H104,output!$A$10:$N$2201,J$1-$J$1+2)</f>
        <v>0</v>
      </c>
      <c r="K104" s="1">
        <f>VLOOKUP($H104,output!$A$10:$N$2201,K$1-$J$1+2)</f>
        <v>0</v>
      </c>
      <c r="L104" s="1">
        <f>VLOOKUP($H104,output!$A$10:$N$2201,L$1-$J$1+2)</f>
        <v>0</v>
      </c>
      <c r="M104" s="1">
        <f>VLOOKUP($H104,output!$A$10:$N$2201,M$1-$J$1+2)</f>
        <v>0</v>
      </c>
      <c r="N104" s="1">
        <f>VLOOKUP($H104,output!$A$10:$N$2201,N$1-$J$1+2)</f>
        <v>0</v>
      </c>
      <c r="O104" s="1">
        <f>VLOOKUP($H104,output!$A$10:$N$2201,O$1-$J$1+2)</f>
        <v>0</v>
      </c>
      <c r="P104" s="1">
        <f>VLOOKUP($H104,output!$A$10:$N$2201,P$1-$J$1+2)</f>
        <v>0</v>
      </c>
      <c r="Q104" s="1">
        <f>VLOOKUP($H104,output!$A$10:$N$2201,Q$1-$J$1+2)</f>
        <v>0</v>
      </c>
      <c r="R104" s="1">
        <f>VLOOKUP($H104,output!$A$10:$N$2201,R$1-$J$1+2)</f>
        <v>0</v>
      </c>
      <c r="S104" s="1">
        <f>VLOOKUP($H104,output!$A$10:$N$2201,S$1-$J$1+2)</f>
        <v>0</v>
      </c>
      <c r="T104" s="1">
        <f>VLOOKUP($H104,output!$A$10:$N$2201,T$1-$J$1+2)</f>
        <v>0</v>
      </c>
      <c r="U104" s="1">
        <f>VLOOKUP($H104,output!$A$10:$N$2201,U$1-$J$1+2)</f>
        <v>0</v>
      </c>
      <c r="V104" s="1">
        <f>VLOOKUP($H104,output!$A$10:$N$2201,V$1-$J$1+2)</f>
        <v>0</v>
      </c>
    </row>
    <row r="106" spans="8:24" x14ac:dyDescent="0.25">
      <c r="H106" t="s">
        <v>147</v>
      </c>
      <c r="I106" t="s">
        <v>104</v>
      </c>
      <c r="J106" s="1"/>
      <c r="K106" s="1"/>
      <c r="L106" s="1"/>
      <c r="M106" s="1">
        <v>2</v>
      </c>
      <c r="N106" s="1">
        <v>2.2000000000000002</v>
      </c>
      <c r="O106" s="1">
        <v>2.4</v>
      </c>
      <c r="P106" s="1">
        <f t="shared" ref="P106:V106" si="12">P99</f>
        <v>0</v>
      </c>
      <c r="Q106" s="1">
        <f t="shared" si="12"/>
        <v>0</v>
      </c>
      <c r="R106" s="1">
        <f t="shared" si="12"/>
        <v>0</v>
      </c>
      <c r="S106" s="1">
        <f t="shared" si="12"/>
        <v>0</v>
      </c>
      <c r="T106" s="1">
        <f t="shared" si="12"/>
        <v>0</v>
      </c>
      <c r="U106" s="1">
        <f t="shared" si="12"/>
        <v>0</v>
      </c>
      <c r="V106" s="1">
        <f t="shared" si="12"/>
        <v>0</v>
      </c>
      <c r="X106" s="1">
        <f>AVERAGE(O106:V106)</f>
        <v>0.3</v>
      </c>
    </row>
    <row r="107" spans="8:24" x14ac:dyDescent="0.25">
      <c r="I107" t="s">
        <v>140</v>
      </c>
      <c r="J107" s="1"/>
      <c r="K107" s="1"/>
      <c r="L107" s="1"/>
      <c r="M107" s="1">
        <v>2</v>
      </c>
      <c r="N107" s="1">
        <v>2</v>
      </c>
      <c r="O107" s="1">
        <v>2.4500000000000002</v>
      </c>
      <c r="P107" s="1">
        <f t="shared" ref="P107:V107" si="13">P100</f>
        <v>0</v>
      </c>
      <c r="Q107" s="1">
        <f t="shared" si="13"/>
        <v>0</v>
      </c>
      <c r="R107" s="1">
        <f t="shared" si="13"/>
        <v>0</v>
      </c>
      <c r="S107" s="1">
        <f t="shared" si="13"/>
        <v>0</v>
      </c>
      <c r="T107" s="1">
        <f t="shared" si="13"/>
        <v>0</v>
      </c>
      <c r="U107" s="1">
        <f t="shared" si="13"/>
        <v>0</v>
      </c>
      <c r="V107" s="1">
        <f t="shared" si="13"/>
        <v>0</v>
      </c>
      <c r="X107" s="1">
        <f t="shared" ref="X107:X110" si="14">AVERAGE(O107:V107)</f>
        <v>0.30625000000000002</v>
      </c>
    </row>
    <row r="108" spans="8:24" x14ac:dyDescent="0.25">
      <c r="I108" t="s">
        <v>105</v>
      </c>
      <c r="J108" s="1"/>
      <c r="K108" s="1"/>
      <c r="L108" s="1"/>
      <c r="M108" s="1">
        <v>0.15</v>
      </c>
      <c r="N108" s="1">
        <v>0.2</v>
      </c>
      <c r="O108" s="1">
        <v>0.25</v>
      </c>
      <c r="P108" s="1">
        <f t="shared" ref="P108:V108" si="15">P101</f>
        <v>0</v>
      </c>
      <c r="Q108" s="1">
        <f t="shared" si="15"/>
        <v>0</v>
      </c>
      <c r="R108" s="1">
        <f t="shared" si="15"/>
        <v>0</v>
      </c>
      <c r="S108" s="1">
        <f t="shared" si="15"/>
        <v>0</v>
      </c>
      <c r="T108" s="1">
        <f t="shared" si="15"/>
        <v>0</v>
      </c>
      <c r="U108" s="1">
        <f t="shared" si="15"/>
        <v>0</v>
      </c>
      <c r="V108" s="1">
        <f t="shared" si="15"/>
        <v>0</v>
      </c>
      <c r="X108" s="1">
        <f t="shared" si="14"/>
        <v>3.125E-2</v>
      </c>
    </row>
    <row r="109" spans="8:24" x14ac:dyDescent="0.25">
      <c r="I109" t="s">
        <v>141</v>
      </c>
      <c r="J109" s="1"/>
      <c r="K109" s="1"/>
      <c r="L109" s="1"/>
      <c r="M109" s="1">
        <v>0.4</v>
      </c>
      <c r="N109" s="1">
        <v>0.5</v>
      </c>
      <c r="O109" s="1">
        <v>0.6</v>
      </c>
      <c r="P109" s="1">
        <f t="shared" ref="P109:V109" si="16">P102+P103</f>
        <v>0</v>
      </c>
      <c r="Q109" s="1">
        <f t="shared" si="16"/>
        <v>0</v>
      </c>
      <c r="R109" s="1">
        <f t="shared" si="16"/>
        <v>0</v>
      </c>
      <c r="S109" s="1">
        <f t="shared" si="16"/>
        <v>0</v>
      </c>
      <c r="T109" s="1">
        <f t="shared" si="16"/>
        <v>0</v>
      </c>
      <c r="U109" s="1">
        <f t="shared" si="16"/>
        <v>0</v>
      </c>
      <c r="V109" s="1">
        <f t="shared" si="16"/>
        <v>0</v>
      </c>
      <c r="X109" s="1">
        <f>AVERAGE(O109:V109)</f>
        <v>7.4999999999999997E-2</v>
      </c>
    </row>
    <row r="110" spans="8:24" x14ac:dyDescent="0.25">
      <c r="I110" t="s">
        <v>106</v>
      </c>
      <c r="J110" s="1"/>
      <c r="K110" s="1"/>
      <c r="L110" s="1"/>
      <c r="M110" s="1">
        <f t="shared" ref="M110:V110" si="17">M104</f>
        <v>0</v>
      </c>
      <c r="N110" s="1">
        <f t="shared" si="17"/>
        <v>0</v>
      </c>
      <c r="O110" s="1">
        <f t="shared" si="17"/>
        <v>0</v>
      </c>
      <c r="P110" s="1">
        <f t="shared" si="17"/>
        <v>0</v>
      </c>
      <c r="Q110" s="1">
        <f t="shared" si="17"/>
        <v>0</v>
      </c>
      <c r="R110" s="1">
        <f t="shared" si="17"/>
        <v>0</v>
      </c>
      <c r="S110" s="1">
        <f t="shared" si="17"/>
        <v>0</v>
      </c>
      <c r="T110" s="1">
        <f t="shared" si="17"/>
        <v>0</v>
      </c>
      <c r="U110" s="1">
        <f t="shared" si="17"/>
        <v>0</v>
      </c>
      <c r="V110" s="1">
        <f t="shared" si="17"/>
        <v>0</v>
      </c>
      <c r="X110" s="1">
        <f t="shared" si="14"/>
        <v>0</v>
      </c>
    </row>
    <row r="111" spans="8:24" x14ac:dyDescent="0.25">
      <c r="X111" s="1"/>
    </row>
    <row r="112" spans="8:24" x14ac:dyDescent="0.25">
      <c r="H112" t="s">
        <v>143</v>
      </c>
      <c r="K112" s="1">
        <f>K107+K108+K109</f>
        <v>0</v>
      </c>
      <c r="L112" s="1">
        <f t="shared" ref="L112:V112" si="18">L107+L108+L109</f>
        <v>0</v>
      </c>
      <c r="M112" s="1">
        <f>M107+M108+M109</f>
        <v>2.5499999999999998</v>
      </c>
      <c r="N112" s="1">
        <f>N107+N108+N109</f>
        <v>2.7</v>
      </c>
      <c r="O112" s="1">
        <f>O107+O108+O109</f>
        <v>3.3000000000000003</v>
      </c>
      <c r="P112" s="1">
        <f t="shared" si="18"/>
        <v>0</v>
      </c>
      <c r="Q112" s="1">
        <f t="shared" si="18"/>
        <v>0</v>
      </c>
      <c r="R112" s="1">
        <f t="shared" si="18"/>
        <v>0</v>
      </c>
      <c r="S112" s="1">
        <f t="shared" si="18"/>
        <v>0</v>
      </c>
      <c r="T112" s="1">
        <f t="shared" si="18"/>
        <v>0</v>
      </c>
      <c r="U112" s="1">
        <f t="shared" si="18"/>
        <v>0</v>
      </c>
      <c r="V112" s="1">
        <f t="shared" si="18"/>
        <v>0</v>
      </c>
      <c r="X112" s="1">
        <f>AVERAGE(P112:V112)</f>
        <v>0</v>
      </c>
    </row>
    <row r="113" spans="8:24" x14ac:dyDescent="0.25">
      <c r="H113" t="s">
        <v>104</v>
      </c>
      <c r="K113" s="1">
        <f>K106</f>
        <v>0</v>
      </c>
      <c r="L113" s="1">
        <f t="shared" ref="L113:V113" si="19">L106</f>
        <v>0</v>
      </c>
      <c r="M113" s="1">
        <f t="shared" si="19"/>
        <v>2</v>
      </c>
      <c r="N113" s="1">
        <f t="shared" si="19"/>
        <v>2.2000000000000002</v>
      </c>
      <c r="O113" s="1">
        <f t="shared" si="19"/>
        <v>2.4</v>
      </c>
      <c r="P113" s="1">
        <f t="shared" si="19"/>
        <v>0</v>
      </c>
      <c r="Q113" s="1">
        <f t="shared" si="19"/>
        <v>0</v>
      </c>
      <c r="R113" s="1">
        <f t="shared" si="19"/>
        <v>0</v>
      </c>
      <c r="S113" s="1">
        <f t="shared" si="19"/>
        <v>0</v>
      </c>
      <c r="T113" s="1">
        <f t="shared" si="19"/>
        <v>0</v>
      </c>
      <c r="U113" s="1">
        <f t="shared" si="19"/>
        <v>0</v>
      </c>
      <c r="V113" s="1">
        <f t="shared" si="19"/>
        <v>0</v>
      </c>
      <c r="X113" s="1">
        <f t="shared" ref="X113:X114" si="20">AVERAGE(P113:V113)</f>
        <v>0</v>
      </c>
    </row>
    <row r="114" spans="8:24" x14ac:dyDescent="0.25">
      <c r="H114" t="s">
        <v>144</v>
      </c>
      <c r="K114" s="1">
        <f>SUM(K106:K109)</f>
        <v>0</v>
      </c>
      <c r="L114" s="1">
        <f t="shared" ref="L114:V114" si="21">SUM(L106:L109)</f>
        <v>0</v>
      </c>
      <c r="M114" s="1">
        <f t="shared" si="21"/>
        <v>4.5500000000000007</v>
      </c>
      <c r="N114" s="1">
        <f t="shared" si="21"/>
        <v>4.9000000000000004</v>
      </c>
      <c r="O114" s="1">
        <f t="shared" si="21"/>
        <v>5.6999999999999993</v>
      </c>
      <c r="P114" s="1">
        <f t="shared" si="21"/>
        <v>0</v>
      </c>
      <c r="Q114" s="1">
        <f t="shared" si="21"/>
        <v>0</v>
      </c>
      <c r="R114" s="1">
        <f t="shared" si="21"/>
        <v>0</v>
      </c>
      <c r="S114" s="1">
        <f t="shared" si="21"/>
        <v>0</v>
      </c>
      <c r="T114" s="1">
        <f t="shared" si="21"/>
        <v>0</v>
      </c>
      <c r="U114" s="1">
        <f t="shared" si="21"/>
        <v>0</v>
      </c>
      <c r="V114" s="1">
        <f t="shared" si="21"/>
        <v>0</v>
      </c>
      <c r="X114" s="1">
        <f t="shared" si="20"/>
        <v>0</v>
      </c>
    </row>
    <row r="116" spans="8:24" x14ac:dyDescent="0.25"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8:24" x14ac:dyDescent="0.25"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8:24" x14ac:dyDescent="0.25"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8:24" x14ac:dyDescent="0.25">
      <c r="H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8:24" x14ac:dyDescent="0.25">
      <c r="H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8:24" x14ac:dyDescent="0.25">
      <c r="H121" s="8" t="s">
        <v>57</v>
      </c>
      <c r="J121" s="1">
        <f>VLOOKUP($H121,output!$A$10:$N$2201,J$1-$J$1+2)</f>
        <v>0</v>
      </c>
      <c r="K121" s="1">
        <f>VLOOKUP($H121,output!$A$10:$N$2201,K$1-$J$1+2)</f>
        <v>113.52800000000001</v>
      </c>
      <c r="L121" s="1">
        <f>VLOOKUP($H121,output!$A$10:$N$2201,L$1-$J$1+2)</f>
        <v>70.798000000000002</v>
      </c>
      <c r="M121" s="1">
        <f>VLOOKUP($H121,output!$A$10:$N$2201,M$1-$J$1+2)</f>
        <v>109.062</v>
      </c>
      <c r="N121" s="1">
        <f>VLOOKUP($H121,output!$A$10:$N$2201,N$1-$J$1+2)</f>
        <v>116.565</v>
      </c>
      <c r="O121" s="1">
        <f>VLOOKUP($H121,output!$A$10:$N$2201,O$1-$J$1+2)</f>
        <v>114.67100000000001</v>
      </c>
      <c r="P121" s="1">
        <f>VLOOKUP($H121,output!$A$10:$N$2201,P$1-$J$1+2)</f>
        <v>107.732</v>
      </c>
      <c r="Q121" s="1">
        <f>VLOOKUP($H121,output!$A$10:$N$2201,Q$1-$J$1+2)</f>
        <v>113.806</v>
      </c>
      <c r="R121" s="1">
        <f>VLOOKUP($H121,output!$A$10:$N$2201,R$1-$J$1+2)</f>
        <v>168.60400000000001</v>
      </c>
      <c r="S121" s="1">
        <f>VLOOKUP($H121,output!$A$10:$N$2201,S$1-$J$1+2)</f>
        <v>159.72900000000001</v>
      </c>
      <c r="T121" s="1">
        <f>VLOOKUP($H121,output!$A$10:$N$2201,T$1-$J$1+2)</f>
        <v>150.84299999999999</v>
      </c>
      <c r="U121" s="1">
        <f>VLOOKUP($H121,output!$A$10:$N$2201,U$1-$J$1+2)</f>
        <v>149.56200000000001</v>
      </c>
      <c r="V121" s="1">
        <f>VLOOKUP($H121,output!$A$10:$N$2201,V$1-$J$1+2)</f>
        <v>140.471</v>
      </c>
    </row>
    <row r="122" spans="8:24" x14ac:dyDescent="0.25">
      <c r="H122" s="8" t="s">
        <v>56</v>
      </c>
      <c r="I122" s="2"/>
      <c r="J122" s="1">
        <f>VLOOKUP($H122,output!$A$10:$N$2201,J$1-$J$1+2)</f>
        <v>0</v>
      </c>
      <c r="K122" s="1">
        <f>VLOOKUP($H122,output!$A$10:$N$2201,K$1-$J$1+2)</f>
        <v>495.41500000000002</v>
      </c>
      <c r="L122" s="1">
        <f>VLOOKUP($H122,output!$A$10:$N$2201,L$1-$J$1+2)</f>
        <v>352.84800000000001</v>
      </c>
      <c r="M122" s="1">
        <f>VLOOKUP($H122,output!$A$10:$N$2201,M$1-$J$1+2)</f>
        <v>484.40600000000001</v>
      </c>
      <c r="N122" s="1">
        <f>VLOOKUP($H122,output!$A$10:$N$2201,N$1-$J$1+2)</f>
        <v>523.27800000000002</v>
      </c>
      <c r="O122" s="1">
        <f>VLOOKUP($H122,output!$A$10:$N$2201,O$1-$J$1+2)</f>
        <v>540.44399999999996</v>
      </c>
      <c r="P122" s="1">
        <f>VLOOKUP($H122,output!$A$10:$N$2201,P$1-$J$1+2)</f>
        <v>529.28599999999994</v>
      </c>
      <c r="Q122" s="1">
        <f>VLOOKUP($H122,output!$A$10:$N$2201,Q$1-$J$1+2)</f>
        <v>544.101</v>
      </c>
      <c r="R122" s="1">
        <f>VLOOKUP($H122,output!$A$10:$N$2201,R$1-$J$1+2)</f>
        <v>724.91200000000003</v>
      </c>
      <c r="S122" s="1">
        <f>VLOOKUP($H122,output!$A$10:$N$2201,S$1-$J$1+2)</f>
        <v>681.30100000000004</v>
      </c>
      <c r="T122" s="1">
        <f>VLOOKUP($H122,output!$A$10:$N$2201,T$1-$J$1+2)</f>
        <v>662.89800000000002</v>
      </c>
      <c r="U122" s="1">
        <f>VLOOKUP($H122,output!$A$10:$N$2201,U$1-$J$1+2)</f>
        <v>677.99599999999998</v>
      </c>
      <c r="V122" s="1">
        <f>VLOOKUP($H122,output!$A$10:$N$2201,V$1-$J$1+2)</f>
        <v>654.73400000000004</v>
      </c>
    </row>
    <row r="123" spans="8:24" x14ac:dyDescent="0.25">
      <c r="H123" s="8" t="s">
        <v>55</v>
      </c>
      <c r="J123" s="1">
        <f>VLOOKUP($H123,output!$A$10:$N$2201,J$1-$J$1+2)</f>
        <v>0</v>
      </c>
      <c r="K123" s="1">
        <f>VLOOKUP($H123,output!$A$10:$N$2201,K$1-$J$1+2)</f>
        <v>189.63399999999999</v>
      </c>
      <c r="L123" s="1">
        <f>VLOOKUP($H123,output!$A$10:$N$2201,L$1-$J$1+2)</f>
        <v>112.911</v>
      </c>
      <c r="M123" s="1">
        <f>VLOOKUP($H123,output!$A$10:$N$2201,M$1-$J$1+2)</f>
        <v>207.964</v>
      </c>
      <c r="N123" s="1">
        <f>VLOOKUP($H123,output!$A$10:$N$2201,N$1-$J$1+2)</f>
        <v>216.44399999999999</v>
      </c>
      <c r="O123" s="1">
        <f>VLOOKUP($H123,output!$A$10:$N$2201,O$1-$J$1+2)</f>
        <v>193.78800000000001</v>
      </c>
      <c r="P123" s="1">
        <f>VLOOKUP($H123,output!$A$10:$N$2201,P$1-$J$1+2)</f>
        <v>168.732</v>
      </c>
      <c r="Q123" s="1">
        <f>VLOOKUP($H123,output!$A$10:$N$2201,Q$1-$J$1+2)</f>
        <v>213.649</v>
      </c>
      <c r="R123" s="1">
        <f>VLOOKUP($H123,output!$A$10:$N$2201,R$1-$J$1+2)</f>
        <v>293.786</v>
      </c>
      <c r="S123" s="1">
        <f>VLOOKUP($H123,output!$A$10:$N$2201,S$1-$J$1+2)</f>
        <v>277.25</v>
      </c>
      <c r="T123" s="1">
        <f>VLOOKUP($H123,output!$A$10:$N$2201,T$1-$J$1+2)</f>
        <v>249.87899999999999</v>
      </c>
      <c r="U123" s="1">
        <f>VLOOKUP($H123,output!$A$10:$N$2201,U$1-$J$1+2)</f>
        <v>230.98599999999999</v>
      </c>
      <c r="V123" s="1">
        <f>VLOOKUP($H123,output!$A$10:$N$2201,V$1-$J$1+2)</f>
        <v>205.53899999999999</v>
      </c>
    </row>
    <row r="124" spans="8:24" x14ac:dyDescent="0.25">
      <c r="H124" s="8" t="s">
        <v>54</v>
      </c>
      <c r="J124" s="1">
        <f>VLOOKUP($H124,output!$A$10:$N$2201,J$1-$J$1+2)</f>
        <v>0</v>
      </c>
      <c r="K124" s="1">
        <f>VLOOKUP($H124,output!$A$10:$N$2201,K$1-$J$1+2)</f>
        <v>113.514</v>
      </c>
      <c r="L124" s="1">
        <f>VLOOKUP($H124,output!$A$10:$N$2201,L$1-$J$1+2)</f>
        <v>81.350999999999999</v>
      </c>
      <c r="M124" s="1">
        <f>VLOOKUP($H124,output!$A$10:$N$2201,M$1-$J$1+2)</f>
        <v>118.464</v>
      </c>
      <c r="N124" s="1">
        <f>VLOOKUP($H124,output!$A$10:$N$2201,N$1-$J$1+2)</f>
        <v>127.539</v>
      </c>
      <c r="O124" s="1">
        <f>VLOOKUP($H124,output!$A$10:$N$2201,O$1-$J$1+2)</f>
        <v>129.52600000000001</v>
      </c>
      <c r="P124" s="1">
        <f>VLOOKUP($H124,output!$A$10:$N$2201,P$1-$J$1+2)</f>
        <v>124.749</v>
      </c>
      <c r="Q124" s="1">
        <f>VLOOKUP($H124,output!$A$10:$N$2201,Q$1-$J$1+2)</f>
        <v>129.072</v>
      </c>
      <c r="R124" s="1">
        <f>VLOOKUP($H124,output!$A$10:$N$2201,R$1-$J$1+2)</f>
        <v>185.035</v>
      </c>
      <c r="S124" s="1">
        <f>VLOOKUP($H124,output!$A$10:$N$2201,S$1-$J$1+2)</f>
        <v>176.47499999999999</v>
      </c>
      <c r="T124" s="1">
        <f>VLOOKUP($H124,output!$A$10:$N$2201,T$1-$J$1+2)</f>
        <v>170.226</v>
      </c>
      <c r="U124" s="1">
        <f>VLOOKUP($H124,output!$A$10:$N$2201,U$1-$J$1+2)</f>
        <v>173.34100000000001</v>
      </c>
      <c r="V124" s="1">
        <f>VLOOKUP($H124,output!$A$10:$N$2201,V$1-$J$1+2)</f>
        <v>165.654</v>
      </c>
    </row>
    <row r="125" spans="8:24" x14ac:dyDescent="0.25"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8:24" x14ac:dyDescent="0.25">
      <c r="K126" s="9"/>
      <c r="L126" s="9"/>
      <c r="M126" s="9"/>
      <c r="N126" s="9"/>
    </row>
    <row r="128" spans="8:24" x14ac:dyDescent="0.25">
      <c r="H128" t="s">
        <v>65</v>
      </c>
      <c r="J128" s="1">
        <f>VLOOKUP($H128,output!$A$10:$N$2201,J$1-$J$1+2)</f>
        <v>0</v>
      </c>
      <c r="K128" s="1">
        <f>VLOOKUP($H128,output!$A$10:$N$2201,K$1-$J$1+2)</f>
        <v>813.56100000000004</v>
      </c>
      <c r="L128" s="1">
        <f>VLOOKUP($H128,output!$A$10:$N$2201,L$1-$J$1+2)</f>
        <v>0</v>
      </c>
      <c r="M128" s="1">
        <f>VLOOKUP($H128,output!$A$10:$N$2201,M$1-$J$1+2)</f>
        <v>0</v>
      </c>
      <c r="N128" s="1">
        <f>VLOOKUP($H128,output!$A$10:$N$2201,N$1-$J$1+2)</f>
        <v>0</v>
      </c>
      <c r="O128" s="1">
        <f>VLOOKUP($H128,output!$A$10:$N$2201,O$1-$J$1+2)</f>
        <v>0</v>
      </c>
      <c r="P128" s="1">
        <f>VLOOKUP($H128,output!$A$10:$N$2201,P$1-$J$1+2)</f>
        <v>0</v>
      </c>
      <c r="Q128" s="1">
        <f>VLOOKUP($H128,output!$A$10:$N$2201,Q$1-$J$1+2)</f>
        <v>0</v>
      </c>
      <c r="R128" s="1">
        <f>VLOOKUP($H128,output!$A$10:$N$2201,R$1-$J$1+2)</f>
        <v>0</v>
      </c>
      <c r="S128" s="1">
        <f>VLOOKUP($H128,output!$A$10:$N$2201,S$1-$J$1+2)</f>
        <v>0</v>
      </c>
      <c r="T128" s="1">
        <f>VLOOKUP($H128,output!$A$10:$N$2201,T$1-$J$1+2)</f>
        <v>0</v>
      </c>
      <c r="U128" s="1">
        <f>VLOOKUP($H128,output!$A$10:$N$2201,U$1-$J$1+2)</f>
        <v>0</v>
      </c>
      <c r="V128" s="1">
        <f>VLOOKUP($H128,output!$A$10:$N$2201,V$1-$J$1+2)</f>
        <v>0</v>
      </c>
    </row>
    <row r="129" spans="8:22" x14ac:dyDescent="0.25">
      <c r="H129" t="s">
        <v>66</v>
      </c>
      <c r="J129" s="1">
        <f>VLOOKUP($H129,output!$A$10:$N$2201,J$1-$J$1+2)</f>
        <v>0</v>
      </c>
      <c r="K129" s="1">
        <f>VLOOKUP($H129,output!$A$10:$N$2201,K$1-$J$1+2)</f>
        <v>994.22</v>
      </c>
      <c r="L129" s="1">
        <f>VLOOKUP($H129,output!$A$10:$N$2201,L$1-$J$1+2)</f>
        <v>0</v>
      </c>
      <c r="M129" s="1">
        <f>VLOOKUP($H129,output!$A$10:$N$2201,M$1-$J$1+2)</f>
        <v>0</v>
      </c>
      <c r="N129" s="1">
        <f>VLOOKUP($H129,output!$A$10:$N$2201,N$1-$J$1+2)</f>
        <v>0</v>
      </c>
      <c r="O129" s="1">
        <f>VLOOKUP($H129,output!$A$10:$N$2201,O$1-$J$1+2)</f>
        <v>0</v>
      </c>
      <c r="P129" s="1">
        <f>VLOOKUP($H129,output!$A$10:$N$2201,P$1-$J$1+2)</f>
        <v>0</v>
      </c>
      <c r="Q129" s="1">
        <f>VLOOKUP($H129,output!$A$10:$N$2201,Q$1-$J$1+2)</f>
        <v>0</v>
      </c>
      <c r="R129" s="1">
        <f>VLOOKUP($H129,output!$A$10:$N$2201,R$1-$J$1+2)</f>
        <v>0</v>
      </c>
      <c r="S129" s="1">
        <f>VLOOKUP($H129,output!$A$10:$N$2201,S$1-$J$1+2)</f>
        <v>0</v>
      </c>
      <c r="T129" s="1">
        <f>VLOOKUP($H129,output!$A$10:$N$2201,T$1-$J$1+2)</f>
        <v>0</v>
      </c>
      <c r="U129" s="1">
        <f>VLOOKUP($H129,output!$A$10:$N$2201,U$1-$J$1+2)</f>
        <v>0</v>
      </c>
      <c r="V129" s="1">
        <f>VLOOKUP($H129,output!$A$10:$N$2201,V$1-$J$1+2)</f>
        <v>0</v>
      </c>
    </row>
    <row r="130" spans="8:22" x14ac:dyDescent="0.25">
      <c r="H130" t="s">
        <v>69</v>
      </c>
      <c r="J130" s="1">
        <f>VLOOKUP($H130,output!$A$10:$N$2201,J$1-$J$1+2)</f>
        <v>0</v>
      </c>
      <c r="K130" s="1">
        <f>VLOOKUP($H130,output!$A$10:$N$2201,K$1-$J$1+2)</f>
        <v>157.84200000000001</v>
      </c>
      <c r="L130" s="1">
        <f>VLOOKUP($H130,output!$A$10:$N$2201,L$1-$J$1+2)</f>
        <v>0</v>
      </c>
      <c r="M130" s="1">
        <f>VLOOKUP($H130,output!$A$10:$N$2201,M$1-$J$1+2)</f>
        <v>0</v>
      </c>
      <c r="N130" s="1">
        <f>VLOOKUP($H130,output!$A$10:$N$2201,N$1-$J$1+2)</f>
        <v>0</v>
      </c>
      <c r="O130" s="1">
        <f>VLOOKUP($H130,output!$A$10:$N$2201,O$1-$J$1+2)</f>
        <v>0</v>
      </c>
      <c r="P130" s="1">
        <f>VLOOKUP($H130,output!$A$10:$N$2201,P$1-$J$1+2)</f>
        <v>0</v>
      </c>
      <c r="Q130" s="1">
        <f>VLOOKUP($H130,output!$A$10:$N$2201,Q$1-$J$1+2)</f>
        <v>0</v>
      </c>
      <c r="R130" s="1">
        <f>VLOOKUP($H130,output!$A$10:$N$2201,R$1-$J$1+2)</f>
        <v>0</v>
      </c>
      <c r="S130" s="1">
        <f>VLOOKUP($H130,output!$A$10:$N$2201,S$1-$J$1+2)</f>
        <v>0</v>
      </c>
      <c r="T130" s="1">
        <f>VLOOKUP($H130,output!$A$10:$N$2201,T$1-$J$1+2)</f>
        <v>0</v>
      </c>
      <c r="U130" s="1">
        <f>VLOOKUP($H130,output!$A$10:$N$2201,U$1-$J$1+2)</f>
        <v>0</v>
      </c>
      <c r="V130" s="1">
        <f>VLOOKUP($H130,output!$A$10:$N$2201,V$1-$J$1+2)</f>
        <v>0</v>
      </c>
    </row>
    <row r="131" spans="8:22" x14ac:dyDescent="0.25">
      <c r="H131" t="s">
        <v>70</v>
      </c>
      <c r="J131" s="1">
        <f>VLOOKUP($H131,output!$A$10:$N$2201,J$1-$J$1+2)</f>
        <v>0</v>
      </c>
      <c r="K131" s="1">
        <f>VLOOKUP($H131,output!$A$10:$N$2201,K$1-$J$1+2)</f>
        <v>443.01600000000002</v>
      </c>
      <c r="L131" s="1">
        <f>VLOOKUP($H131,output!$A$10:$N$2201,L$1-$J$1+2)</f>
        <v>0</v>
      </c>
      <c r="M131" s="1">
        <f>VLOOKUP($H131,output!$A$10:$N$2201,M$1-$J$1+2)</f>
        <v>0</v>
      </c>
      <c r="N131" s="1">
        <f>VLOOKUP($H131,output!$A$10:$N$2201,N$1-$J$1+2)</f>
        <v>0</v>
      </c>
      <c r="O131" s="1">
        <f>VLOOKUP($H131,output!$A$10:$N$2201,O$1-$J$1+2)</f>
        <v>0</v>
      </c>
      <c r="P131" s="1">
        <f>VLOOKUP($H131,output!$A$10:$N$2201,P$1-$J$1+2)</f>
        <v>0</v>
      </c>
      <c r="Q131" s="1">
        <f>VLOOKUP($H131,output!$A$10:$N$2201,Q$1-$J$1+2)</f>
        <v>0</v>
      </c>
      <c r="R131" s="1">
        <f>VLOOKUP($H131,output!$A$10:$N$2201,R$1-$J$1+2)</f>
        <v>0</v>
      </c>
      <c r="S131" s="1">
        <f>VLOOKUP($H131,output!$A$10:$N$2201,S$1-$J$1+2)</f>
        <v>0</v>
      </c>
      <c r="T131" s="1">
        <f>VLOOKUP($H131,output!$A$10:$N$2201,T$1-$J$1+2)</f>
        <v>0</v>
      </c>
      <c r="U131" s="1">
        <f>VLOOKUP($H131,output!$A$10:$N$2201,U$1-$J$1+2)</f>
        <v>0</v>
      </c>
      <c r="V131" s="1">
        <f>VLOOKUP($H131,output!$A$10:$N$2201,V$1-$J$1+2)</f>
        <v>0</v>
      </c>
    </row>
    <row r="132" spans="8:22" x14ac:dyDescent="0.25">
      <c r="H132" t="s">
        <v>95</v>
      </c>
      <c r="J132" s="1">
        <f>VLOOKUP($H132,output!$A$10:$N$2201,J$1-$J$1+2)</f>
        <v>0</v>
      </c>
      <c r="K132" s="1">
        <f>VLOOKUP($H132,output!$A$10:$N$2201,K$1-$J$1+2)</f>
        <v>273.221</v>
      </c>
      <c r="L132" s="1">
        <f>VLOOKUP($H132,output!$A$10:$N$2201,L$1-$J$1+2)</f>
        <v>0</v>
      </c>
      <c r="M132" s="1">
        <f>VLOOKUP($H132,output!$A$10:$N$2201,M$1-$J$1+2)</f>
        <v>0</v>
      </c>
      <c r="N132" s="1">
        <f>VLOOKUP($H132,output!$A$10:$N$2201,N$1-$J$1+2)</f>
        <v>0</v>
      </c>
      <c r="O132" s="1">
        <f>VLOOKUP($H132,output!$A$10:$N$2201,O$1-$J$1+2)</f>
        <v>0</v>
      </c>
      <c r="P132" s="1">
        <f>VLOOKUP($H132,output!$A$10:$N$2201,P$1-$J$1+2)</f>
        <v>0</v>
      </c>
      <c r="Q132" s="1">
        <f>VLOOKUP($H132,output!$A$10:$N$2201,Q$1-$J$1+2)</f>
        <v>0</v>
      </c>
      <c r="R132" s="1">
        <f>VLOOKUP($H132,output!$A$10:$N$2201,R$1-$J$1+2)</f>
        <v>0</v>
      </c>
      <c r="S132" s="1">
        <f>VLOOKUP($H132,output!$A$10:$N$2201,S$1-$J$1+2)</f>
        <v>0</v>
      </c>
      <c r="T132" s="1">
        <f>VLOOKUP($H132,output!$A$10:$N$2201,T$1-$J$1+2)</f>
        <v>0</v>
      </c>
      <c r="U132" s="1">
        <f>VLOOKUP($H132,output!$A$10:$N$2201,U$1-$J$1+2)</f>
        <v>0</v>
      </c>
      <c r="V132" s="1">
        <f>VLOOKUP($H132,output!$A$10:$N$2201,V$1-$J$1+2)</f>
        <v>0</v>
      </c>
    </row>
    <row r="133" spans="8:22" x14ac:dyDescent="0.25">
      <c r="H133" t="s">
        <v>96</v>
      </c>
      <c r="J133" s="1">
        <f>VLOOKUP($H133,output!$A$10:$N$2201,J$1-$J$1+2)</f>
        <v>0</v>
      </c>
      <c r="K133" s="1">
        <f>VLOOKUP($H133,output!$A$10:$N$2201,K$1-$J$1+2)</f>
        <v>674.952</v>
      </c>
      <c r="L133" s="1">
        <f>VLOOKUP($H133,output!$A$10:$N$2201,L$1-$J$1+2)</f>
        <v>0</v>
      </c>
      <c r="M133" s="1">
        <f>VLOOKUP($H133,output!$A$10:$N$2201,M$1-$J$1+2)</f>
        <v>0</v>
      </c>
      <c r="N133" s="1">
        <f>VLOOKUP($H133,output!$A$10:$N$2201,N$1-$J$1+2)</f>
        <v>0</v>
      </c>
      <c r="O133" s="1">
        <f>VLOOKUP($H133,output!$A$10:$N$2201,O$1-$J$1+2)</f>
        <v>0</v>
      </c>
      <c r="P133" s="1">
        <f>VLOOKUP($H133,output!$A$10:$N$2201,P$1-$J$1+2)</f>
        <v>0</v>
      </c>
      <c r="Q133" s="1">
        <f>VLOOKUP($H133,output!$A$10:$N$2201,Q$1-$J$1+2)</f>
        <v>0</v>
      </c>
      <c r="R133" s="1">
        <f>VLOOKUP($H133,output!$A$10:$N$2201,R$1-$J$1+2)</f>
        <v>0</v>
      </c>
      <c r="S133" s="1">
        <f>VLOOKUP($H133,output!$A$10:$N$2201,S$1-$J$1+2)</f>
        <v>0</v>
      </c>
      <c r="T133" s="1">
        <f>VLOOKUP($H133,output!$A$10:$N$2201,T$1-$J$1+2)</f>
        <v>0</v>
      </c>
      <c r="U133" s="1">
        <f>VLOOKUP($H133,output!$A$10:$N$2201,U$1-$J$1+2)</f>
        <v>0</v>
      </c>
      <c r="V133" s="1">
        <f>VLOOKUP($H133,output!$A$10:$N$2201,V$1-$J$1+2)</f>
        <v>0</v>
      </c>
    </row>
    <row r="134" spans="8:22" x14ac:dyDescent="0.25">
      <c r="H134" t="s">
        <v>100</v>
      </c>
      <c r="J134" s="1">
        <f>VLOOKUP($H134,output!$A$10:$N$2201,J$1-$J$1+2)</f>
        <v>0</v>
      </c>
      <c r="K134" s="1">
        <f>VLOOKUP($H134,output!$A$10:$N$2201,K$1-$J$1+2)</f>
        <v>308.77699999999999</v>
      </c>
      <c r="L134" s="1">
        <f>VLOOKUP($H134,output!$A$10:$N$2201,L$1-$J$1+2)</f>
        <v>0</v>
      </c>
      <c r="M134" s="1">
        <f>VLOOKUP($H134,output!$A$10:$N$2201,M$1-$J$1+2)</f>
        <v>0</v>
      </c>
      <c r="N134" s="1">
        <f>VLOOKUP($H134,output!$A$10:$N$2201,N$1-$J$1+2)</f>
        <v>0</v>
      </c>
      <c r="O134" s="1">
        <f>VLOOKUP($H134,output!$A$10:$N$2201,O$1-$J$1+2)</f>
        <v>0</v>
      </c>
      <c r="P134" s="1">
        <f>VLOOKUP($H134,output!$A$10:$N$2201,P$1-$J$1+2)</f>
        <v>0</v>
      </c>
      <c r="Q134" s="1">
        <f>VLOOKUP($H134,output!$A$10:$N$2201,Q$1-$J$1+2)</f>
        <v>0</v>
      </c>
      <c r="R134" s="1">
        <f>VLOOKUP($H134,output!$A$10:$N$2201,R$1-$J$1+2)</f>
        <v>0</v>
      </c>
      <c r="S134" s="1">
        <f>VLOOKUP($H134,output!$A$10:$N$2201,S$1-$J$1+2)</f>
        <v>0</v>
      </c>
      <c r="T134" s="1">
        <f>VLOOKUP($H134,output!$A$10:$N$2201,T$1-$J$1+2)</f>
        <v>0</v>
      </c>
      <c r="U134" s="1">
        <f>VLOOKUP($H134,output!$A$10:$N$2201,U$1-$J$1+2)</f>
        <v>0</v>
      </c>
      <c r="V134" s="1">
        <f>VLOOKUP($H134,output!$A$10:$N$2201,V$1-$J$1+2)</f>
        <v>0</v>
      </c>
    </row>
    <row r="135" spans="8:22" x14ac:dyDescent="0.25">
      <c r="H135" t="s">
        <v>71</v>
      </c>
      <c r="J135" s="1">
        <f>VLOOKUP($H135,output!$A$10:$N$2201,J$1-$J$1+2)</f>
        <v>0</v>
      </c>
      <c r="K135" s="1">
        <f>VLOOKUP($H135,output!$A$10:$N$2201,K$1-$J$1+2)</f>
        <v>149.137</v>
      </c>
      <c r="L135" s="1">
        <f>VLOOKUP($H135,output!$A$10:$N$2201,L$1-$J$1+2)</f>
        <v>0</v>
      </c>
      <c r="M135" s="1">
        <f>VLOOKUP($H135,output!$A$10:$N$2201,M$1-$J$1+2)</f>
        <v>0</v>
      </c>
      <c r="N135" s="1">
        <f>VLOOKUP($H135,output!$A$10:$N$2201,N$1-$J$1+2)</f>
        <v>0</v>
      </c>
      <c r="O135" s="1">
        <f>VLOOKUP($H135,output!$A$10:$N$2201,O$1-$J$1+2)</f>
        <v>0</v>
      </c>
      <c r="P135" s="1">
        <f>VLOOKUP($H135,output!$A$10:$N$2201,P$1-$J$1+2)</f>
        <v>0</v>
      </c>
      <c r="Q135" s="1">
        <f>VLOOKUP($H135,output!$A$10:$N$2201,Q$1-$J$1+2)</f>
        <v>0</v>
      </c>
      <c r="R135" s="1">
        <f>VLOOKUP($H135,output!$A$10:$N$2201,R$1-$J$1+2)</f>
        <v>0</v>
      </c>
      <c r="S135" s="1">
        <f>VLOOKUP($H135,output!$A$10:$N$2201,S$1-$J$1+2)</f>
        <v>0</v>
      </c>
      <c r="T135" s="1">
        <f>VLOOKUP($H135,output!$A$10:$N$2201,T$1-$J$1+2)</f>
        <v>0</v>
      </c>
      <c r="U135" s="1">
        <f>VLOOKUP($H135,output!$A$10:$N$2201,U$1-$J$1+2)</f>
        <v>0</v>
      </c>
      <c r="V135" s="1">
        <f>VLOOKUP($H135,output!$A$10:$N$2201,V$1-$J$1+2)</f>
        <v>0</v>
      </c>
    </row>
    <row r="136" spans="8:22" x14ac:dyDescent="0.25">
      <c r="H136" t="s">
        <v>93</v>
      </c>
      <c r="J136" s="1">
        <f>VLOOKUP($H136,output!$A$10:$N$2201,J$1-$J$1+2)</f>
        <v>0</v>
      </c>
      <c r="K136" s="1">
        <f>VLOOKUP($H136,output!$A$10:$N$2201,K$1-$J$1+2)</f>
        <v>53.749000000000002</v>
      </c>
      <c r="L136" s="1">
        <f>VLOOKUP($H136,output!$A$10:$N$2201,L$1-$J$1+2)</f>
        <v>0</v>
      </c>
      <c r="M136" s="1">
        <f>VLOOKUP($H136,output!$A$10:$N$2201,M$1-$J$1+2)</f>
        <v>0</v>
      </c>
      <c r="N136" s="1">
        <f>VLOOKUP($H136,output!$A$10:$N$2201,N$1-$J$1+2)</f>
        <v>0</v>
      </c>
      <c r="O136" s="1">
        <f>VLOOKUP($H136,output!$A$10:$N$2201,O$1-$J$1+2)</f>
        <v>0</v>
      </c>
      <c r="P136" s="1">
        <f>VLOOKUP($H136,output!$A$10:$N$2201,P$1-$J$1+2)</f>
        <v>0</v>
      </c>
      <c r="Q136" s="1">
        <f>VLOOKUP($H136,output!$A$10:$N$2201,Q$1-$J$1+2)</f>
        <v>0</v>
      </c>
      <c r="R136" s="1">
        <f>VLOOKUP($H136,output!$A$10:$N$2201,R$1-$J$1+2)</f>
        <v>0</v>
      </c>
      <c r="S136" s="1">
        <f>VLOOKUP($H136,output!$A$10:$N$2201,S$1-$J$1+2)</f>
        <v>0</v>
      </c>
      <c r="T136" s="1">
        <f>VLOOKUP($H136,output!$A$10:$N$2201,T$1-$J$1+2)</f>
        <v>0</v>
      </c>
      <c r="U136" s="1">
        <f>VLOOKUP($H136,output!$A$10:$N$2201,U$1-$J$1+2)</f>
        <v>0</v>
      </c>
      <c r="V136" s="1">
        <f>VLOOKUP($H136,output!$A$10:$N$2201,V$1-$J$1+2)</f>
        <v>0</v>
      </c>
    </row>
    <row r="137" spans="8:22" x14ac:dyDescent="0.25">
      <c r="H137" t="s">
        <v>73</v>
      </c>
      <c r="J137" s="1">
        <f>VLOOKUP($H137,output!$A$10:$N$2201,J$1-$J$1+2)</f>
        <v>0</v>
      </c>
      <c r="K137" s="1">
        <f>VLOOKUP($H137,output!$A$10:$N$2201,K$1-$J$1+2)</f>
        <v>53.749000000000002</v>
      </c>
      <c r="L137" s="1">
        <f>VLOOKUP($H137,output!$A$10:$N$2201,L$1-$J$1+2)</f>
        <v>0</v>
      </c>
      <c r="M137" s="1">
        <f>VLOOKUP($H137,output!$A$10:$N$2201,M$1-$J$1+2)</f>
        <v>0</v>
      </c>
      <c r="N137" s="1">
        <f>VLOOKUP($H137,output!$A$10:$N$2201,N$1-$J$1+2)</f>
        <v>0</v>
      </c>
      <c r="O137" s="1">
        <f>VLOOKUP($H137,output!$A$10:$N$2201,O$1-$J$1+2)</f>
        <v>0</v>
      </c>
      <c r="P137" s="1">
        <f>VLOOKUP($H137,output!$A$10:$N$2201,P$1-$J$1+2)</f>
        <v>0</v>
      </c>
      <c r="Q137" s="1">
        <f>VLOOKUP($H137,output!$A$10:$N$2201,Q$1-$J$1+2)</f>
        <v>0</v>
      </c>
      <c r="R137" s="1">
        <f>VLOOKUP($H137,output!$A$10:$N$2201,R$1-$J$1+2)</f>
        <v>0</v>
      </c>
      <c r="S137" s="1">
        <f>VLOOKUP($H137,output!$A$10:$N$2201,S$1-$J$1+2)</f>
        <v>0</v>
      </c>
      <c r="T137" s="1">
        <f>VLOOKUP($H137,output!$A$10:$N$2201,T$1-$J$1+2)</f>
        <v>0</v>
      </c>
      <c r="U137" s="1">
        <f>VLOOKUP($H137,output!$A$10:$N$2201,U$1-$J$1+2)</f>
        <v>0</v>
      </c>
      <c r="V137" s="1">
        <f>VLOOKUP($H137,output!$A$10:$N$2201,V$1-$J$1+2)</f>
        <v>0</v>
      </c>
    </row>
    <row r="138" spans="8:22" x14ac:dyDescent="0.25"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8:22" x14ac:dyDescent="0.25">
      <c r="H139" t="s">
        <v>151</v>
      </c>
      <c r="J139" s="1">
        <f>J128+J129</f>
        <v>0</v>
      </c>
      <c r="K139" s="1">
        <f t="shared" ref="K139:V139" si="22">K128+K129</f>
        <v>1807.7809999999999</v>
      </c>
      <c r="L139" s="1">
        <f t="shared" si="22"/>
        <v>0</v>
      </c>
      <c r="M139" s="1">
        <f t="shared" si="22"/>
        <v>0</v>
      </c>
      <c r="N139" s="1">
        <f t="shared" si="22"/>
        <v>0</v>
      </c>
      <c r="O139" s="1">
        <f t="shared" si="22"/>
        <v>0</v>
      </c>
      <c r="P139" s="1">
        <f t="shared" si="22"/>
        <v>0</v>
      </c>
      <c r="Q139" s="1">
        <f t="shared" si="22"/>
        <v>0</v>
      </c>
      <c r="R139" s="1">
        <f t="shared" si="22"/>
        <v>0</v>
      </c>
      <c r="S139" s="1">
        <f t="shared" si="22"/>
        <v>0</v>
      </c>
      <c r="T139" s="1">
        <f t="shared" si="22"/>
        <v>0</v>
      </c>
      <c r="U139" s="1">
        <f t="shared" si="22"/>
        <v>0</v>
      </c>
      <c r="V139" s="1">
        <f t="shared" si="22"/>
        <v>0</v>
      </c>
    </row>
    <row r="140" spans="8:22" x14ac:dyDescent="0.25">
      <c r="H140" t="s">
        <v>152</v>
      </c>
      <c r="J140" s="1">
        <f>J130+J131</f>
        <v>0</v>
      </c>
      <c r="K140" s="1">
        <f t="shared" ref="K140:V140" si="23">K130+K131</f>
        <v>600.85800000000006</v>
      </c>
      <c r="L140" s="1">
        <f t="shared" si="23"/>
        <v>0</v>
      </c>
      <c r="M140" s="1">
        <f t="shared" si="23"/>
        <v>0</v>
      </c>
      <c r="N140" s="1">
        <f t="shared" si="23"/>
        <v>0</v>
      </c>
      <c r="O140" s="1">
        <f t="shared" si="23"/>
        <v>0</v>
      </c>
      <c r="P140" s="1">
        <f t="shared" si="23"/>
        <v>0</v>
      </c>
      <c r="Q140" s="1">
        <f t="shared" si="23"/>
        <v>0</v>
      </c>
      <c r="R140" s="1">
        <f t="shared" si="23"/>
        <v>0</v>
      </c>
      <c r="S140" s="1">
        <f t="shared" si="23"/>
        <v>0</v>
      </c>
      <c r="T140" s="1">
        <f t="shared" si="23"/>
        <v>0</v>
      </c>
      <c r="U140" s="1">
        <f t="shared" si="23"/>
        <v>0</v>
      </c>
      <c r="V140" s="1">
        <f t="shared" si="23"/>
        <v>0</v>
      </c>
    </row>
    <row r="141" spans="8:22" x14ac:dyDescent="0.25">
      <c r="H141" t="s">
        <v>153</v>
      </c>
      <c r="J141" s="1">
        <f>J132+J133</f>
        <v>0</v>
      </c>
      <c r="K141" s="1">
        <f t="shared" ref="K141:V141" si="24">K132+K133</f>
        <v>948.173</v>
      </c>
      <c r="L141" s="1">
        <f t="shared" si="24"/>
        <v>0</v>
      </c>
      <c r="M141" s="1">
        <f t="shared" si="24"/>
        <v>0</v>
      </c>
      <c r="N141" s="1">
        <f t="shared" si="24"/>
        <v>0</v>
      </c>
      <c r="O141" s="1">
        <f t="shared" si="24"/>
        <v>0</v>
      </c>
      <c r="P141" s="1">
        <f t="shared" si="24"/>
        <v>0</v>
      </c>
      <c r="Q141" s="1">
        <f t="shared" si="24"/>
        <v>0</v>
      </c>
      <c r="R141" s="1">
        <f t="shared" si="24"/>
        <v>0</v>
      </c>
      <c r="S141" s="1">
        <f t="shared" si="24"/>
        <v>0</v>
      </c>
      <c r="T141" s="1">
        <f t="shared" si="24"/>
        <v>0</v>
      </c>
      <c r="U141" s="1">
        <f t="shared" si="24"/>
        <v>0</v>
      </c>
      <c r="V141" s="1">
        <f t="shared" si="24"/>
        <v>0</v>
      </c>
    </row>
    <row r="142" spans="8:22" x14ac:dyDescent="0.25">
      <c r="H142" t="s">
        <v>154</v>
      </c>
      <c r="J142" s="1">
        <f>J134</f>
        <v>0</v>
      </c>
      <c r="K142" s="1">
        <f t="shared" ref="K142:V142" si="25">K134</f>
        <v>308.77699999999999</v>
      </c>
      <c r="L142" s="1">
        <f t="shared" si="25"/>
        <v>0</v>
      </c>
      <c r="M142" s="1">
        <f t="shared" si="25"/>
        <v>0</v>
      </c>
      <c r="N142" s="1">
        <f t="shared" si="25"/>
        <v>0</v>
      </c>
      <c r="O142" s="1">
        <f t="shared" si="25"/>
        <v>0</v>
      </c>
      <c r="P142" s="1">
        <f t="shared" si="25"/>
        <v>0</v>
      </c>
      <c r="Q142" s="1">
        <f t="shared" si="25"/>
        <v>0</v>
      </c>
      <c r="R142" s="1">
        <f t="shared" si="25"/>
        <v>0</v>
      </c>
      <c r="S142" s="1">
        <f t="shared" si="25"/>
        <v>0</v>
      </c>
      <c r="T142" s="1">
        <f t="shared" si="25"/>
        <v>0</v>
      </c>
      <c r="U142" s="1">
        <f t="shared" si="25"/>
        <v>0</v>
      </c>
      <c r="V142" s="1">
        <f t="shared" si="25"/>
        <v>0</v>
      </c>
    </row>
    <row r="143" spans="8:22" x14ac:dyDescent="0.25">
      <c r="H143" t="s">
        <v>141</v>
      </c>
      <c r="J143" s="1">
        <f>J136+J137</f>
        <v>0</v>
      </c>
      <c r="K143" s="1">
        <f t="shared" ref="K143:U143" si="26">K136+K137</f>
        <v>107.498</v>
      </c>
      <c r="L143" s="1">
        <f t="shared" si="26"/>
        <v>0</v>
      </c>
      <c r="M143" s="1">
        <f t="shared" si="26"/>
        <v>0</v>
      </c>
      <c r="N143" s="1">
        <f t="shared" si="26"/>
        <v>0</v>
      </c>
      <c r="O143" s="1">
        <f t="shared" si="26"/>
        <v>0</v>
      </c>
      <c r="P143" s="1">
        <f t="shared" si="26"/>
        <v>0</v>
      </c>
      <c r="Q143" s="1">
        <f t="shared" si="26"/>
        <v>0</v>
      </c>
      <c r="R143" s="1">
        <f t="shared" si="26"/>
        <v>0</v>
      </c>
      <c r="S143" s="1">
        <f t="shared" si="26"/>
        <v>0</v>
      </c>
      <c r="T143" s="1">
        <f t="shared" si="26"/>
        <v>0</v>
      </c>
      <c r="U143" s="1">
        <f t="shared" si="26"/>
        <v>0</v>
      </c>
      <c r="V143" s="1">
        <f>V136+V137</f>
        <v>0</v>
      </c>
    </row>
    <row r="144" spans="8:22" x14ac:dyDescent="0.25">
      <c r="H144" t="s">
        <v>105</v>
      </c>
      <c r="J144" s="1">
        <f>J135</f>
        <v>0</v>
      </c>
      <c r="K144" s="1">
        <f t="shared" ref="K144:V144" si="27">K135</f>
        <v>149.137</v>
      </c>
      <c r="L144" s="1">
        <f t="shared" si="27"/>
        <v>0</v>
      </c>
      <c r="M144" s="1">
        <f t="shared" si="27"/>
        <v>0</v>
      </c>
      <c r="N144" s="1">
        <f t="shared" si="27"/>
        <v>0</v>
      </c>
      <c r="O144" s="1">
        <f t="shared" si="27"/>
        <v>0</v>
      </c>
      <c r="P144" s="1">
        <f t="shared" si="27"/>
        <v>0</v>
      </c>
      <c r="Q144" s="1">
        <f t="shared" si="27"/>
        <v>0</v>
      </c>
      <c r="R144" s="1">
        <f t="shared" si="27"/>
        <v>0</v>
      </c>
      <c r="S144" s="1">
        <f t="shared" si="27"/>
        <v>0</v>
      </c>
      <c r="T144" s="1">
        <f t="shared" si="27"/>
        <v>0</v>
      </c>
      <c r="U144" s="1">
        <f t="shared" si="27"/>
        <v>0</v>
      </c>
      <c r="V144" s="1">
        <f t="shared" si="27"/>
        <v>0</v>
      </c>
    </row>
    <row r="160" spans="10:22" x14ac:dyDescent="0.25"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0:22" x14ac:dyDescent="0.25"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0:22" x14ac:dyDescent="0.25"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0:22" x14ac:dyDescent="0.25"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0:22" x14ac:dyDescent="0.25"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0:22" x14ac:dyDescent="0.25"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0:22" x14ac:dyDescent="0.25"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0:22" x14ac:dyDescent="0.25"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1:BC251"/>
  <sheetViews>
    <sheetView zoomScale="70" zoomScaleNormal="70" workbookViewId="0">
      <pane ySplit="1" topLeftCell="A2" activePane="bottomLeft" state="frozen"/>
      <selection pane="bottomLeft" activeCell="J3" sqref="J3"/>
    </sheetView>
  </sheetViews>
  <sheetFormatPr baseColWidth="10" defaultRowHeight="15" x14ac:dyDescent="0.25"/>
  <cols>
    <col min="7" max="7" width="66.140625" customWidth="1"/>
    <col min="8" max="8" width="57.42578125" bestFit="1" customWidth="1"/>
    <col min="9" max="9" width="20.85546875" customWidth="1"/>
    <col min="13" max="13" width="12.5703125" customWidth="1"/>
  </cols>
  <sheetData>
    <row r="1" spans="8:42" x14ac:dyDescent="0.25"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</row>
    <row r="2" spans="8:42" x14ac:dyDescent="0.25">
      <c r="H2" s="2" t="s">
        <v>177</v>
      </c>
    </row>
    <row r="3" spans="8:42" x14ac:dyDescent="0.25">
      <c r="H3" t="s">
        <v>7</v>
      </c>
      <c r="I3" t="s">
        <v>107</v>
      </c>
      <c r="J3" s="11">
        <f>VLOOKUP($H3,output!$A$10:$AH$2201,J$1-$J$1+2)</f>
        <v>20.02</v>
      </c>
      <c r="K3" s="22">
        <f>VLOOKUP($H3,output!$A$10:$AH$2201,K$1-$J$1+2)</f>
        <v>19.600999999999999</v>
      </c>
      <c r="L3" s="23">
        <f>VLOOKUP($H3,output!$A$10:$AH$2201,L$1-$J$1+2)</f>
        <v>19.574999999999999</v>
      </c>
      <c r="M3" s="11">
        <f>VLOOKUP($H3,output!$A$10:$AH$2201,M$1-$J$1+2)</f>
        <v>19.088000000000001</v>
      </c>
      <c r="N3" s="11">
        <f>VLOOKUP($H3,output!$A$10:$AH$2201,N$1-$J$1+2)</f>
        <v>18.257000000000001</v>
      </c>
      <c r="O3" s="11">
        <f>VLOOKUP($H3,output!$A$10:$AH$2201,O$1-$J$1+2)</f>
        <v>17.594000000000001</v>
      </c>
      <c r="P3" s="11">
        <f>VLOOKUP($H3,output!$A$10:$AH$2201,P$1-$J$1+2)</f>
        <v>16.811</v>
      </c>
      <c r="Q3" s="11">
        <f>VLOOKUP($H3,output!$A$10:$AH$2201,Q$1-$J$1+2)</f>
        <v>15.885999999999999</v>
      </c>
      <c r="R3" s="11">
        <f>VLOOKUP($H3,output!$A$10:$AH$2201,R$1-$J$1+2)</f>
        <v>15.006</v>
      </c>
      <c r="S3" s="11">
        <f>VLOOKUP($H3,output!$A$10:$AH$2201,S$1-$J$1+2)</f>
        <v>14.026999999999999</v>
      </c>
      <c r="T3" s="11">
        <f>VLOOKUP($H3,output!$A$10:$AH$2201,T$1-$J$1+2)</f>
        <v>13.111000000000001</v>
      </c>
      <c r="U3" s="11">
        <f>VLOOKUP($H3,output!$A$10:$AH$2201,U$1-$J$1+2)</f>
        <v>12.26</v>
      </c>
      <c r="V3" s="11">
        <f>VLOOKUP($H3,output!$A$10:$AH$2201,V$1-$J$1+2)</f>
        <v>11.457000000000001</v>
      </c>
      <c r="W3" s="11">
        <f>VLOOKUP($H3,output!$A$10:$AH$2201,W$1-$J$1+2)</f>
        <v>10.59</v>
      </c>
      <c r="X3" s="11">
        <f>VLOOKUP($H3,output!$A$10:$AH$2201,X$1-$J$1+2)</f>
        <v>9.7620000000000005</v>
      </c>
      <c r="Y3" s="11">
        <f>VLOOKUP($H3,output!$A$10:$AH$2201,Y$1-$J$1+2)</f>
        <v>8.9920000000000009</v>
      </c>
      <c r="Z3" s="11">
        <f>VLOOKUP($H3,output!$A$10:$AH$2201,Z$1-$J$1+2)</f>
        <v>8.3919999999999995</v>
      </c>
      <c r="AA3" s="11">
        <f>VLOOKUP($H3,output!$A$10:$AH$2201,AA$1-$J$1+2)</f>
        <v>6.6680000000000001</v>
      </c>
      <c r="AB3" s="11">
        <f>VLOOKUP($H3,output!$A$10:$AH$2201,AB$1-$J$1+2)</f>
        <v>7.024</v>
      </c>
      <c r="AC3" s="11">
        <f>VLOOKUP($H3,output!$A$10:$AH$2201,AC$1-$J$1+2)</f>
        <v>6.516</v>
      </c>
      <c r="AD3" s="11">
        <f>VLOOKUP($H3,output!$A$10:$AH$2201,AD$1-$J$1+2)</f>
        <v>6.0880000000000001</v>
      </c>
      <c r="AE3" s="11">
        <f>VLOOKUP($H3,output!$A$10:$AH$2201,AE$1-$J$1+2)</f>
        <v>5.7320000000000002</v>
      </c>
      <c r="AF3" s="11">
        <f>VLOOKUP($H3,output!$A$10:$AH$2201,AF$1-$J$1+2)</f>
        <v>5.444</v>
      </c>
      <c r="AG3" s="11">
        <f>VLOOKUP($H3,output!$A$10:$AH$2201,AG$1-$J$1+2)</f>
        <v>5.1050000000000004</v>
      </c>
      <c r="AH3" s="11">
        <f>VLOOKUP($H3,output!$A$10:$AH$2201,AH$1-$J$1+2)</f>
        <v>4.8369999999999997</v>
      </c>
      <c r="AI3" s="11">
        <f>VLOOKUP($H3,output!$A$10:$AH$2201,AI$1-$J$1+2)</f>
        <v>4.5640000000000001</v>
      </c>
      <c r="AJ3" s="11">
        <f>VLOOKUP($H3,output!$A$10:$AH$2201,AJ$1-$J$1+2)</f>
        <v>4.282</v>
      </c>
      <c r="AK3" s="11">
        <f>VLOOKUP($H3,output!$A$10:$AH$2201,AK$1-$J$1+2)</f>
        <v>3.9950000000000001</v>
      </c>
      <c r="AL3" s="11">
        <f>VLOOKUP($H3,output!$A$10:$AH$2201,AL$1-$J$1+2)</f>
        <v>0</v>
      </c>
      <c r="AM3" s="11">
        <f>VLOOKUP($H3,output!$A$10:$AH$2201,AM$1-$J$1+2)</f>
        <v>0</v>
      </c>
      <c r="AN3" s="11">
        <f>VLOOKUP($H3,output!$A$10:$AH$2201,AN$1-$J$1+2)</f>
        <v>0</v>
      </c>
      <c r="AO3" s="11">
        <f>VLOOKUP($H3,output!$A$10:$AH$2201,AO$1-$J$1+2)</f>
        <v>0</v>
      </c>
      <c r="AP3" s="11">
        <f>VLOOKUP($H3,output!$A$10:$AH$2201,AP$1-$J$1+2)</f>
        <v>0</v>
      </c>
    </row>
    <row r="4" spans="8:42" x14ac:dyDescent="0.25">
      <c r="H4" t="s">
        <v>8</v>
      </c>
      <c r="I4" t="s">
        <v>108</v>
      </c>
      <c r="J4" s="11">
        <f>VLOOKUP($H4,output!$A$10:$AH$2201,J$1-$J$1+2)</f>
        <v>10.044</v>
      </c>
      <c r="K4" s="11">
        <f>VLOOKUP($H4,output!$A$10:$AH$2201,K$1-$J$1+2)</f>
        <v>9.0399999999999991</v>
      </c>
      <c r="L4" s="11">
        <f>VLOOKUP($H4,output!$A$10:$AH$2201,L$1-$J$1+2)</f>
        <v>8.1820000000000004</v>
      </c>
      <c r="M4" s="11">
        <f>VLOOKUP($H4,output!$A$10:$AH$2201,M$1-$J$1+2)</f>
        <v>7.23</v>
      </c>
      <c r="N4" s="11">
        <f>VLOOKUP($H4,output!$A$10:$AH$2201,N$1-$J$1+2)</f>
        <v>6.14</v>
      </c>
      <c r="O4" s="11">
        <f>VLOOKUP($H4,output!$A$10:$AH$2201,O$1-$J$1+2)</f>
        <v>5.2370000000000001</v>
      </c>
      <c r="P4" s="11">
        <f>VLOOKUP($H4,output!$A$10:$AH$2201,P$1-$J$1+2)</f>
        <v>4.3789999999999996</v>
      </c>
      <c r="Q4" s="11">
        <f>VLOOKUP($H4,output!$A$10:$AH$2201,Q$1-$J$1+2)</f>
        <v>3.5590000000000002</v>
      </c>
      <c r="R4" s="11">
        <f>VLOOKUP($H4,output!$A$10:$AH$2201,R$1-$J$1+2)</f>
        <v>2.7570000000000001</v>
      </c>
      <c r="S4" s="11">
        <f>VLOOKUP($H4,output!$A$10:$AH$2201,S$1-$J$1+2)</f>
        <v>1.996</v>
      </c>
      <c r="T4" s="11">
        <f>VLOOKUP($H4,output!$A$10:$AH$2201,T$1-$J$1+2)</f>
        <v>1.2849999999999999</v>
      </c>
      <c r="U4" s="11">
        <f>VLOOKUP($H4,output!$A$10:$AH$2201,U$1-$J$1+2)</f>
        <v>0.622</v>
      </c>
      <c r="V4" s="11">
        <f>VLOOKUP($H4,output!$A$10:$AH$2201,V$1-$J$1+2)</f>
        <v>0</v>
      </c>
      <c r="W4" s="11">
        <f>VLOOKUP($H4,output!$A$10:$AH$2201,W$1-$J$1+2)</f>
        <v>0</v>
      </c>
      <c r="X4" s="11">
        <f>VLOOKUP($H4,output!$A$10:$AH$2201,X$1-$J$1+2)</f>
        <v>0</v>
      </c>
      <c r="Y4" s="11">
        <f>VLOOKUP($H4,output!$A$10:$AH$2201,Y$1-$J$1+2)</f>
        <v>0</v>
      </c>
      <c r="Z4" s="11">
        <f>VLOOKUP($H4,output!$A$10:$AH$2201,Z$1-$J$1+2)</f>
        <v>0</v>
      </c>
      <c r="AA4" s="11">
        <f>VLOOKUP($H4,output!$A$10:$AH$2201,AA$1-$J$1+2)</f>
        <v>0</v>
      </c>
      <c r="AB4" s="11">
        <f>VLOOKUP($H4,output!$A$10:$AH$2201,AB$1-$J$1+2)</f>
        <v>0</v>
      </c>
      <c r="AC4" s="11">
        <f>VLOOKUP($H4,output!$A$10:$AH$2201,AC$1-$J$1+2)</f>
        <v>0</v>
      </c>
      <c r="AD4" s="11">
        <f>VLOOKUP($H4,output!$A$10:$AH$2201,AD$1-$J$1+2)</f>
        <v>0</v>
      </c>
      <c r="AE4" s="11">
        <f>VLOOKUP($H4,output!$A$10:$AH$2201,AE$1-$J$1+2)</f>
        <v>0</v>
      </c>
      <c r="AF4" s="11">
        <f>VLOOKUP($H4,output!$A$10:$AH$2201,AF$1-$J$1+2)</f>
        <v>0</v>
      </c>
      <c r="AG4" s="11">
        <f>VLOOKUP($H4,output!$A$10:$AH$2201,AG$1-$J$1+2)</f>
        <v>0</v>
      </c>
      <c r="AH4" s="11">
        <f>VLOOKUP($H4,output!$A$10:$AH$2201,AH$1-$J$1+2)</f>
        <v>0</v>
      </c>
      <c r="AI4" s="11">
        <f>VLOOKUP($H4,output!$A$10:$AH$2201,AI$1-$J$1+2)</f>
        <v>0</v>
      </c>
      <c r="AJ4" s="11">
        <f>VLOOKUP($H4,output!$A$10:$AH$2201,AJ$1-$J$1+2)</f>
        <v>0</v>
      </c>
      <c r="AK4" s="11">
        <f>VLOOKUP($H4,output!$A$10:$AH$2201,AK$1-$J$1+2)</f>
        <v>0</v>
      </c>
      <c r="AL4" s="11">
        <f>VLOOKUP($H4,output!$A$10:$AH$2201,AL$1-$J$1+2)</f>
        <v>0</v>
      </c>
      <c r="AM4" s="11">
        <f>VLOOKUP($H4,output!$A$10:$AH$2201,AM$1-$J$1+2)</f>
        <v>0</v>
      </c>
      <c r="AN4" s="11">
        <f>VLOOKUP($H4,output!$A$10:$AH$2201,AN$1-$J$1+2)</f>
        <v>0</v>
      </c>
      <c r="AO4" s="11">
        <f>VLOOKUP($H4,output!$A$10:$AH$2201,AO$1-$J$1+2)</f>
        <v>0</v>
      </c>
      <c r="AP4" s="11">
        <f>VLOOKUP($H4,output!$A$10:$AH$2201,AP$1-$J$1+2)</f>
        <v>0</v>
      </c>
    </row>
    <row r="5" spans="8:42" x14ac:dyDescent="0.25">
      <c r="H5" t="s">
        <v>6</v>
      </c>
      <c r="I5" t="s">
        <v>109</v>
      </c>
      <c r="J5" s="11">
        <f>VLOOKUP($H5,output!$A$10:$AH$2201,J$1-$J$1+2)</f>
        <v>4.0209999999999999</v>
      </c>
      <c r="K5" s="11">
        <f>VLOOKUP($H5,output!$A$10:$AH$2201,K$1-$J$1+2)</f>
        <v>3.9380000000000002</v>
      </c>
      <c r="L5" s="11">
        <f>VLOOKUP($H5,output!$A$10:$AH$2201,L$1-$J$1+2)</f>
        <v>3.923</v>
      </c>
      <c r="M5" s="11">
        <f>VLOOKUP($H5,output!$A$10:$AH$2201,M$1-$J$1+2)</f>
        <v>3.9079999999999999</v>
      </c>
      <c r="N5" s="11">
        <f>VLOOKUP($H5,output!$A$10:$AH$2201,N$1-$J$1+2)</f>
        <v>3.915</v>
      </c>
      <c r="O5" s="11">
        <f>VLOOKUP($H5,output!$A$10:$AH$2201,O$1-$J$1+2)</f>
        <v>3.9169999999999998</v>
      </c>
      <c r="P5" s="11">
        <f>VLOOKUP($H5,output!$A$10:$AH$2201,P$1-$J$1+2)</f>
        <v>3.915</v>
      </c>
      <c r="Q5" s="11">
        <f>VLOOKUP($H5,output!$A$10:$AH$2201,Q$1-$J$1+2)</f>
        <v>3.8889999999999998</v>
      </c>
      <c r="R5" s="11">
        <f>VLOOKUP($H5,output!$A$10:$AH$2201,R$1-$J$1+2)</f>
        <v>3.8849999999999998</v>
      </c>
      <c r="S5" s="11">
        <f>VLOOKUP($H5,output!$A$10:$AH$2201,S$1-$J$1+2)</f>
        <v>3.8730000000000002</v>
      </c>
      <c r="T5" s="11">
        <f>VLOOKUP($H5,output!$A$10:$AH$2201,T$1-$J$1+2)</f>
        <v>3.871</v>
      </c>
      <c r="U5" s="11">
        <f>VLOOKUP($H5,output!$A$10:$AH$2201,U$1-$J$1+2)</f>
        <v>3.8809999999999998</v>
      </c>
      <c r="V5" s="11">
        <f>VLOOKUP($H5,output!$A$10:$AH$2201,V$1-$J$1+2)</f>
        <v>3.9009999999999998</v>
      </c>
      <c r="W5" s="11">
        <f>VLOOKUP($H5,output!$A$10:$AH$2201,W$1-$J$1+2)</f>
        <v>3.8809999999999998</v>
      </c>
      <c r="X5" s="11">
        <f>VLOOKUP($H5,output!$A$10:$AH$2201,X$1-$J$1+2)</f>
        <v>3.8620000000000001</v>
      </c>
      <c r="Y5" s="11">
        <f>VLOOKUP($H5,output!$A$10:$AH$2201,Y$1-$J$1+2)</f>
        <v>3.855</v>
      </c>
      <c r="Z5" s="11">
        <f>VLOOKUP($H5,output!$A$10:$AH$2201,Z$1-$J$1+2)</f>
        <v>3.8370000000000002</v>
      </c>
      <c r="AA5" s="11">
        <f>VLOOKUP($H5,output!$A$10:$AH$2201,AA$1-$J$1+2)</f>
        <v>3.8279999999999998</v>
      </c>
      <c r="AB5" s="11">
        <f>VLOOKUP($H5,output!$A$10:$AH$2201,AB$1-$J$1+2)</f>
        <v>3.8029999999999999</v>
      </c>
      <c r="AC5" s="11">
        <f>VLOOKUP($H5,output!$A$10:$AH$2201,AC$1-$J$1+2)</f>
        <v>3.782</v>
      </c>
      <c r="AD5" s="11">
        <f>VLOOKUP($H5,output!$A$10:$AH$2201,AD$1-$J$1+2)</f>
        <v>3.7549999999999999</v>
      </c>
      <c r="AE5" s="11">
        <f>VLOOKUP($H5,output!$A$10:$AH$2201,AE$1-$J$1+2)</f>
        <v>3.7559999999999998</v>
      </c>
      <c r="AF5" s="11">
        <f>VLOOKUP($H5,output!$A$10:$AH$2201,AF$1-$J$1+2)</f>
        <v>3.7429999999999999</v>
      </c>
      <c r="AG5" s="11">
        <f>VLOOKUP($H5,output!$A$10:$AH$2201,AG$1-$J$1+2)</f>
        <v>3.7440000000000002</v>
      </c>
      <c r="AH5" s="11">
        <f>VLOOKUP($H5,output!$A$10:$AH$2201,AH$1-$J$1+2)</f>
        <v>3.7370000000000001</v>
      </c>
      <c r="AI5" s="11">
        <f>VLOOKUP($H5,output!$A$10:$AH$2201,AI$1-$J$1+2)</f>
        <v>3.7330000000000001</v>
      </c>
      <c r="AJ5" s="11">
        <f>VLOOKUP($H5,output!$A$10:$AH$2201,AJ$1-$J$1+2)</f>
        <v>3.7349999999999999</v>
      </c>
      <c r="AK5" s="11">
        <f>VLOOKUP($H5,output!$A$10:$AH$2201,AK$1-$J$1+2)</f>
        <v>3.74</v>
      </c>
      <c r="AL5" s="11">
        <f>VLOOKUP($H5,output!$A$10:$AH$2201,AL$1-$J$1+2)</f>
        <v>0</v>
      </c>
      <c r="AM5" s="11">
        <f>VLOOKUP($H5,output!$A$10:$AH$2201,AM$1-$J$1+2)</f>
        <v>0</v>
      </c>
      <c r="AN5" s="11">
        <f>VLOOKUP($H5,output!$A$10:$AH$2201,AN$1-$J$1+2)</f>
        <v>0</v>
      </c>
      <c r="AO5" s="11">
        <f>VLOOKUP($H5,output!$A$10:$AH$2201,AO$1-$J$1+2)</f>
        <v>0</v>
      </c>
      <c r="AP5" s="11">
        <f>VLOOKUP($H5,output!$A$10:$AH$2201,AP$1-$J$1+2)</f>
        <v>0</v>
      </c>
    </row>
    <row r="6" spans="8:42" x14ac:dyDescent="0.25"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8:42" x14ac:dyDescent="0.25">
      <c r="I7" t="s">
        <v>137</v>
      </c>
      <c r="J7" s="11">
        <f>J3+J4</f>
        <v>30.064</v>
      </c>
      <c r="K7" s="11">
        <f t="shared" ref="K7:V7" si="0">K3+K4</f>
        <v>28.640999999999998</v>
      </c>
      <c r="L7" s="11">
        <f t="shared" si="0"/>
        <v>27.756999999999998</v>
      </c>
      <c r="M7" s="11">
        <f t="shared" si="0"/>
        <v>26.318000000000001</v>
      </c>
      <c r="N7" s="11">
        <f t="shared" si="0"/>
        <v>24.397000000000002</v>
      </c>
      <c r="O7" s="11">
        <f t="shared" si="0"/>
        <v>22.831000000000003</v>
      </c>
      <c r="P7" s="11">
        <f t="shared" si="0"/>
        <v>21.189999999999998</v>
      </c>
      <c r="Q7" s="11">
        <f t="shared" si="0"/>
        <v>19.445</v>
      </c>
      <c r="R7" s="11">
        <f t="shared" si="0"/>
        <v>17.763000000000002</v>
      </c>
      <c r="S7" s="11">
        <f t="shared" si="0"/>
        <v>16.023</v>
      </c>
      <c r="T7" s="11">
        <f t="shared" si="0"/>
        <v>14.396000000000001</v>
      </c>
      <c r="U7" s="11">
        <f t="shared" si="0"/>
        <v>12.882</v>
      </c>
      <c r="V7" s="13">
        <f t="shared" si="0"/>
        <v>11.457000000000001</v>
      </c>
      <c r="W7" s="13">
        <f t="shared" ref="W7:AP7" si="1">W3+W4</f>
        <v>10.59</v>
      </c>
      <c r="X7" s="13">
        <f t="shared" si="1"/>
        <v>9.7620000000000005</v>
      </c>
      <c r="Y7" s="13">
        <f t="shared" si="1"/>
        <v>8.9920000000000009</v>
      </c>
      <c r="Z7" s="13">
        <f t="shared" si="1"/>
        <v>8.3919999999999995</v>
      </c>
      <c r="AA7" s="13">
        <f t="shared" si="1"/>
        <v>6.6680000000000001</v>
      </c>
      <c r="AB7" s="13">
        <f t="shared" si="1"/>
        <v>7.024</v>
      </c>
      <c r="AC7" s="13">
        <f t="shared" si="1"/>
        <v>6.516</v>
      </c>
      <c r="AD7" s="13">
        <f t="shared" si="1"/>
        <v>6.0880000000000001</v>
      </c>
      <c r="AE7" s="13">
        <f t="shared" si="1"/>
        <v>5.7320000000000002</v>
      </c>
      <c r="AF7" s="13">
        <f t="shared" si="1"/>
        <v>5.444</v>
      </c>
      <c r="AG7" s="13">
        <f t="shared" si="1"/>
        <v>5.1050000000000004</v>
      </c>
      <c r="AH7" s="13">
        <f t="shared" si="1"/>
        <v>4.8369999999999997</v>
      </c>
      <c r="AI7" s="13">
        <f t="shared" si="1"/>
        <v>4.5640000000000001</v>
      </c>
      <c r="AJ7" s="13">
        <f t="shared" si="1"/>
        <v>4.282</v>
      </c>
      <c r="AK7" s="13">
        <f t="shared" si="1"/>
        <v>3.9950000000000001</v>
      </c>
      <c r="AL7" s="13">
        <f t="shared" si="1"/>
        <v>0</v>
      </c>
      <c r="AM7" s="13">
        <f t="shared" si="1"/>
        <v>0</v>
      </c>
      <c r="AN7" s="13">
        <f t="shared" si="1"/>
        <v>0</v>
      </c>
      <c r="AO7" s="13">
        <f t="shared" si="1"/>
        <v>0</v>
      </c>
      <c r="AP7" s="13">
        <f t="shared" si="1"/>
        <v>0</v>
      </c>
    </row>
    <row r="8" spans="8:42" x14ac:dyDescent="0.25">
      <c r="I8" t="s">
        <v>142</v>
      </c>
      <c r="J8" s="14"/>
      <c r="K8" s="14">
        <f t="shared" ref="K8:L8" si="2">J7-K7</f>
        <v>1.4230000000000018</v>
      </c>
      <c r="L8" s="14">
        <f t="shared" si="2"/>
        <v>0.88400000000000034</v>
      </c>
      <c r="M8" s="14">
        <f>L7-M7</f>
        <v>1.4389999999999965</v>
      </c>
      <c r="N8" s="14">
        <f t="shared" ref="N8:V8" si="3">M7-N7</f>
        <v>1.9209999999999994</v>
      </c>
      <c r="O8" s="14">
        <f>N7-O7</f>
        <v>1.5659999999999989</v>
      </c>
      <c r="P8" s="14">
        <f t="shared" si="3"/>
        <v>1.6410000000000053</v>
      </c>
      <c r="Q8" s="14">
        <f t="shared" si="3"/>
        <v>1.7449999999999974</v>
      </c>
      <c r="R8" s="14">
        <f t="shared" si="3"/>
        <v>1.6819999999999986</v>
      </c>
      <c r="S8" s="14">
        <f t="shared" si="3"/>
        <v>1.740000000000002</v>
      </c>
      <c r="T8" s="14">
        <f t="shared" si="3"/>
        <v>1.6269999999999989</v>
      </c>
      <c r="U8" s="14">
        <f t="shared" si="3"/>
        <v>1.5140000000000011</v>
      </c>
      <c r="V8" s="14">
        <f t="shared" si="3"/>
        <v>1.4249999999999989</v>
      </c>
      <c r="W8" s="14">
        <f t="shared" ref="W8" si="4">V7-W7</f>
        <v>0.86700000000000088</v>
      </c>
      <c r="X8" s="14">
        <f t="shared" ref="X8" si="5">W7-X7</f>
        <v>0.8279999999999994</v>
      </c>
      <c r="Y8" s="14">
        <f t="shared" ref="Y8" si="6">X7-Y7</f>
        <v>0.76999999999999957</v>
      </c>
      <c r="Z8" s="14">
        <f t="shared" ref="Z8" si="7">Y7-Z7</f>
        <v>0.60000000000000142</v>
      </c>
      <c r="AA8" s="14">
        <f t="shared" ref="AA8" si="8">Z7-AA7</f>
        <v>1.7239999999999993</v>
      </c>
      <c r="AB8" s="14">
        <f t="shared" ref="AB8" si="9">AA7-AB7</f>
        <v>-0.35599999999999987</v>
      </c>
      <c r="AC8" s="14">
        <f t="shared" ref="AC8" si="10">AB7-AC7</f>
        <v>0.50800000000000001</v>
      </c>
      <c r="AD8" s="14">
        <f t="shared" ref="AD8" si="11">AC7-AD7</f>
        <v>0.42799999999999994</v>
      </c>
      <c r="AE8" s="14">
        <f t="shared" ref="AE8" si="12">AD7-AE7</f>
        <v>0.35599999999999987</v>
      </c>
      <c r="AF8" s="14">
        <f t="shared" ref="AF8" si="13">AE7-AF7</f>
        <v>0.28800000000000026</v>
      </c>
      <c r="AG8" s="14">
        <f t="shared" ref="AG8" si="14">AF7-AG7</f>
        <v>0.33899999999999952</v>
      </c>
      <c r="AH8" s="14">
        <f t="shared" ref="AH8" si="15">AG7-AH7</f>
        <v>0.26800000000000068</v>
      </c>
      <c r="AI8" s="14">
        <f t="shared" ref="AI8" si="16">AH7-AI7</f>
        <v>0.27299999999999969</v>
      </c>
      <c r="AJ8" s="14">
        <f t="shared" ref="AJ8" si="17">AI7-AJ7</f>
        <v>0.28200000000000003</v>
      </c>
      <c r="AK8" s="14">
        <f t="shared" ref="AK8" si="18">AJ7-AK7</f>
        <v>0.28699999999999992</v>
      </c>
      <c r="AL8" s="14">
        <f t="shared" ref="AL8" si="19">AK7-AL7</f>
        <v>3.9950000000000001</v>
      </c>
      <c r="AM8" s="14">
        <f t="shared" ref="AM8" si="20">AL7-AM7</f>
        <v>0</v>
      </c>
      <c r="AN8" s="14">
        <f t="shared" ref="AN8" si="21">AM7-AN7</f>
        <v>0</v>
      </c>
      <c r="AO8" s="14">
        <f t="shared" ref="AO8" si="22">AN7-AO7</f>
        <v>0</v>
      </c>
      <c r="AP8" s="14">
        <f t="shared" ref="AP8" si="23">AO7-AP7</f>
        <v>0</v>
      </c>
    </row>
    <row r="9" spans="8:42" x14ac:dyDescent="0.25"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spans="8:42" x14ac:dyDescent="0.25">
      <c r="H10" t="s">
        <v>173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0.99</v>
      </c>
      <c r="Q10" s="11">
        <v>0.98</v>
      </c>
      <c r="R10" s="11">
        <v>0.97</v>
      </c>
      <c r="S10" s="11">
        <v>0.96</v>
      </c>
      <c r="T10" s="11">
        <v>0.95</v>
      </c>
      <c r="U10" s="11">
        <v>0.94</v>
      </c>
      <c r="V10" s="11">
        <v>0.93</v>
      </c>
      <c r="W10" s="11">
        <f t="shared" ref="W10:AO10" si="24">$V10-0.03*(W1-$V1)/20</f>
        <v>0.9285000000000001</v>
      </c>
      <c r="X10" s="11">
        <f t="shared" si="24"/>
        <v>0.92700000000000005</v>
      </c>
      <c r="Y10" s="11">
        <f t="shared" si="24"/>
        <v>0.9255000000000001</v>
      </c>
      <c r="Z10" s="11">
        <f t="shared" si="24"/>
        <v>0.92400000000000004</v>
      </c>
      <c r="AA10" s="11">
        <f t="shared" si="24"/>
        <v>0.9225000000000001</v>
      </c>
      <c r="AB10" s="11">
        <f t="shared" si="24"/>
        <v>0.92100000000000004</v>
      </c>
      <c r="AC10" s="11">
        <f t="shared" si="24"/>
        <v>0.9195000000000001</v>
      </c>
      <c r="AD10" s="11">
        <f t="shared" si="24"/>
        <v>0.91800000000000004</v>
      </c>
      <c r="AE10" s="11">
        <f t="shared" si="24"/>
        <v>0.91650000000000009</v>
      </c>
      <c r="AF10" s="11">
        <f t="shared" si="24"/>
        <v>0.91500000000000004</v>
      </c>
      <c r="AG10" s="11">
        <f t="shared" si="24"/>
        <v>0.91350000000000009</v>
      </c>
      <c r="AH10" s="11">
        <f t="shared" si="24"/>
        <v>0.91200000000000003</v>
      </c>
      <c r="AI10" s="11">
        <f t="shared" si="24"/>
        <v>0.91050000000000009</v>
      </c>
      <c r="AJ10" s="11">
        <f t="shared" si="24"/>
        <v>0.90900000000000003</v>
      </c>
      <c r="AK10" s="11">
        <f t="shared" si="24"/>
        <v>0.90750000000000008</v>
      </c>
      <c r="AL10" s="11">
        <f t="shared" si="24"/>
        <v>0.90600000000000003</v>
      </c>
      <c r="AM10" s="11">
        <f t="shared" si="24"/>
        <v>0.90450000000000008</v>
      </c>
      <c r="AN10" s="11">
        <f t="shared" si="24"/>
        <v>0.90300000000000002</v>
      </c>
      <c r="AO10" s="11">
        <f t="shared" si="24"/>
        <v>0.90150000000000008</v>
      </c>
      <c r="AP10" s="11">
        <v>0.9</v>
      </c>
    </row>
    <row r="11" spans="8:42" x14ac:dyDescent="0.25">
      <c r="H11" t="s">
        <v>174</v>
      </c>
      <c r="J11" s="11">
        <v>1</v>
      </c>
      <c r="K11" s="11">
        <v>1</v>
      </c>
      <c r="L11" s="11">
        <v>1</v>
      </c>
      <c r="M11" s="11">
        <v>0.99</v>
      </c>
      <c r="N11" s="11">
        <v>0.98</v>
      </c>
      <c r="O11" s="11">
        <v>0.97</v>
      </c>
      <c r="P11" s="11">
        <v>0.96</v>
      </c>
      <c r="Q11" s="11">
        <v>0.95</v>
      </c>
      <c r="R11" s="11">
        <v>0.94</v>
      </c>
      <c r="S11" s="11">
        <v>0.93</v>
      </c>
      <c r="T11" s="11">
        <v>0.92</v>
      </c>
      <c r="U11" s="11">
        <v>0.91500000000000004</v>
      </c>
      <c r="V11" s="11">
        <v>0.91</v>
      </c>
      <c r="W11" s="11">
        <v>0.9</v>
      </c>
      <c r="X11" s="11">
        <v>0.9</v>
      </c>
      <c r="Y11" s="11">
        <v>0.89</v>
      </c>
      <c r="Z11" s="11">
        <v>0.89</v>
      </c>
      <c r="AA11" s="11">
        <v>0.88</v>
      </c>
      <c r="AB11" s="11">
        <v>0.88</v>
      </c>
      <c r="AC11" s="11">
        <v>0.88</v>
      </c>
      <c r="AD11" s="11">
        <v>0.87</v>
      </c>
      <c r="AE11" s="11">
        <v>0.87</v>
      </c>
      <c r="AF11" s="11">
        <v>0.87</v>
      </c>
      <c r="AG11" s="11">
        <v>0.87</v>
      </c>
      <c r="AH11" s="11">
        <v>0.87</v>
      </c>
      <c r="AI11" s="11">
        <v>0.87</v>
      </c>
      <c r="AJ11" s="11">
        <v>0.86499999999999999</v>
      </c>
      <c r="AK11" s="11">
        <v>0.86499999999999999</v>
      </c>
      <c r="AL11" s="11">
        <v>0.86499999999999999</v>
      </c>
      <c r="AM11" s="11">
        <v>0.86499999999999999</v>
      </c>
      <c r="AN11" s="11">
        <v>0.86</v>
      </c>
      <c r="AO11" s="11">
        <v>0.86</v>
      </c>
      <c r="AP11" s="11">
        <v>0.86</v>
      </c>
    </row>
    <row r="12" spans="8:42" x14ac:dyDescent="0.25">
      <c r="H12" s="10" t="s">
        <v>175</v>
      </c>
      <c r="J12" s="11">
        <f>J10*J11</f>
        <v>1</v>
      </c>
      <c r="K12" s="11">
        <f t="shared" ref="K12:AP12" si="25">K10*K11</f>
        <v>1</v>
      </c>
      <c r="L12" s="11">
        <f t="shared" si="25"/>
        <v>1</v>
      </c>
      <c r="M12" s="11">
        <f t="shared" si="25"/>
        <v>0.99</v>
      </c>
      <c r="N12" s="11">
        <f t="shared" si="25"/>
        <v>0.98</v>
      </c>
      <c r="O12" s="11">
        <f t="shared" si="25"/>
        <v>0.97</v>
      </c>
      <c r="P12" s="11">
        <f t="shared" si="25"/>
        <v>0.95039999999999991</v>
      </c>
      <c r="Q12" s="11">
        <f t="shared" si="25"/>
        <v>0.93099999999999994</v>
      </c>
      <c r="R12" s="11">
        <f t="shared" si="25"/>
        <v>0.91179999999999994</v>
      </c>
      <c r="S12" s="11">
        <f t="shared" si="25"/>
        <v>0.89280000000000004</v>
      </c>
      <c r="T12" s="11">
        <f t="shared" si="25"/>
        <v>0.874</v>
      </c>
      <c r="U12" s="11">
        <f t="shared" si="25"/>
        <v>0.86009999999999998</v>
      </c>
      <c r="V12" s="11">
        <f t="shared" si="25"/>
        <v>0.84630000000000005</v>
      </c>
      <c r="W12" s="11">
        <f t="shared" si="25"/>
        <v>0.83565000000000011</v>
      </c>
      <c r="X12" s="11">
        <f t="shared" si="25"/>
        <v>0.83430000000000004</v>
      </c>
      <c r="Y12" s="11">
        <f t="shared" si="25"/>
        <v>0.82369500000000007</v>
      </c>
      <c r="Z12" s="11">
        <f t="shared" si="25"/>
        <v>0.82236000000000009</v>
      </c>
      <c r="AA12" s="11">
        <f t="shared" si="25"/>
        <v>0.81180000000000008</v>
      </c>
      <c r="AB12" s="11">
        <f t="shared" si="25"/>
        <v>0.81048000000000009</v>
      </c>
      <c r="AC12" s="11">
        <f t="shared" si="25"/>
        <v>0.8091600000000001</v>
      </c>
      <c r="AD12" s="11">
        <f t="shared" si="25"/>
        <v>0.79866000000000004</v>
      </c>
      <c r="AE12" s="11">
        <f t="shared" si="25"/>
        <v>0.79735500000000004</v>
      </c>
      <c r="AF12" s="11">
        <f t="shared" si="25"/>
        <v>0.79605000000000004</v>
      </c>
      <c r="AG12" s="11">
        <f t="shared" si="25"/>
        <v>0.79474500000000003</v>
      </c>
      <c r="AH12" s="11">
        <f t="shared" si="25"/>
        <v>0.79344000000000003</v>
      </c>
      <c r="AI12" s="11">
        <f t="shared" si="25"/>
        <v>0.79213500000000003</v>
      </c>
      <c r="AJ12" s="11">
        <f t="shared" si="25"/>
        <v>0.78628500000000001</v>
      </c>
      <c r="AK12" s="11">
        <f t="shared" si="25"/>
        <v>0.78498750000000006</v>
      </c>
      <c r="AL12" s="11">
        <f t="shared" si="25"/>
        <v>0.78369</v>
      </c>
      <c r="AM12" s="11">
        <f t="shared" si="25"/>
        <v>0.78239250000000005</v>
      </c>
      <c r="AN12" s="11">
        <f t="shared" si="25"/>
        <v>0.77658000000000005</v>
      </c>
      <c r="AO12" s="11">
        <f t="shared" si="25"/>
        <v>0.77529000000000003</v>
      </c>
      <c r="AP12" s="11">
        <f t="shared" si="25"/>
        <v>0.77400000000000002</v>
      </c>
    </row>
    <row r="13" spans="8:42" x14ac:dyDescent="0.25">
      <c r="J13" s="1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8:42" x14ac:dyDescent="0.25">
      <c r="H14" s="2" t="s">
        <v>176</v>
      </c>
      <c r="J14" s="1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8:42" x14ac:dyDescent="0.25">
      <c r="H15" t="s">
        <v>107</v>
      </c>
      <c r="J15" s="15">
        <f>J3*J$12</f>
        <v>20.02</v>
      </c>
      <c r="K15" s="15">
        <f t="shared" ref="K15:AP17" si="26">K3*K$12</f>
        <v>19.600999999999999</v>
      </c>
      <c r="L15" s="15">
        <f t="shared" si="26"/>
        <v>19.574999999999999</v>
      </c>
      <c r="M15" s="15">
        <f t="shared" si="26"/>
        <v>18.897120000000001</v>
      </c>
      <c r="N15" s="15">
        <f t="shared" si="26"/>
        <v>17.891860000000001</v>
      </c>
      <c r="O15" s="15">
        <f t="shared" si="26"/>
        <v>17.066179999999999</v>
      </c>
      <c r="P15" s="15">
        <f t="shared" si="26"/>
        <v>15.977174399999999</v>
      </c>
      <c r="Q15" s="15">
        <f t="shared" si="26"/>
        <v>14.789865999999998</v>
      </c>
      <c r="R15" s="15">
        <f t="shared" si="26"/>
        <v>13.682470799999999</v>
      </c>
      <c r="S15" s="15">
        <f t="shared" si="26"/>
        <v>12.5233056</v>
      </c>
      <c r="T15" s="15">
        <f t="shared" si="26"/>
        <v>11.459014</v>
      </c>
      <c r="U15" s="15">
        <f t="shared" si="26"/>
        <v>10.544825999999999</v>
      </c>
      <c r="V15" s="15">
        <f t="shared" si="26"/>
        <v>9.6960591000000012</v>
      </c>
      <c r="W15" s="15">
        <f t="shared" si="26"/>
        <v>8.8495335000000015</v>
      </c>
      <c r="X15" s="15">
        <f t="shared" si="26"/>
        <v>8.1444366000000006</v>
      </c>
      <c r="Y15" s="15">
        <f t="shared" si="26"/>
        <v>7.4066654400000012</v>
      </c>
      <c r="Z15" s="15">
        <f t="shared" si="26"/>
        <v>6.9012451200000005</v>
      </c>
      <c r="AA15" s="15">
        <f t="shared" si="26"/>
        <v>5.4130824000000004</v>
      </c>
      <c r="AB15" s="15">
        <f t="shared" si="26"/>
        <v>5.6928115200000002</v>
      </c>
      <c r="AC15" s="15">
        <f t="shared" si="26"/>
        <v>5.2724865600000008</v>
      </c>
      <c r="AD15" s="15">
        <f t="shared" si="26"/>
        <v>4.8622420800000006</v>
      </c>
      <c r="AE15" s="15">
        <f t="shared" si="26"/>
        <v>4.5704388600000003</v>
      </c>
      <c r="AF15" s="15">
        <f t="shared" si="26"/>
        <v>4.3336962000000003</v>
      </c>
      <c r="AG15" s="15">
        <f t="shared" si="26"/>
        <v>4.0571732250000005</v>
      </c>
      <c r="AH15" s="15">
        <f t="shared" si="26"/>
        <v>3.83786928</v>
      </c>
      <c r="AI15" s="15">
        <f t="shared" si="26"/>
        <v>3.6153041400000001</v>
      </c>
      <c r="AJ15" s="15">
        <f t="shared" si="26"/>
        <v>3.3668723700000003</v>
      </c>
      <c r="AK15" s="15">
        <f t="shared" si="26"/>
        <v>3.1360250625000003</v>
      </c>
      <c r="AL15" s="15">
        <f t="shared" si="26"/>
        <v>0</v>
      </c>
      <c r="AM15" s="15">
        <f t="shared" si="26"/>
        <v>0</v>
      </c>
      <c r="AN15" s="15">
        <f t="shared" si="26"/>
        <v>0</v>
      </c>
      <c r="AO15" s="15">
        <f t="shared" si="26"/>
        <v>0</v>
      </c>
      <c r="AP15" s="15">
        <f t="shared" si="26"/>
        <v>0</v>
      </c>
    </row>
    <row r="16" spans="8:42" x14ac:dyDescent="0.25">
      <c r="H16" t="s">
        <v>108</v>
      </c>
      <c r="J16" s="15">
        <f t="shared" ref="J16:Y17" si="27">J4*J$12</f>
        <v>10.044</v>
      </c>
      <c r="K16" s="15">
        <f t="shared" si="27"/>
        <v>9.0399999999999991</v>
      </c>
      <c r="L16" s="15">
        <f t="shared" si="27"/>
        <v>8.1820000000000004</v>
      </c>
      <c r="M16" s="15">
        <f t="shared" si="27"/>
        <v>7.1577000000000002</v>
      </c>
      <c r="N16" s="15">
        <f t="shared" si="27"/>
        <v>6.0171999999999999</v>
      </c>
      <c r="O16" s="15">
        <f t="shared" si="27"/>
        <v>5.0798899999999998</v>
      </c>
      <c r="P16" s="15">
        <f t="shared" si="27"/>
        <v>4.1618015999999995</v>
      </c>
      <c r="Q16" s="15">
        <f t="shared" si="27"/>
        <v>3.3134289999999997</v>
      </c>
      <c r="R16" s="15">
        <f t="shared" si="27"/>
        <v>2.5138325999999998</v>
      </c>
      <c r="S16" s="15">
        <f t="shared" si="27"/>
        <v>1.7820288</v>
      </c>
      <c r="T16" s="15">
        <f t="shared" si="27"/>
        <v>1.1230899999999999</v>
      </c>
      <c r="U16" s="15">
        <f t="shared" si="27"/>
        <v>0.53498219999999996</v>
      </c>
      <c r="V16" s="15">
        <f t="shared" si="27"/>
        <v>0</v>
      </c>
      <c r="W16" s="15">
        <f t="shared" si="27"/>
        <v>0</v>
      </c>
      <c r="X16" s="15">
        <f t="shared" si="27"/>
        <v>0</v>
      </c>
      <c r="Y16" s="15">
        <f t="shared" si="27"/>
        <v>0</v>
      </c>
      <c r="Z16" s="15">
        <f t="shared" si="26"/>
        <v>0</v>
      </c>
      <c r="AA16" s="15">
        <f t="shared" si="26"/>
        <v>0</v>
      </c>
      <c r="AB16" s="15">
        <f t="shared" si="26"/>
        <v>0</v>
      </c>
      <c r="AC16" s="15">
        <f t="shared" si="26"/>
        <v>0</v>
      </c>
      <c r="AD16" s="15">
        <f t="shared" si="26"/>
        <v>0</v>
      </c>
      <c r="AE16" s="15">
        <f t="shared" si="26"/>
        <v>0</v>
      </c>
      <c r="AF16" s="15">
        <f t="shared" si="26"/>
        <v>0</v>
      </c>
      <c r="AG16" s="15">
        <f t="shared" si="26"/>
        <v>0</v>
      </c>
      <c r="AH16" s="15">
        <f t="shared" si="26"/>
        <v>0</v>
      </c>
      <c r="AI16" s="15">
        <f t="shared" si="26"/>
        <v>0</v>
      </c>
      <c r="AJ16" s="15">
        <f t="shared" si="26"/>
        <v>0</v>
      </c>
      <c r="AK16" s="15">
        <f t="shared" si="26"/>
        <v>0</v>
      </c>
      <c r="AL16" s="15">
        <f t="shared" si="26"/>
        <v>0</v>
      </c>
      <c r="AM16" s="15">
        <f t="shared" si="26"/>
        <v>0</v>
      </c>
      <c r="AN16" s="15">
        <f t="shared" si="26"/>
        <v>0</v>
      </c>
      <c r="AO16" s="15">
        <f t="shared" si="26"/>
        <v>0</v>
      </c>
      <c r="AP16" s="15">
        <f t="shared" si="26"/>
        <v>0</v>
      </c>
    </row>
    <row r="17" spans="8:42" x14ac:dyDescent="0.25">
      <c r="H17" t="s">
        <v>109</v>
      </c>
      <c r="J17" s="15">
        <f t="shared" si="27"/>
        <v>4.0209999999999999</v>
      </c>
      <c r="K17" s="15">
        <f t="shared" si="26"/>
        <v>3.9380000000000002</v>
      </c>
      <c r="L17" s="15">
        <f t="shared" si="26"/>
        <v>3.923</v>
      </c>
      <c r="M17" s="15">
        <f t="shared" si="26"/>
        <v>3.8689199999999997</v>
      </c>
      <c r="N17" s="15">
        <f t="shared" si="26"/>
        <v>3.8367</v>
      </c>
      <c r="O17" s="15">
        <f t="shared" si="26"/>
        <v>3.7994899999999996</v>
      </c>
      <c r="P17" s="15">
        <f t="shared" si="26"/>
        <v>3.7208159999999997</v>
      </c>
      <c r="Q17" s="15">
        <f t="shared" si="26"/>
        <v>3.6206589999999994</v>
      </c>
      <c r="R17" s="15">
        <f t="shared" si="26"/>
        <v>3.5423429999999998</v>
      </c>
      <c r="S17" s="15">
        <f t="shared" si="26"/>
        <v>3.4578144000000002</v>
      </c>
      <c r="T17" s="15">
        <f t="shared" si="26"/>
        <v>3.383254</v>
      </c>
      <c r="U17" s="15">
        <f t="shared" si="26"/>
        <v>3.3380480999999995</v>
      </c>
      <c r="V17" s="15">
        <f t="shared" si="26"/>
        <v>3.3014163000000001</v>
      </c>
      <c r="W17" s="15">
        <f t="shared" si="26"/>
        <v>3.2431576500000001</v>
      </c>
      <c r="X17" s="15">
        <f t="shared" si="26"/>
        <v>3.2220666000000002</v>
      </c>
      <c r="Y17" s="15">
        <f t="shared" si="26"/>
        <v>3.1753442250000004</v>
      </c>
      <c r="Z17" s="15">
        <f t="shared" si="26"/>
        <v>3.1553953200000007</v>
      </c>
      <c r="AA17" s="15">
        <f t="shared" si="26"/>
        <v>3.1075704000000002</v>
      </c>
      <c r="AB17" s="15">
        <f t="shared" si="26"/>
        <v>3.0822554400000004</v>
      </c>
      <c r="AC17" s="15">
        <f t="shared" si="26"/>
        <v>3.0602431200000004</v>
      </c>
      <c r="AD17" s="15">
        <f t="shared" si="26"/>
        <v>2.9989683</v>
      </c>
      <c r="AE17" s="15">
        <f t="shared" si="26"/>
        <v>2.9948653799999998</v>
      </c>
      <c r="AF17" s="15">
        <f t="shared" si="26"/>
        <v>2.9796151499999999</v>
      </c>
      <c r="AG17" s="15">
        <f t="shared" si="26"/>
        <v>2.9755252800000003</v>
      </c>
      <c r="AH17" s="15">
        <f t="shared" si="26"/>
        <v>2.9650852800000003</v>
      </c>
      <c r="AI17" s="15">
        <f t="shared" si="26"/>
        <v>2.9570399550000004</v>
      </c>
      <c r="AJ17" s="15">
        <f t="shared" si="26"/>
        <v>2.936774475</v>
      </c>
      <c r="AK17" s="15">
        <f t="shared" si="26"/>
        <v>2.9358532500000005</v>
      </c>
      <c r="AL17" s="15">
        <f t="shared" si="26"/>
        <v>0</v>
      </c>
      <c r="AM17" s="15">
        <f t="shared" si="26"/>
        <v>0</v>
      </c>
      <c r="AN17" s="15">
        <f t="shared" si="26"/>
        <v>0</v>
      </c>
      <c r="AO17" s="15">
        <f t="shared" si="26"/>
        <v>0</v>
      </c>
      <c r="AP17" s="15">
        <f t="shared" si="26"/>
        <v>0</v>
      </c>
    </row>
    <row r="18" spans="8:42" x14ac:dyDescent="0.25">
      <c r="J18" s="1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8:42" x14ac:dyDescent="0.25">
      <c r="I19" t="s">
        <v>137</v>
      </c>
      <c r="J19" s="15">
        <f>SUM(J15:J16)</f>
        <v>30.064</v>
      </c>
      <c r="K19" s="15">
        <f t="shared" ref="K19:AP19" si="28">SUM(K15:K16)</f>
        <v>28.640999999999998</v>
      </c>
      <c r="L19" s="15">
        <f t="shared" si="28"/>
        <v>27.756999999999998</v>
      </c>
      <c r="M19" s="15">
        <f t="shared" si="28"/>
        <v>26.054819999999999</v>
      </c>
      <c r="N19" s="15">
        <f t="shared" si="28"/>
        <v>23.90906</v>
      </c>
      <c r="O19" s="15">
        <f t="shared" si="28"/>
        <v>22.146069999999998</v>
      </c>
      <c r="P19" s="15">
        <f t="shared" si="28"/>
        <v>20.138976</v>
      </c>
      <c r="Q19" s="15">
        <f t="shared" si="28"/>
        <v>18.103294999999999</v>
      </c>
      <c r="R19" s="15">
        <f t="shared" si="28"/>
        <v>16.196303399999998</v>
      </c>
      <c r="S19" s="15">
        <f t="shared" si="28"/>
        <v>14.3053344</v>
      </c>
      <c r="T19" s="15">
        <f t="shared" si="28"/>
        <v>12.582103999999999</v>
      </c>
      <c r="U19" s="15">
        <f t="shared" si="28"/>
        <v>11.079808199999999</v>
      </c>
      <c r="V19" s="16">
        <f t="shared" si="28"/>
        <v>9.6960591000000012</v>
      </c>
      <c r="W19" s="15">
        <f t="shared" si="28"/>
        <v>8.8495335000000015</v>
      </c>
      <c r="X19" s="15">
        <f t="shared" si="28"/>
        <v>8.1444366000000006</v>
      </c>
      <c r="Y19" s="15">
        <f t="shared" si="28"/>
        <v>7.4066654400000012</v>
      </c>
      <c r="Z19" s="15">
        <f t="shared" si="28"/>
        <v>6.9012451200000005</v>
      </c>
      <c r="AA19" s="15">
        <f t="shared" si="28"/>
        <v>5.4130824000000004</v>
      </c>
      <c r="AB19" s="15">
        <f t="shared" si="28"/>
        <v>5.6928115200000002</v>
      </c>
      <c r="AC19" s="15">
        <f t="shared" si="28"/>
        <v>5.2724865600000008</v>
      </c>
      <c r="AD19" s="15">
        <f t="shared" si="28"/>
        <v>4.8622420800000006</v>
      </c>
      <c r="AE19" s="15">
        <f t="shared" si="28"/>
        <v>4.5704388600000003</v>
      </c>
      <c r="AF19" s="15">
        <f t="shared" si="28"/>
        <v>4.3336962000000003</v>
      </c>
      <c r="AG19" s="15">
        <f t="shared" si="28"/>
        <v>4.0571732250000005</v>
      </c>
      <c r="AH19" s="15">
        <f t="shared" si="28"/>
        <v>3.83786928</v>
      </c>
      <c r="AI19" s="15">
        <f t="shared" si="28"/>
        <v>3.6153041400000001</v>
      </c>
      <c r="AJ19" s="15">
        <f t="shared" si="28"/>
        <v>3.3668723700000003</v>
      </c>
      <c r="AK19" s="15">
        <f t="shared" si="28"/>
        <v>3.1360250625000003</v>
      </c>
      <c r="AL19" s="15">
        <f t="shared" si="28"/>
        <v>0</v>
      </c>
      <c r="AM19" s="15">
        <f t="shared" si="28"/>
        <v>0</v>
      </c>
      <c r="AN19" s="15">
        <f t="shared" si="28"/>
        <v>0</v>
      </c>
      <c r="AO19" s="15">
        <f t="shared" si="28"/>
        <v>0</v>
      </c>
      <c r="AP19" s="15">
        <f t="shared" si="28"/>
        <v>0</v>
      </c>
    </row>
    <row r="20" spans="8:42" x14ac:dyDescent="0.25">
      <c r="I20" t="s">
        <v>142</v>
      </c>
      <c r="J20" s="11"/>
      <c r="K20" s="11">
        <f>K19-J19</f>
        <v>-1.4230000000000018</v>
      </c>
      <c r="L20" s="11">
        <f t="shared" ref="L20:AP20" si="29">L19-K19</f>
        <v>-0.88400000000000034</v>
      </c>
      <c r="M20" s="11">
        <f t="shared" si="29"/>
        <v>-1.7021799999999985</v>
      </c>
      <c r="N20" s="11">
        <f t="shared" si="29"/>
        <v>-2.1457599999999992</v>
      </c>
      <c r="O20" s="11">
        <f>O19-N19</f>
        <v>-1.7629900000000021</v>
      </c>
      <c r="P20" s="11">
        <f t="shared" si="29"/>
        <v>-2.0070939999999986</v>
      </c>
      <c r="Q20" s="11">
        <f t="shared" si="29"/>
        <v>-2.0356810000000003</v>
      </c>
      <c r="R20" s="11">
        <f t="shared" si="29"/>
        <v>-1.9069916000000013</v>
      </c>
      <c r="S20" s="11">
        <f t="shared" si="29"/>
        <v>-1.8909689999999983</v>
      </c>
      <c r="T20" s="11">
        <f t="shared" si="29"/>
        <v>-1.7232304000000003</v>
      </c>
      <c r="U20" s="11">
        <f t="shared" si="29"/>
        <v>-1.5022958000000006</v>
      </c>
      <c r="V20" s="11">
        <f t="shared" si="29"/>
        <v>-1.3837490999999975</v>
      </c>
      <c r="W20" s="11">
        <f t="shared" si="29"/>
        <v>-0.84652559999999966</v>
      </c>
      <c r="X20" s="11">
        <f t="shared" si="29"/>
        <v>-0.70509690000000091</v>
      </c>
      <c r="Y20" s="11">
        <f t="shared" si="29"/>
        <v>-0.73777115999999943</v>
      </c>
      <c r="Z20" s="11">
        <f t="shared" si="29"/>
        <v>-0.5054203200000007</v>
      </c>
      <c r="AA20" s="11">
        <f t="shared" si="29"/>
        <v>-1.48816272</v>
      </c>
      <c r="AB20" s="11">
        <f t="shared" si="29"/>
        <v>0.27972911999999983</v>
      </c>
      <c r="AC20" s="11">
        <f t="shared" si="29"/>
        <v>-0.42032495999999941</v>
      </c>
      <c r="AD20" s="11">
        <f t="shared" si="29"/>
        <v>-0.41024448000000024</v>
      </c>
      <c r="AE20" s="11">
        <f t="shared" si="29"/>
        <v>-0.29180322000000025</v>
      </c>
      <c r="AF20" s="11">
        <f t="shared" si="29"/>
        <v>-0.23674265999999999</v>
      </c>
      <c r="AG20" s="11">
        <f t="shared" si="29"/>
        <v>-0.27652297499999978</v>
      </c>
      <c r="AH20" s="11">
        <f t="shared" si="29"/>
        <v>-0.2193039450000005</v>
      </c>
      <c r="AI20" s="11">
        <f t="shared" si="29"/>
        <v>-0.22256513999999994</v>
      </c>
      <c r="AJ20" s="11">
        <f t="shared" si="29"/>
        <v>-0.24843176999999983</v>
      </c>
      <c r="AK20" s="11">
        <f t="shared" si="29"/>
        <v>-0.23084730749999993</v>
      </c>
      <c r="AL20" s="11">
        <f t="shared" si="29"/>
        <v>-3.1360250625000003</v>
      </c>
      <c r="AM20" s="11">
        <f t="shared" si="29"/>
        <v>0</v>
      </c>
      <c r="AN20" s="11">
        <f t="shared" si="29"/>
        <v>0</v>
      </c>
      <c r="AO20" s="11">
        <f t="shared" si="29"/>
        <v>0</v>
      </c>
      <c r="AP20" s="11">
        <f t="shared" si="29"/>
        <v>0</v>
      </c>
    </row>
    <row r="21" spans="8:42" x14ac:dyDescent="0.25">
      <c r="I21" t="s">
        <v>185</v>
      </c>
      <c r="J21" s="11"/>
      <c r="K21" s="11"/>
      <c r="L21" s="3">
        <f>L19/$K19-1</f>
        <v>-3.0864844104605327E-2</v>
      </c>
      <c r="M21" s="3">
        <f t="shared" ref="M21:N21" si="30">M19/$K19-1</f>
        <v>-9.0296428197339407E-2</v>
      </c>
      <c r="N21" s="3">
        <f t="shared" si="30"/>
        <v>-0.16521560001396596</v>
      </c>
      <c r="O21" s="3">
        <f t="shared" ref="O21:AP21" si="31">O19/$K19-1</f>
        <v>-0.22677036416326246</v>
      </c>
      <c r="P21" s="3">
        <f t="shared" si="31"/>
        <v>-0.29684801508327219</v>
      </c>
      <c r="Q21" s="3">
        <f t="shared" si="31"/>
        <v>-0.36792378059425301</v>
      </c>
      <c r="R21" s="3">
        <f t="shared" si="31"/>
        <v>-0.43450635801822568</v>
      </c>
      <c r="S21" s="3">
        <f t="shared" si="31"/>
        <v>-0.50052950665130402</v>
      </c>
      <c r="T21" s="3">
        <f t="shared" si="31"/>
        <v>-0.56069606508152647</v>
      </c>
      <c r="U21" s="3">
        <f t="shared" si="31"/>
        <v>-0.61314869592542154</v>
      </c>
      <c r="V21" s="17">
        <f t="shared" si="31"/>
        <v>-0.66146227087043041</v>
      </c>
      <c r="W21" s="3">
        <f t="shared" si="31"/>
        <v>-0.69101869697287099</v>
      </c>
      <c r="X21" s="3">
        <f t="shared" si="31"/>
        <v>-0.71563714255787159</v>
      </c>
      <c r="Y21" s="3">
        <f t="shared" si="31"/>
        <v>-0.74139640934324913</v>
      </c>
      <c r="Z21" s="3">
        <f t="shared" si="31"/>
        <v>-0.75904315072797734</v>
      </c>
      <c r="AA21" s="3">
        <f t="shared" si="31"/>
        <v>-0.81100232533780248</v>
      </c>
      <c r="AB21" s="3">
        <f t="shared" si="31"/>
        <v>-0.8012355881428721</v>
      </c>
      <c r="AC21" s="3">
        <f t="shared" si="31"/>
        <v>-0.81591122656331827</v>
      </c>
      <c r="AD21" s="3">
        <f t="shared" si="31"/>
        <v>-0.83023490520582377</v>
      </c>
      <c r="AE21" s="3">
        <f t="shared" si="31"/>
        <v>-0.84042320938514714</v>
      </c>
      <c r="AF21" s="3">
        <f t="shared" si="31"/>
        <v>-0.84868907510212632</v>
      </c>
      <c r="AG21" s="3">
        <f t="shared" si="31"/>
        <v>-0.85834386980203203</v>
      </c>
      <c r="AH21" s="3">
        <f t="shared" si="31"/>
        <v>-0.86600086309835556</v>
      </c>
      <c r="AI21" s="3">
        <f t="shared" si="31"/>
        <v>-0.87377172095946376</v>
      </c>
      <c r="AJ21" s="3">
        <f t="shared" si="31"/>
        <v>-0.88244571174190845</v>
      </c>
      <c r="AK21" s="3">
        <f t="shared" si="31"/>
        <v>-0.89050574133235572</v>
      </c>
      <c r="AL21" s="3">
        <f t="shared" si="31"/>
        <v>-1</v>
      </c>
      <c r="AM21" s="3">
        <f t="shared" si="31"/>
        <v>-1</v>
      </c>
      <c r="AN21" s="3">
        <f t="shared" si="31"/>
        <v>-1</v>
      </c>
      <c r="AO21" s="3">
        <f t="shared" si="31"/>
        <v>-1</v>
      </c>
      <c r="AP21" s="3">
        <f t="shared" si="31"/>
        <v>-1</v>
      </c>
    </row>
    <row r="22" spans="8:42" x14ac:dyDescent="0.25"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</row>
    <row r="23" spans="8:42" x14ac:dyDescent="0.25">
      <c r="H23" t="s">
        <v>9</v>
      </c>
      <c r="I23" t="s">
        <v>110</v>
      </c>
      <c r="J23" s="11">
        <f>VLOOKUP($H23,output!$A$10:$AH$2201,J$1-$J$1+2)</f>
        <v>0.39700000000000002</v>
      </c>
      <c r="K23" s="11">
        <f>VLOOKUP($H23,output!$A$10:$AH$2201,K$1-$J$1+2)</f>
        <v>0.54500000000000004</v>
      </c>
      <c r="L23" s="11">
        <f>VLOOKUP($H23,output!$A$10:$AH$2201,L$1-$J$1+2)</f>
        <v>0.75700000000000001</v>
      </c>
      <c r="M23" s="11">
        <f>VLOOKUP($H23,output!$A$10:$AH$2201,M$1-$J$1+2)</f>
        <v>0.96899999999999997</v>
      </c>
      <c r="N23" s="11">
        <f>VLOOKUP($H23,output!$A$10:$AH$2201,N$1-$J$1+2)</f>
        <v>1.1819999999999999</v>
      </c>
      <c r="O23" s="11">
        <f>VLOOKUP($H23,output!$A$10:$AH$2201,O$1-$J$1+2)</f>
        <v>1.395</v>
      </c>
      <c r="P23" s="11">
        <f>VLOOKUP($H23,output!$A$10:$AH$2201,P$1-$J$1+2)</f>
        <v>1.6060000000000001</v>
      </c>
      <c r="Q23" s="11">
        <f>VLOOKUP($H23,output!$A$10:$AH$2201,Q$1-$J$1+2)</f>
        <v>1.7569999999999999</v>
      </c>
      <c r="R23" s="11">
        <f>VLOOKUP($H23,output!$A$10:$AH$2201,R$1-$J$1+2)</f>
        <v>1.913</v>
      </c>
      <c r="S23" s="11">
        <f>VLOOKUP($H23,output!$A$10:$AH$2201,S$1-$J$1+2)</f>
        <v>2.0670000000000002</v>
      </c>
      <c r="T23" s="11">
        <f>VLOOKUP($H23,output!$A$10:$AH$2201,T$1-$J$1+2)</f>
        <v>2.2250000000000001</v>
      </c>
      <c r="U23" s="11">
        <f>VLOOKUP($H23,output!$A$10:$AH$2201,U$1-$J$1+2)</f>
        <v>2.3849999999999998</v>
      </c>
      <c r="V23" s="11">
        <f>VLOOKUP($H23,output!$A$10:$AH$2201,V$1-$J$1+2)</f>
        <v>2.5489999999999999</v>
      </c>
      <c r="W23" s="11">
        <f>VLOOKUP($H23,output!$A$10:$AH$2201,W$1-$J$1+2)</f>
        <v>2.7130000000000001</v>
      </c>
      <c r="X23" s="11">
        <f>VLOOKUP($H23,output!$A$10:$AH$2201,X$1-$J$1+2)</f>
        <v>2.8820000000000001</v>
      </c>
      <c r="Y23" s="11">
        <f>VLOOKUP($H23,output!$A$10:$AH$2201,Y$1-$J$1+2)</f>
        <v>3.0539999999999998</v>
      </c>
      <c r="Z23" s="11">
        <f>VLOOKUP($H23,output!$A$10:$AH$2201,Z$1-$J$1+2)</f>
        <v>3.2290000000000001</v>
      </c>
      <c r="AA23" s="11">
        <f>VLOOKUP($H23,output!$A$10:$AH$2201,AA$1-$J$1+2)</f>
        <v>3.33</v>
      </c>
      <c r="AB23" s="11">
        <f>VLOOKUP($H23,output!$A$10:$AH$2201,AB$1-$J$1+2)</f>
        <v>3.4319999999999999</v>
      </c>
      <c r="AC23" s="11">
        <f>VLOOKUP($H23,output!$A$10:$AH$2201,AC$1-$J$1+2)</f>
        <v>3.536</v>
      </c>
      <c r="AD23" s="11">
        <f>VLOOKUP($H23,output!$A$10:$AH$2201,AD$1-$J$1+2)</f>
        <v>3.64</v>
      </c>
      <c r="AE23" s="11">
        <f>VLOOKUP($H23,output!$A$10:$AH$2201,AE$1-$J$1+2)</f>
        <v>3.7080000000000002</v>
      </c>
      <c r="AF23" s="11">
        <f>VLOOKUP($H23,output!$A$10:$AH$2201,AF$1-$J$1+2)</f>
        <v>3.794</v>
      </c>
      <c r="AG23" s="11">
        <f>VLOOKUP($H23,output!$A$10:$AH$2201,AG$1-$J$1+2)</f>
        <v>3.883</v>
      </c>
      <c r="AH23" s="11">
        <f>VLOOKUP($H23,output!$A$10:$AH$2201,AH$1-$J$1+2)</f>
        <v>3.97</v>
      </c>
      <c r="AI23" s="11">
        <f>VLOOKUP($H23,output!$A$10:$AH$2201,AI$1-$J$1+2)</f>
        <v>4.0570000000000004</v>
      </c>
      <c r="AJ23" s="11">
        <f>VLOOKUP($H23,output!$A$10:$AH$2201,AJ$1-$J$1+2)</f>
        <v>4.1440000000000001</v>
      </c>
      <c r="AK23" s="11">
        <f>VLOOKUP($H23,output!$A$10:$AH$2201,AK$1-$J$1+2)</f>
        <v>4.2320000000000002</v>
      </c>
      <c r="AL23" s="11">
        <f>VLOOKUP($H23,output!$A$10:$AH$2201,AL$1-$J$1+2)</f>
        <v>0</v>
      </c>
      <c r="AM23" s="11">
        <f>VLOOKUP($H23,output!$A$10:$AH$2201,AM$1-$J$1+2)</f>
        <v>0</v>
      </c>
      <c r="AN23" s="11">
        <f>VLOOKUP($H23,output!$A$10:$AH$2201,AN$1-$J$1+2)</f>
        <v>0</v>
      </c>
      <c r="AO23" s="11">
        <f>VLOOKUP($H23,output!$A$10:$AH$2201,AO$1-$J$1+2)</f>
        <v>0</v>
      </c>
      <c r="AP23" s="11">
        <f>VLOOKUP($H23,output!$A$10:$AH$2201,AP$1-$J$1+2)</f>
        <v>0</v>
      </c>
    </row>
    <row r="24" spans="8:42" x14ac:dyDescent="0.25">
      <c r="H24" t="s">
        <v>10</v>
      </c>
      <c r="I24" t="s">
        <v>111</v>
      </c>
      <c r="J24" s="11">
        <f>VLOOKUP($H24,output!$A$10:$AH$2201,J$1-$J$1+2)</f>
        <v>2.1560000000000001</v>
      </c>
      <c r="K24" s="11">
        <f>VLOOKUP($H24,output!$A$10:$AH$2201,K$1-$J$1+2)</f>
        <v>2.4350000000000001</v>
      </c>
      <c r="L24" s="11">
        <f>VLOOKUP($H24,output!$A$10:$AH$2201,L$1-$J$1+2)</f>
        <v>2.6859999999999999</v>
      </c>
      <c r="M24" s="11">
        <f>VLOOKUP($H24,output!$A$10:$AH$2201,M$1-$J$1+2)</f>
        <v>2.9470000000000001</v>
      </c>
      <c r="N24" s="11">
        <f>VLOOKUP($H24,output!$A$10:$AH$2201,N$1-$J$1+2)</f>
        <v>3.2240000000000002</v>
      </c>
      <c r="O24" s="11">
        <f>VLOOKUP($H24,output!$A$10:$AH$2201,O$1-$J$1+2)</f>
        <v>3.5190000000000001</v>
      </c>
      <c r="P24" s="11">
        <f>VLOOKUP($H24,output!$A$10:$AH$2201,P$1-$J$1+2)</f>
        <v>3.8340000000000001</v>
      </c>
      <c r="Q24" s="11">
        <f>VLOOKUP($H24,output!$A$10:$AH$2201,Q$1-$J$1+2)</f>
        <v>4.141</v>
      </c>
      <c r="R24" s="11">
        <f>VLOOKUP($H24,output!$A$10:$AH$2201,R$1-$J$1+2)</f>
        <v>4.4649999999999999</v>
      </c>
      <c r="S24" s="11">
        <f>VLOOKUP($H24,output!$A$10:$AH$2201,S$1-$J$1+2)</f>
        <v>4.8179999999999996</v>
      </c>
      <c r="T24" s="11">
        <f>VLOOKUP($H24,output!$A$10:$AH$2201,T$1-$J$1+2)</f>
        <v>5.194</v>
      </c>
      <c r="U24" s="11">
        <f>VLOOKUP($H24,output!$A$10:$AH$2201,U$1-$J$1+2)</f>
        <v>5.5949999999999998</v>
      </c>
      <c r="V24" s="11">
        <f>VLOOKUP($H24,output!$A$10:$AH$2201,V$1-$J$1+2)</f>
        <v>6.0179999999999998</v>
      </c>
      <c r="W24" s="11">
        <f>VLOOKUP($H24,output!$A$10:$AH$2201,W$1-$J$1+2)</f>
        <v>6.4039999999999999</v>
      </c>
      <c r="X24" s="11">
        <f>VLOOKUP($H24,output!$A$10:$AH$2201,X$1-$J$1+2)</f>
        <v>6.8079999999999998</v>
      </c>
      <c r="Y24" s="11">
        <f>VLOOKUP($H24,output!$A$10:$AH$2201,Y$1-$J$1+2)</f>
        <v>7.2309999999999999</v>
      </c>
      <c r="Z24" s="11">
        <f>VLOOKUP($H24,output!$A$10:$AH$2201,Z$1-$J$1+2)</f>
        <v>7.6459999999999999</v>
      </c>
      <c r="AA24" s="11">
        <f>VLOOKUP($H24,output!$A$10:$AH$2201,AA$1-$J$1+2)</f>
        <v>8.0660000000000007</v>
      </c>
      <c r="AB24" s="11">
        <f>VLOOKUP($H24,output!$A$10:$AH$2201,AB$1-$J$1+2)</f>
        <v>8.4809999999999999</v>
      </c>
      <c r="AC24" s="11">
        <f>VLOOKUP($H24,output!$A$10:$AH$2201,AC$1-$J$1+2)</f>
        <v>8.9030000000000005</v>
      </c>
      <c r="AD24" s="11">
        <f>VLOOKUP($H24,output!$A$10:$AH$2201,AD$1-$J$1+2)</f>
        <v>9.3059999999999992</v>
      </c>
      <c r="AE24" s="11">
        <f>VLOOKUP($H24,output!$A$10:$AH$2201,AE$1-$J$1+2)</f>
        <v>9.5500000000000007</v>
      </c>
      <c r="AF24" s="11">
        <f>VLOOKUP($H24,output!$A$10:$AH$2201,AF$1-$J$1+2)</f>
        <v>9.8070000000000004</v>
      </c>
      <c r="AG24" s="11">
        <f>VLOOKUP($H24,output!$A$10:$AH$2201,AG$1-$J$1+2)</f>
        <v>10.074999999999999</v>
      </c>
      <c r="AH24" s="11">
        <f>VLOOKUP($H24,output!$A$10:$AH$2201,AH$1-$J$1+2)</f>
        <v>10.324</v>
      </c>
      <c r="AI24" s="11">
        <f>VLOOKUP($H24,output!$A$10:$AH$2201,AI$1-$J$1+2)</f>
        <v>10.569000000000001</v>
      </c>
      <c r="AJ24" s="11">
        <f>VLOOKUP($H24,output!$A$10:$AH$2201,AJ$1-$J$1+2)</f>
        <v>10.808999999999999</v>
      </c>
      <c r="AK24" s="11">
        <f>VLOOKUP($H24,output!$A$10:$AH$2201,AK$1-$J$1+2)</f>
        <v>11.044</v>
      </c>
      <c r="AL24" s="11">
        <f>VLOOKUP($H24,output!$A$10:$AH$2201,AL$1-$J$1+2)</f>
        <v>0</v>
      </c>
      <c r="AM24" s="11">
        <f>VLOOKUP($H24,output!$A$10:$AH$2201,AM$1-$J$1+2)</f>
        <v>0</v>
      </c>
      <c r="AN24" s="11">
        <f>VLOOKUP($H24,output!$A$10:$AH$2201,AN$1-$J$1+2)</f>
        <v>0</v>
      </c>
      <c r="AO24" s="11">
        <f>VLOOKUP($H24,output!$A$10:$AH$2201,AO$1-$J$1+2)</f>
        <v>0</v>
      </c>
      <c r="AP24" s="11">
        <f>VLOOKUP($H24,output!$A$10:$AH$2201,AP$1-$J$1+2)</f>
        <v>0</v>
      </c>
    </row>
    <row r="25" spans="8:42" x14ac:dyDescent="0.25">
      <c r="H25" t="s">
        <v>11</v>
      </c>
      <c r="I25" t="s">
        <v>112</v>
      </c>
      <c r="J25" s="11">
        <f>VLOOKUP($H25,output!$A$10:$AH$2201,J$1-$J$1+2)</f>
        <v>5.55</v>
      </c>
      <c r="K25" s="11">
        <f>VLOOKUP($H25,output!$A$10:$AH$2201,K$1-$J$1+2)</f>
        <v>6.0179999999999998</v>
      </c>
      <c r="L25" s="11">
        <f>VLOOKUP($H25,output!$A$10:$AH$2201,L$1-$J$1+2)</f>
        <v>6.359</v>
      </c>
      <c r="M25" s="11">
        <f>VLOOKUP($H25,output!$A$10:$AH$2201,M$1-$J$1+2)</f>
        <v>6.835</v>
      </c>
      <c r="N25" s="11">
        <f>VLOOKUP($H25,output!$A$10:$AH$2201,N$1-$J$1+2)</f>
        <v>7.3259999999999996</v>
      </c>
      <c r="O25" s="11">
        <f>VLOOKUP($H25,output!$A$10:$AH$2201,O$1-$J$1+2)</f>
        <v>7.843</v>
      </c>
      <c r="P25" s="11">
        <f>VLOOKUP($H25,output!$A$10:$AH$2201,P$1-$J$1+2)</f>
        <v>8.3770000000000007</v>
      </c>
      <c r="Q25" s="11">
        <f>VLOOKUP($H25,output!$A$10:$AH$2201,Q$1-$J$1+2)</f>
        <v>8.9450000000000003</v>
      </c>
      <c r="R25" s="11">
        <f>VLOOKUP($H25,output!$A$10:$AH$2201,R$1-$J$1+2)</f>
        <v>9.5090000000000003</v>
      </c>
      <c r="S25" s="11">
        <f>VLOOKUP($H25,output!$A$10:$AH$2201,S$1-$J$1+2)</f>
        <v>10.092000000000001</v>
      </c>
      <c r="T25" s="11">
        <f>VLOOKUP($H25,output!$A$10:$AH$2201,T$1-$J$1+2)</f>
        <v>10.634</v>
      </c>
      <c r="U25" s="11">
        <f>VLOOKUP($H25,output!$A$10:$AH$2201,U$1-$J$1+2)</f>
        <v>11.148</v>
      </c>
      <c r="V25" s="11">
        <f>VLOOKUP($H25,output!$A$10:$AH$2201,V$1-$J$1+2)</f>
        <v>11.615</v>
      </c>
      <c r="W25" s="11">
        <f>VLOOKUP($H25,output!$A$10:$AH$2201,W$1-$J$1+2)</f>
        <v>11.957000000000001</v>
      </c>
      <c r="X25" s="11">
        <f>VLOOKUP($H25,output!$A$10:$AH$2201,X$1-$J$1+2)</f>
        <v>12.417</v>
      </c>
      <c r="Y25" s="11">
        <f>VLOOKUP($H25,output!$A$10:$AH$2201,Y$1-$J$1+2)</f>
        <v>12.785</v>
      </c>
      <c r="Z25" s="11">
        <f>VLOOKUP($H25,output!$A$10:$AH$2201,Z$1-$J$1+2)</f>
        <v>13.061</v>
      </c>
      <c r="AA25" s="11">
        <f>VLOOKUP($H25,output!$A$10:$AH$2201,AA$1-$J$1+2)</f>
        <v>13.427</v>
      </c>
      <c r="AB25" s="11">
        <f>VLOOKUP($H25,output!$A$10:$AH$2201,AB$1-$J$1+2)</f>
        <v>13.611000000000001</v>
      </c>
      <c r="AC25" s="11">
        <f>VLOOKUP($H25,output!$A$10:$AH$2201,AC$1-$J$1+2)</f>
        <v>13.746</v>
      </c>
      <c r="AD25" s="11">
        <f>VLOOKUP($H25,output!$A$10:$AH$2201,AD$1-$J$1+2)</f>
        <v>13.816000000000001</v>
      </c>
      <c r="AE25" s="11">
        <f>VLOOKUP($H25,output!$A$10:$AH$2201,AE$1-$J$1+2)</f>
        <v>13.888</v>
      </c>
      <c r="AF25" s="11">
        <f>VLOOKUP($H25,output!$A$10:$AH$2201,AF$1-$J$1+2)</f>
        <v>13.92</v>
      </c>
      <c r="AG25" s="11">
        <f>VLOOKUP($H25,output!$A$10:$AH$2201,AG$1-$J$1+2)</f>
        <v>13.938000000000001</v>
      </c>
      <c r="AH25" s="11">
        <f>VLOOKUP($H25,output!$A$10:$AH$2201,AH$1-$J$1+2)</f>
        <v>13.946</v>
      </c>
      <c r="AI25" s="11">
        <f>VLOOKUP($H25,output!$A$10:$AH$2201,AI$1-$J$1+2)</f>
        <v>13.944000000000001</v>
      </c>
      <c r="AJ25" s="11">
        <f>VLOOKUP($H25,output!$A$10:$AH$2201,AJ$1-$J$1+2)</f>
        <v>13.930999999999999</v>
      </c>
      <c r="AK25" s="11">
        <f>VLOOKUP($H25,output!$A$10:$AH$2201,AK$1-$J$1+2)</f>
        <v>13.907999999999999</v>
      </c>
      <c r="AL25" s="11">
        <f>VLOOKUP($H25,output!$A$10:$AH$2201,AL$1-$J$1+2)</f>
        <v>0</v>
      </c>
      <c r="AM25" s="11">
        <f>VLOOKUP($H25,output!$A$10:$AH$2201,AM$1-$J$1+2)</f>
        <v>0</v>
      </c>
      <c r="AN25" s="11">
        <f>VLOOKUP($H25,output!$A$10:$AH$2201,AN$1-$J$1+2)</f>
        <v>0</v>
      </c>
      <c r="AO25" s="11">
        <f>VLOOKUP($H25,output!$A$10:$AH$2201,AO$1-$J$1+2)</f>
        <v>0</v>
      </c>
      <c r="AP25" s="11">
        <f>VLOOKUP($H25,output!$A$10:$AH$2201,AP$1-$J$1+2)</f>
        <v>0</v>
      </c>
    </row>
    <row r="26" spans="8:42" x14ac:dyDescent="0.25">
      <c r="H26" t="s">
        <v>12</v>
      </c>
      <c r="I26" t="s">
        <v>113</v>
      </c>
      <c r="J26" s="11">
        <f>VLOOKUP($H26,output!$A$10:$AH$2201,J$1-$J$1+2)</f>
        <v>12.773999999999999</v>
      </c>
      <c r="K26" s="11">
        <f>VLOOKUP($H26,output!$A$10:$AH$2201,K$1-$J$1+2)</f>
        <v>12.688000000000001</v>
      </c>
      <c r="L26" s="11">
        <f>VLOOKUP($H26,output!$A$10:$AH$2201,L$1-$J$1+2)</f>
        <v>12.638999999999999</v>
      </c>
      <c r="M26" s="11">
        <f>VLOOKUP($H26,output!$A$10:$AH$2201,M$1-$J$1+2)</f>
        <v>12.526999999999999</v>
      </c>
      <c r="N26" s="11">
        <f>VLOOKUP($H26,output!$A$10:$AH$2201,N$1-$J$1+2)</f>
        <v>12.387</v>
      </c>
      <c r="O26" s="11">
        <f>VLOOKUP($H26,output!$A$10:$AH$2201,O$1-$J$1+2)</f>
        <v>12.167999999999999</v>
      </c>
      <c r="P26" s="11">
        <f>VLOOKUP($H26,output!$A$10:$AH$2201,P$1-$J$1+2)</f>
        <v>11.875999999999999</v>
      </c>
      <c r="Q26" s="11">
        <f>VLOOKUP($H26,output!$A$10:$AH$2201,Q$1-$J$1+2)</f>
        <v>11.561999999999999</v>
      </c>
      <c r="R26" s="11">
        <f>VLOOKUP($H26,output!$A$10:$AH$2201,R$1-$J$1+2)</f>
        <v>11.433</v>
      </c>
      <c r="S26" s="11">
        <f>VLOOKUP($H26,output!$A$10:$AH$2201,S$1-$J$1+2)</f>
        <v>11.183999999999999</v>
      </c>
      <c r="T26" s="11">
        <f>VLOOKUP($H26,output!$A$10:$AH$2201,T$1-$J$1+2)</f>
        <v>10.872999999999999</v>
      </c>
      <c r="U26" s="11">
        <f>VLOOKUP($H26,output!$A$10:$AH$2201,U$1-$J$1+2)</f>
        <v>10.478999999999999</v>
      </c>
      <c r="V26" s="11">
        <f>VLOOKUP($H26,output!$A$10:$AH$2201,V$1-$J$1+2)</f>
        <v>10.039</v>
      </c>
      <c r="W26" s="11">
        <f>VLOOKUP($H26,output!$A$10:$AH$2201,W$1-$J$1+2)</f>
        <v>9.6530000000000005</v>
      </c>
      <c r="X26" s="11">
        <f>VLOOKUP($H26,output!$A$10:$AH$2201,X$1-$J$1+2)</f>
        <v>9.0909999999999993</v>
      </c>
      <c r="Y26" s="11">
        <f>VLOOKUP($H26,output!$A$10:$AH$2201,Y$1-$J$1+2)</f>
        <v>8.5649999999999995</v>
      </c>
      <c r="Z26" s="11">
        <f>VLOOKUP($H26,output!$A$10:$AH$2201,Z$1-$J$1+2)</f>
        <v>8.1029999999999998</v>
      </c>
      <c r="AA26" s="11">
        <f>VLOOKUP($H26,output!$A$10:$AH$2201,AA$1-$J$1+2)</f>
        <v>7.548</v>
      </c>
      <c r="AB26" s="11">
        <f>VLOOKUP($H26,output!$A$10:$AH$2201,AB$1-$J$1+2)</f>
        <v>7.077</v>
      </c>
      <c r="AC26" s="11">
        <f>VLOOKUP($H26,output!$A$10:$AH$2201,AC$1-$J$1+2)</f>
        <v>6.6280000000000001</v>
      </c>
      <c r="AD26" s="11">
        <f>VLOOKUP($H26,output!$A$10:$AH$2201,AD$1-$J$1+2)</f>
        <v>6.2430000000000003</v>
      </c>
      <c r="AE26" s="11">
        <f>VLOOKUP($H26,output!$A$10:$AH$2201,AE$1-$J$1+2)</f>
        <v>6.0129999999999999</v>
      </c>
      <c r="AF26" s="11">
        <f>VLOOKUP($H26,output!$A$10:$AH$2201,AF$1-$J$1+2)</f>
        <v>5.7850000000000001</v>
      </c>
      <c r="AG26" s="11">
        <f>VLOOKUP($H26,output!$A$10:$AH$2201,AG$1-$J$1+2)</f>
        <v>5.55</v>
      </c>
      <c r="AH26" s="11">
        <f>VLOOKUP($H26,output!$A$10:$AH$2201,AH$1-$J$1+2)</f>
        <v>5.3369999999999997</v>
      </c>
      <c r="AI26" s="11">
        <f>VLOOKUP($H26,output!$A$10:$AH$2201,AI$1-$J$1+2)</f>
        <v>5.1319999999999997</v>
      </c>
      <c r="AJ26" s="11">
        <f>VLOOKUP($H26,output!$A$10:$AH$2201,AJ$1-$J$1+2)</f>
        <v>4.9349999999999996</v>
      </c>
      <c r="AK26" s="11">
        <f>VLOOKUP($H26,output!$A$10:$AH$2201,AK$1-$J$1+2)</f>
        <v>4.7460000000000004</v>
      </c>
      <c r="AL26" s="11">
        <f>VLOOKUP($H26,output!$A$10:$AH$2201,AL$1-$J$1+2)</f>
        <v>0</v>
      </c>
      <c r="AM26" s="11">
        <f>VLOOKUP($H26,output!$A$10:$AH$2201,AM$1-$J$1+2)</f>
        <v>0</v>
      </c>
      <c r="AN26" s="11">
        <f>VLOOKUP($H26,output!$A$10:$AH$2201,AN$1-$J$1+2)</f>
        <v>0</v>
      </c>
      <c r="AO26" s="11">
        <f>VLOOKUP($H26,output!$A$10:$AH$2201,AO$1-$J$1+2)</f>
        <v>0</v>
      </c>
      <c r="AP26" s="11">
        <f>VLOOKUP($H26,output!$A$10:$AH$2201,AP$1-$J$1+2)</f>
        <v>0</v>
      </c>
    </row>
    <row r="27" spans="8:42" x14ac:dyDescent="0.25">
      <c r="H27" t="s">
        <v>13</v>
      </c>
      <c r="I27" t="s">
        <v>114</v>
      </c>
      <c r="J27" s="11">
        <f>VLOOKUP($H27,output!$A$10:$AH$2201,J$1-$J$1+2)</f>
        <v>5.024</v>
      </c>
      <c r="K27" s="11">
        <f>VLOOKUP($H27,output!$A$10:$AH$2201,K$1-$J$1+2)</f>
        <v>4.8410000000000002</v>
      </c>
      <c r="L27" s="11">
        <f>VLOOKUP($H27,output!$A$10:$AH$2201,L$1-$J$1+2)</f>
        <v>4.6470000000000002</v>
      </c>
      <c r="M27" s="11">
        <f>VLOOKUP($H27,output!$A$10:$AH$2201,M$1-$J$1+2)</f>
        <v>4.4459999999999997</v>
      </c>
      <c r="N27" s="11">
        <f>VLOOKUP($H27,output!$A$10:$AH$2201,N$1-$J$1+2)</f>
        <v>4.2290000000000001</v>
      </c>
      <c r="O27" s="11">
        <f>VLOOKUP($H27,output!$A$10:$AH$2201,O$1-$J$1+2)</f>
        <v>4.0010000000000003</v>
      </c>
      <c r="P27" s="11">
        <f>VLOOKUP($H27,output!$A$10:$AH$2201,P$1-$J$1+2)</f>
        <v>3.77</v>
      </c>
      <c r="Q27" s="11">
        <f>VLOOKUP($H27,output!$A$10:$AH$2201,Q$1-$J$1+2)</f>
        <v>3.54</v>
      </c>
      <c r="R27" s="11">
        <f>VLOOKUP($H27,output!$A$10:$AH$2201,R$1-$J$1+2)</f>
        <v>3.0720000000000001</v>
      </c>
      <c r="S27" s="11">
        <f>VLOOKUP($H27,output!$A$10:$AH$2201,S$1-$J$1+2)</f>
        <v>2.66</v>
      </c>
      <c r="T27" s="11">
        <f>VLOOKUP($H27,output!$A$10:$AH$2201,T$1-$J$1+2)</f>
        <v>2.294</v>
      </c>
      <c r="U27" s="11">
        <f>VLOOKUP($H27,output!$A$10:$AH$2201,U$1-$J$1+2)</f>
        <v>1.988</v>
      </c>
      <c r="V27" s="11">
        <f>VLOOKUP($H27,output!$A$10:$AH$2201,V$1-$J$1+2)</f>
        <v>1.7230000000000001</v>
      </c>
      <c r="W27" s="11">
        <f>VLOOKUP($H27,output!$A$10:$AH$2201,W$1-$J$1+2)</f>
        <v>1.5149999999999999</v>
      </c>
      <c r="X27" s="11">
        <f>VLOOKUP($H27,output!$A$10:$AH$2201,X$1-$J$1+2)</f>
        <v>1.329</v>
      </c>
      <c r="Y27" s="11">
        <f>VLOOKUP($H27,output!$A$10:$AH$2201,Y$1-$J$1+2)</f>
        <v>1.163</v>
      </c>
      <c r="Z27" s="11">
        <f>VLOOKUP($H27,output!$A$10:$AH$2201,Z$1-$J$1+2)</f>
        <v>1.0189999999999999</v>
      </c>
      <c r="AA27" s="11">
        <f>VLOOKUP($H27,output!$A$10:$AH$2201,AA$1-$J$1+2)</f>
        <v>0.84199999999999997</v>
      </c>
      <c r="AB27" s="11">
        <f>VLOOKUP($H27,output!$A$10:$AH$2201,AB$1-$J$1+2)</f>
        <v>0.72299999999999998</v>
      </c>
      <c r="AC27" s="11">
        <f>VLOOKUP($H27,output!$A$10:$AH$2201,AC$1-$J$1+2)</f>
        <v>0.61599999999999999</v>
      </c>
      <c r="AD27" s="11">
        <f>VLOOKUP($H27,output!$A$10:$AH$2201,AD$1-$J$1+2)</f>
        <v>0.52100000000000002</v>
      </c>
      <c r="AE27" s="11">
        <f>VLOOKUP($H27,output!$A$10:$AH$2201,AE$1-$J$1+2)</f>
        <v>0.44700000000000001</v>
      </c>
      <c r="AF27" s="11">
        <f>VLOOKUP($H27,output!$A$10:$AH$2201,AF$1-$J$1+2)</f>
        <v>0.379</v>
      </c>
      <c r="AG27" s="11">
        <f>VLOOKUP($H27,output!$A$10:$AH$2201,AG$1-$J$1+2)</f>
        <v>0.316</v>
      </c>
      <c r="AH27" s="11">
        <f>VLOOKUP($H27,output!$A$10:$AH$2201,AH$1-$J$1+2)</f>
        <v>0.25900000000000001</v>
      </c>
      <c r="AI27" s="11">
        <f>VLOOKUP($H27,output!$A$10:$AH$2201,AI$1-$J$1+2)</f>
        <v>0.20699999999999999</v>
      </c>
      <c r="AJ27" s="11">
        <f>VLOOKUP($H27,output!$A$10:$AH$2201,AJ$1-$J$1+2)</f>
        <v>0.159</v>
      </c>
      <c r="AK27" s="11">
        <f>VLOOKUP($H27,output!$A$10:$AH$2201,AK$1-$J$1+2)</f>
        <v>0.111</v>
      </c>
      <c r="AL27" s="11">
        <f>VLOOKUP($H27,output!$A$10:$AH$2201,AL$1-$J$1+2)</f>
        <v>0</v>
      </c>
      <c r="AM27" s="11">
        <f>VLOOKUP($H27,output!$A$10:$AH$2201,AM$1-$J$1+2)</f>
        <v>0</v>
      </c>
      <c r="AN27" s="11">
        <f>VLOOKUP($H27,output!$A$10:$AH$2201,AN$1-$J$1+2)</f>
        <v>0</v>
      </c>
      <c r="AO27" s="11">
        <f>VLOOKUP($H27,output!$A$10:$AH$2201,AO$1-$J$1+2)</f>
        <v>0</v>
      </c>
      <c r="AP27" s="11">
        <f>VLOOKUP($H27,output!$A$10:$AH$2201,AP$1-$J$1+2)</f>
        <v>0</v>
      </c>
    </row>
    <row r="28" spans="8:42" x14ac:dyDescent="0.25">
      <c r="H28" t="s">
        <v>14</v>
      </c>
      <c r="I28" t="s">
        <v>115</v>
      </c>
      <c r="J28" s="11">
        <f>VLOOKUP($H28,output!$A$10:$AH$2201,J$1-$J$1+2)</f>
        <v>2.927</v>
      </c>
      <c r="K28" s="11">
        <f>VLOOKUP($H28,output!$A$10:$AH$2201,K$1-$J$1+2)</f>
        <v>2.7549999999999999</v>
      </c>
      <c r="L28" s="11">
        <f>VLOOKUP($H28,output!$A$10:$AH$2201,L$1-$J$1+2)</f>
        <v>2.62</v>
      </c>
      <c r="M28" s="11">
        <f>VLOOKUP($H28,output!$A$10:$AH$2201,M$1-$J$1+2)</f>
        <v>2.3849999999999998</v>
      </c>
      <c r="N28" s="11">
        <f>VLOOKUP($H28,output!$A$10:$AH$2201,N$1-$J$1+2)</f>
        <v>2.17</v>
      </c>
      <c r="O28" s="11">
        <f>VLOOKUP($H28,output!$A$10:$AH$2201,O$1-$J$1+2)</f>
        <v>1.984</v>
      </c>
      <c r="P28" s="11">
        <f>VLOOKUP($H28,output!$A$10:$AH$2201,P$1-$J$1+2)</f>
        <v>1.823</v>
      </c>
      <c r="Q28" s="11">
        <f>VLOOKUP($H28,output!$A$10:$AH$2201,Q$1-$J$1+2)</f>
        <v>1.613</v>
      </c>
      <c r="R28" s="11">
        <f>VLOOKUP($H28,output!$A$10:$AH$2201,R$1-$J$1+2)</f>
        <v>1.4239999999999999</v>
      </c>
      <c r="S28" s="11">
        <f>VLOOKUP($H28,output!$A$10:$AH$2201,S$1-$J$1+2)</f>
        <v>1.248</v>
      </c>
      <c r="T28" s="11">
        <f>VLOOKUP($H28,output!$A$10:$AH$2201,T$1-$J$1+2)</f>
        <v>1.089</v>
      </c>
      <c r="U28" s="11">
        <f>VLOOKUP($H28,output!$A$10:$AH$2201,U$1-$J$1+2)</f>
        <v>0.94499999999999995</v>
      </c>
      <c r="V28" s="11">
        <f>VLOOKUP($H28,output!$A$10:$AH$2201,V$1-$J$1+2)</f>
        <v>0.81599999999999995</v>
      </c>
      <c r="W28" s="11">
        <f>VLOOKUP($H28,output!$A$10:$AH$2201,W$1-$J$1+2)</f>
        <v>0.71</v>
      </c>
      <c r="X28" s="11">
        <f>VLOOKUP($H28,output!$A$10:$AH$2201,X$1-$J$1+2)</f>
        <v>0.61399999999999999</v>
      </c>
      <c r="Y28" s="11">
        <f>VLOOKUP($H28,output!$A$10:$AH$2201,Y$1-$J$1+2)</f>
        <v>0.52900000000000003</v>
      </c>
      <c r="Z28" s="11">
        <f>VLOOKUP($H28,output!$A$10:$AH$2201,Z$1-$J$1+2)</f>
        <v>0.45600000000000002</v>
      </c>
      <c r="AA28" s="11">
        <f>VLOOKUP($H28,output!$A$10:$AH$2201,AA$1-$J$1+2)</f>
        <v>0.35799999999999998</v>
      </c>
      <c r="AB28" s="11">
        <f>VLOOKUP($H28,output!$A$10:$AH$2201,AB$1-$J$1+2)</f>
        <v>0.30399999999999999</v>
      </c>
      <c r="AC28" s="11">
        <f>VLOOKUP($H28,output!$A$10:$AH$2201,AC$1-$J$1+2)</f>
        <v>0.255</v>
      </c>
      <c r="AD28" s="11">
        <f>VLOOKUP($H28,output!$A$10:$AH$2201,AD$1-$J$1+2)</f>
        <v>0.21099999999999999</v>
      </c>
      <c r="AE28" s="11">
        <f>VLOOKUP($H28,output!$A$10:$AH$2201,AE$1-$J$1+2)</f>
        <v>0.183</v>
      </c>
      <c r="AF28" s="11">
        <f>VLOOKUP($H28,output!$A$10:$AH$2201,AF$1-$J$1+2)</f>
        <v>0.155</v>
      </c>
      <c r="AG28" s="11">
        <f>VLOOKUP($H28,output!$A$10:$AH$2201,AG$1-$J$1+2)</f>
        <v>0.13</v>
      </c>
      <c r="AH28" s="11">
        <f>VLOOKUP($H28,output!$A$10:$AH$2201,AH$1-$J$1+2)</f>
        <v>0.107</v>
      </c>
      <c r="AI28" s="11">
        <f>VLOOKUP($H28,output!$A$10:$AH$2201,AI$1-$J$1+2)</f>
        <v>8.5999999999999993E-2</v>
      </c>
      <c r="AJ28" s="11">
        <f>VLOOKUP($H28,output!$A$10:$AH$2201,AJ$1-$J$1+2)</f>
        <v>6.7000000000000004E-2</v>
      </c>
      <c r="AK28" s="11">
        <f>VLOOKUP($H28,output!$A$10:$AH$2201,AK$1-$J$1+2)</f>
        <v>4.7E-2</v>
      </c>
      <c r="AL28" s="11">
        <f>VLOOKUP($H28,output!$A$10:$AH$2201,AL$1-$J$1+2)</f>
        <v>0</v>
      </c>
      <c r="AM28" s="11">
        <f>VLOOKUP($H28,output!$A$10:$AH$2201,AM$1-$J$1+2)</f>
        <v>0</v>
      </c>
      <c r="AN28" s="11">
        <f>VLOOKUP($H28,output!$A$10:$AH$2201,AN$1-$J$1+2)</f>
        <v>0</v>
      </c>
      <c r="AO28" s="11">
        <f>VLOOKUP($H28,output!$A$10:$AH$2201,AO$1-$J$1+2)</f>
        <v>0</v>
      </c>
      <c r="AP28" s="11">
        <f>VLOOKUP($H28,output!$A$10:$AH$2201,AP$1-$J$1+2)</f>
        <v>0</v>
      </c>
    </row>
    <row r="29" spans="8:42" x14ac:dyDescent="0.25">
      <c r="H29" t="s">
        <v>15</v>
      </c>
      <c r="I29" t="s">
        <v>116</v>
      </c>
      <c r="J29" s="11">
        <f>VLOOKUP($H29,output!$A$10:$AH$2201,J$1-$J$1+2)</f>
        <v>1.3979999999999999</v>
      </c>
      <c r="K29" s="11">
        <f>VLOOKUP($H29,output!$A$10:$AH$2201,K$1-$J$1+2)</f>
        <v>1.1619999999999999</v>
      </c>
      <c r="L29" s="11">
        <f>VLOOKUP($H29,output!$A$10:$AH$2201,L$1-$J$1+2)</f>
        <v>1.006</v>
      </c>
      <c r="M29" s="11">
        <f>VLOOKUP($H29,output!$A$10:$AH$2201,M$1-$J$1+2)</f>
        <v>0.872</v>
      </c>
      <c r="N29" s="11">
        <f>VLOOKUP($H29,output!$A$10:$AH$2201,N$1-$J$1+2)</f>
        <v>0.72899999999999998</v>
      </c>
      <c r="O29" s="11">
        <f>VLOOKUP($H29,output!$A$10:$AH$2201,O$1-$J$1+2)</f>
        <v>0.60499999999999998</v>
      </c>
      <c r="P29" s="11">
        <f>VLOOKUP($H29,output!$A$10:$AH$2201,P$1-$J$1+2)</f>
        <v>0.497</v>
      </c>
      <c r="Q29" s="11">
        <f>VLOOKUP($H29,output!$A$10:$AH$2201,Q$1-$J$1+2)</f>
        <v>0.40300000000000002</v>
      </c>
      <c r="R29" s="11">
        <f>VLOOKUP($H29,output!$A$10:$AH$2201,R$1-$J$1+2)</f>
        <v>0.32200000000000001</v>
      </c>
      <c r="S29" s="11">
        <f>VLOOKUP($H29,output!$A$10:$AH$2201,S$1-$J$1+2)</f>
        <v>0.247</v>
      </c>
      <c r="T29" s="11">
        <f>VLOOKUP($H29,output!$A$10:$AH$2201,T$1-$J$1+2)</f>
        <v>0.184</v>
      </c>
      <c r="U29" s="11">
        <f>VLOOKUP($H29,output!$A$10:$AH$2201,U$1-$J$1+2)</f>
        <v>0.13200000000000001</v>
      </c>
      <c r="V29" s="11">
        <f>VLOOKUP($H29,output!$A$10:$AH$2201,V$1-$J$1+2)</f>
        <v>8.8999999999999996E-2</v>
      </c>
      <c r="W29" s="11">
        <f>VLOOKUP($H29,output!$A$10:$AH$2201,W$1-$J$1+2)</f>
        <v>7.3999999999999996E-2</v>
      </c>
      <c r="X29" s="11">
        <f>VLOOKUP($H29,output!$A$10:$AH$2201,X$1-$J$1+2)</f>
        <v>6.2E-2</v>
      </c>
      <c r="Y29" s="11">
        <f>VLOOKUP($H29,output!$A$10:$AH$2201,Y$1-$J$1+2)</f>
        <v>5.0999999999999997E-2</v>
      </c>
      <c r="Z29" s="11">
        <f>VLOOKUP($H29,output!$A$10:$AH$2201,Z$1-$J$1+2)</f>
        <v>4.2999999999999997E-2</v>
      </c>
      <c r="AA29" s="11">
        <f>VLOOKUP($H29,output!$A$10:$AH$2201,AA$1-$J$1+2)</f>
        <v>3.4000000000000002E-2</v>
      </c>
      <c r="AB29" s="11">
        <f>VLOOKUP($H29,output!$A$10:$AH$2201,AB$1-$J$1+2)</f>
        <v>2.8000000000000001E-2</v>
      </c>
      <c r="AC29" s="11">
        <f>VLOOKUP($H29,output!$A$10:$AH$2201,AC$1-$J$1+2)</f>
        <v>2.1999999999999999E-2</v>
      </c>
      <c r="AD29" s="11">
        <f>VLOOKUP($H29,output!$A$10:$AH$2201,AD$1-$J$1+2)</f>
        <v>1.7999999999999999E-2</v>
      </c>
      <c r="AE29" s="11">
        <f>VLOOKUP($H29,output!$A$10:$AH$2201,AE$1-$J$1+2)</f>
        <v>1.4999999999999999E-2</v>
      </c>
      <c r="AF29" s="11">
        <f>VLOOKUP($H29,output!$A$10:$AH$2201,AF$1-$J$1+2)</f>
        <v>1.2E-2</v>
      </c>
      <c r="AG29" s="11">
        <f>VLOOKUP($H29,output!$A$10:$AH$2201,AG$1-$J$1+2)</f>
        <v>0.01</v>
      </c>
      <c r="AH29" s="11">
        <f>VLOOKUP($H29,output!$A$10:$AH$2201,AH$1-$J$1+2)</f>
        <v>8.0000000000000002E-3</v>
      </c>
      <c r="AI29" s="11">
        <f>VLOOKUP($H29,output!$A$10:$AH$2201,AI$1-$J$1+2)</f>
        <v>6.0000000000000001E-3</v>
      </c>
      <c r="AJ29" s="11">
        <f>VLOOKUP($H29,output!$A$10:$AH$2201,AJ$1-$J$1+2)</f>
        <v>5.0000000000000001E-3</v>
      </c>
      <c r="AK29" s="11">
        <f>VLOOKUP($H29,output!$A$10:$AH$2201,AK$1-$J$1+2)</f>
        <v>3.0000000000000001E-3</v>
      </c>
      <c r="AL29" s="11">
        <f>VLOOKUP($H29,output!$A$10:$AH$2201,AL$1-$J$1+2)</f>
        <v>0</v>
      </c>
      <c r="AM29" s="11">
        <f>VLOOKUP($H29,output!$A$10:$AH$2201,AM$1-$J$1+2)</f>
        <v>0</v>
      </c>
      <c r="AN29" s="11">
        <f>VLOOKUP($H29,output!$A$10:$AH$2201,AN$1-$J$1+2)</f>
        <v>0</v>
      </c>
      <c r="AO29" s="11">
        <f>VLOOKUP($H29,output!$A$10:$AH$2201,AO$1-$J$1+2)</f>
        <v>0</v>
      </c>
      <c r="AP29" s="11">
        <f>VLOOKUP($H29,output!$A$10:$AH$2201,AP$1-$J$1+2)</f>
        <v>0</v>
      </c>
    </row>
    <row r="31" spans="8:42" x14ac:dyDescent="0.25">
      <c r="I31" t="s">
        <v>136</v>
      </c>
      <c r="J31" s="1">
        <f>J28+J29</f>
        <v>4.3250000000000002</v>
      </c>
      <c r="K31" s="1">
        <f t="shared" ref="K31:V31" si="32">K28+K29</f>
        <v>3.9169999999999998</v>
      </c>
      <c r="L31" s="1">
        <f t="shared" si="32"/>
        <v>3.6260000000000003</v>
      </c>
      <c r="M31" s="1">
        <f t="shared" si="32"/>
        <v>3.2569999999999997</v>
      </c>
      <c r="N31" s="1">
        <f t="shared" si="32"/>
        <v>2.899</v>
      </c>
      <c r="O31" s="1">
        <f t="shared" si="32"/>
        <v>2.589</v>
      </c>
      <c r="P31" s="1">
        <f t="shared" si="32"/>
        <v>2.3199999999999998</v>
      </c>
      <c r="Q31" s="1">
        <f t="shared" si="32"/>
        <v>2.016</v>
      </c>
      <c r="R31" s="1">
        <f t="shared" si="32"/>
        <v>1.746</v>
      </c>
      <c r="S31" s="1">
        <f t="shared" si="32"/>
        <v>1.4950000000000001</v>
      </c>
      <c r="T31" s="1">
        <f t="shared" si="32"/>
        <v>1.2729999999999999</v>
      </c>
      <c r="U31" s="1">
        <f t="shared" si="32"/>
        <v>1.077</v>
      </c>
      <c r="V31" s="1">
        <f t="shared" si="32"/>
        <v>0.90499999999999992</v>
      </c>
      <c r="W31" s="18">
        <f>V31/K31-1</f>
        <v>-0.76895583354608121</v>
      </c>
    </row>
    <row r="34" spans="8:43" x14ac:dyDescent="0.25">
      <c r="AA34" t="s">
        <v>211</v>
      </c>
      <c r="AC34" s="11">
        <f>AC38*AC$12</f>
        <v>0</v>
      </c>
      <c r="AD34" s="11">
        <f t="shared" ref="AD34:AP34" si="33">AD38*AD$12</f>
        <v>0</v>
      </c>
      <c r="AE34" s="11">
        <f t="shared" si="33"/>
        <v>0</v>
      </c>
      <c r="AF34" s="11">
        <f t="shared" si="33"/>
        <v>0</v>
      </c>
      <c r="AG34" s="11">
        <f t="shared" si="33"/>
        <v>0</v>
      </c>
      <c r="AH34" s="11">
        <f t="shared" si="33"/>
        <v>0</v>
      </c>
      <c r="AI34" s="11">
        <f t="shared" si="33"/>
        <v>0</v>
      </c>
      <c r="AJ34" s="11">
        <f t="shared" si="33"/>
        <v>0</v>
      </c>
      <c r="AK34" s="11">
        <f t="shared" si="33"/>
        <v>0</v>
      </c>
      <c r="AL34" s="11">
        <f t="shared" si="33"/>
        <v>0</v>
      </c>
      <c r="AM34" s="11">
        <f t="shared" si="33"/>
        <v>0</v>
      </c>
      <c r="AN34" s="11">
        <f t="shared" si="33"/>
        <v>0</v>
      </c>
      <c r="AO34" s="11">
        <f t="shared" si="33"/>
        <v>0</v>
      </c>
      <c r="AP34" s="11">
        <f t="shared" si="33"/>
        <v>0</v>
      </c>
    </row>
    <row r="35" spans="8:43" x14ac:dyDescent="0.25">
      <c r="H35" s="2" t="s">
        <v>178</v>
      </c>
      <c r="J35" s="1"/>
      <c r="K35" s="1"/>
      <c r="L35" s="1"/>
      <c r="M35" s="1"/>
      <c r="N35" s="1"/>
      <c r="O35" s="1"/>
    </row>
    <row r="36" spans="8:43" x14ac:dyDescent="0.25">
      <c r="H36" t="s">
        <v>0</v>
      </c>
      <c r="I36" t="s">
        <v>117</v>
      </c>
      <c r="J36" s="11">
        <f>VLOOKUP($H36,output!$A$10:$AH$2201,J$1-$J$1+2)</f>
        <v>11.458</v>
      </c>
      <c r="K36" s="11">
        <f>VLOOKUP($H36,output!$A$10:$AH$2201,K$1-$J$1+2)</f>
        <v>12.433</v>
      </c>
      <c r="L36" s="11">
        <f>VLOOKUP($H36,output!$A$10:$AH$2201,L$1-$J$1+2)</f>
        <v>12.516999999999999</v>
      </c>
      <c r="M36" s="11">
        <f>VLOOKUP($H36,output!$A$10:$AH$2201,M$1-$J$1+2)</f>
        <v>14.035</v>
      </c>
      <c r="N36" s="11">
        <f>VLOOKUP($H36,output!$A$10:$AH$2201,N$1-$J$1+2)</f>
        <v>15.012</v>
      </c>
      <c r="O36" s="11">
        <f>VLOOKUP($H36,output!$A$10:$AH$2201,O$1-$J$1+2)</f>
        <v>17.038</v>
      </c>
      <c r="P36" s="11">
        <f>VLOOKUP($H36,output!$A$10:$AH$2201,P$1-$J$1+2)</f>
        <v>20.233000000000001</v>
      </c>
      <c r="Q36" s="11">
        <f>VLOOKUP($H36,output!$A$10:$AH$2201,Q$1-$J$1+2)</f>
        <v>24.457999999999998</v>
      </c>
      <c r="R36" s="11">
        <f>VLOOKUP($H36,output!$A$10:$AH$2201,R$1-$J$1+2)</f>
        <v>26.763999999999999</v>
      </c>
      <c r="S36" s="11">
        <f>VLOOKUP($H36,output!$A$10:$AH$2201,S$1-$J$1+2)</f>
        <v>30.184999999999999</v>
      </c>
      <c r="T36" s="11">
        <f>VLOOKUP($H36,output!$A$10:$AH$2201,T$1-$J$1+2)</f>
        <v>33.073999999999998</v>
      </c>
      <c r="U36" s="11">
        <f>VLOOKUP($H36,output!$A$10:$AH$2201,U$1-$J$1+2)</f>
        <v>35.36</v>
      </c>
      <c r="V36" s="11">
        <f>VLOOKUP($H36,output!$A$10:$AH$2201,V$1-$J$1+2)</f>
        <v>37.128</v>
      </c>
      <c r="W36" s="11">
        <f>VLOOKUP($H36,output!$A$10:$AH$2201,W$1-$J$1+2)</f>
        <v>38.414000000000001</v>
      </c>
      <c r="X36" s="11">
        <f>VLOOKUP($H36,output!$A$10:$AH$2201,X$1-$J$1+2)</f>
        <v>38.957999999999998</v>
      </c>
      <c r="Y36" s="11">
        <f>VLOOKUP($H36,output!$A$10:$AH$2201,Y$1-$J$1+2)</f>
        <v>39.179000000000002</v>
      </c>
      <c r="Z36" s="11">
        <f>VLOOKUP($H36,output!$A$10:$AH$2201,Z$1-$J$1+2)</f>
        <v>39.085000000000001</v>
      </c>
      <c r="AA36" s="11">
        <f>VLOOKUP($H36,output!$A$10:$AH$2201,AA$1-$J$1+2)</f>
        <v>38.534999999999997</v>
      </c>
      <c r="AB36" s="11">
        <f>VLOOKUP($H36,output!$A$10:$AH$2201,AB$1-$J$1+2)</f>
        <v>38.152000000000001</v>
      </c>
      <c r="AC36" s="11">
        <f>VLOOKUP($H36,output!$A$10:$AH$2201,AC$1-$J$1+2)</f>
        <v>37.768000000000001</v>
      </c>
      <c r="AD36" s="11">
        <f>VLOOKUP($H36,output!$A$10:$AH$2201,AD$1-$J$1+2)</f>
        <v>37.421999999999997</v>
      </c>
      <c r="AE36" s="11">
        <f>VLOOKUP($H36,output!$A$10:$AH$2201,AE$1-$J$1+2)</f>
        <v>37.067999999999998</v>
      </c>
      <c r="AF36" s="11">
        <f>VLOOKUP($H36,output!$A$10:$AH$2201,AF$1-$J$1+2)</f>
        <v>36.723999999999997</v>
      </c>
      <c r="AG36" s="11">
        <f>VLOOKUP($H36,output!$A$10:$AH$2201,AG$1-$J$1+2)</f>
        <v>36.39</v>
      </c>
      <c r="AH36" s="11">
        <f>VLOOKUP($H36,output!$A$10:$AH$2201,AH$1-$J$1+2)</f>
        <v>36.061999999999998</v>
      </c>
      <c r="AI36" s="11">
        <f>VLOOKUP($H36,output!$A$10:$AH$2201,AI$1-$J$1+2)</f>
        <v>35.741999999999997</v>
      </c>
      <c r="AJ36" s="11">
        <f>VLOOKUP($H36,output!$A$10:$AH$2201,AJ$1-$J$1+2)</f>
        <v>35.43</v>
      </c>
      <c r="AK36" s="11">
        <f>VLOOKUP($H36,output!$A$10:$AH$2201,AK$1-$J$1+2)</f>
        <v>35.088999999999999</v>
      </c>
      <c r="AL36" s="11">
        <f>VLOOKUP($H36,output!$A$10:$AH$2201,AL$1-$J$1+2)</f>
        <v>0</v>
      </c>
      <c r="AM36" s="11">
        <f>VLOOKUP($H36,output!$A$10:$AH$2201,AM$1-$J$1+2)</f>
        <v>0</v>
      </c>
      <c r="AN36" s="11">
        <f>VLOOKUP($H36,output!$A$10:$AH$2201,AN$1-$J$1+2)</f>
        <v>0</v>
      </c>
      <c r="AO36" s="11">
        <f>VLOOKUP($H36,output!$A$10:$AH$2201,AO$1-$J$1+2)</f>
        <v>0</v>
      </c>
      <c r="AP36" s="11">
        <f>VLOOKUP($H36,output!$A$10:$AH$2201,AP$1-$J$1+2)</f>
        <v>0</v>
      </c>
      <c r="AQ36" t="s">
        <v>117</v>
      </c>
    </row>
    <row r="37" spans="8:43" x14ac:dyDescent="0.25">
      <c r="H37" t="s">
        <v>1</v>
      </c>
      <c r="I37" t="s">
        <v>179</v>
      </c>
      <c r="J37" s="11">
        <f>VLOOKUP($H37,output!$A$10:$AH$2201,J$1-$J$1+2)</f>
        <v>91</v>
      </c>
      <c r="K37" s="11">
        <f>VLOOKUP($H37,output!$A$10:$AH$2201,K$1-$J$1+2)</f>
        <v>89.096999999999994</v>
      </c>
      <c r="L37" s="11">
        <f>VLOOKUP($H37,output!$A$10:$AH$2201,L$1-$J$1+2)</f>
        <v>88.978999999999999</v>
      </c>
      <c r="M37" s="11">
        <f>VLOOKUP($H37,output!$A$10:$AH$2201,M$1-$J$1+2)</f>
        <v>86.763999999999996</v>
      </c>
      <c r="N37" s="11">
        <f>VLOOKUP($H37,output!$A$10:$AH$2201,N$1-$J$1+2)</f>
        <v>82.988</v>
      </c>
      <c r="O37" s="11">
        <f>VLOOKUP($H37,output!$A$10:$AH$2201,O$1-$J$1+2)</f>
        <v>79.971999999999994</v>
      </c>
      <c r="P37" s="11">
        <f>VLOOKUP($H37,output!$A$10:$AH$2201,P$1-$J$1+2)</f>
        <v>76.412000000000006</v>
      </c>
      <c r="Q37" s="11">
        <f>VLOOKUP($H37,output!$A$10:$AH$2201,Q$1-$J$1+2)</f>
        <v>72.209000000000003</v>
      </c>
      <c r="R37" s="11">
        <f>VLOOKUP($H37,output!$A$10:$AH$2201,R$1-$J$1+2)</f>
        <v>68.207999999999998</v>
      </c>
      <c r="S37" s="11">
        <f>VLOOKUP($H37,output!$A$10:$AH$2201,S$1-$J$1+2)</f>
        <v>63.76</v>
      </c>
      <c r="T37" s="11">
        <f>VLOOKUP($H37,output!$A$10:$AH$2201,T$1-$J$1+2)</f>
        <v>59.594999999999999</v>
      </c>
      <c r="U37" s="11">
        <f>VLOOKUP($H37,output!$A$10:$AH$2201,U$1-$J$1+2)</f>
        <v>55.725999999999999</v>
      </c>
      <c r="V37" s="11">
        <f>VLOOKUP($H37,output!$A$10:$AH$2201,V$1-$J$1+2)</f>
        <v>52.078000000000003</v>
      </c>
      <c r="W37" s="11">
        <f>VLOOKUP($H37,output!$A$10:$AH$2201,W$1-$J$1+2)</f>
        <v>48.137</v>
      </c>
      <c r="X37" s="11">
        <f>VLOOKUP($H37,output!$A$10:$AH$2201,X$1-$J$1+2)</f>
        <v>44.374000000000002</v>
      </c>
      <c r="Y37" s="11">
        <f>VLOOKUP($H37,output!$A$10:$AH$2201,Y$1-$J$1+2)</f>
        <v>40.872999999999998</v>
      </c>
      <c r="Z37" s="11">
        <f>VLOOKUP($H37,output!$A$10:$AH$2201,Z$1-$J$1+2)</f>
        <v>38.146999999999998</v>
      </c>
      <c r="AA37" s="11">
        <f>VLOOKUP($H37,output!$A$10:$AH$2201,AA$1-$J$1+2)</f>
        <v>30.309000000000001</v>
      </c>
      <c r="AB37" s="11">
        <f>VLOOKUP($H37,output!$A$10:$AH$2201,AB$1-$J$1+2)</f>
        <v>31.925000000000001</v>
      </c>
      <c r="AC37" s="11">
        <f>VLOOKUP($H37,output!$A$10:$AH$2201,AC$1-$J$1+2)</f>
        <v>29.616</v>
      </c>
      <c r="AD37" s="11">
        <f>VLOOKUP($H37,output!$A$10:$AH$2201,AD$1-$J$1+2)</f>
        <v>27.670999999999999</v>
      </c>
      <c r="AE37" s="11">
        <f>VLOOKUP($H37,output!$A$10:$AH$2201,AE$1-$J$1+2)</f>
        <v>26.053999999999998</v>
      </c>
      <c r="AF37" s="11">
        <f>VLOOKUP($H37,output!$A$10:$AH$2201,AF$1-$J$1+2)</f>
        <v>24.747</v>
      </c>
      <c r="AG37" s="11">
        <f>VLOOKUP($H37,output!$A$10:$AH$2201,AG$1-$J$1+2)</f>
        <v>23.207000000000001</v>
      </c>
      <c r="AH37" s="11">
        <f>VLOOKUP($H37,output!$A$10:$AH$2201,AH$1-$J$1+2)</f>
        <v>21.984999999999999</v>
      </c>
      <c r="AI37" s="11">
        <f>VLOOKUP($H37,output!$A$10:$AH$2201,AI$1-$J$1+2)</f>
        <v>20.742999999999999</v>
      </c>
      <c r="AJ37" s="11">
        <f>VLOOKUP($H37,output!$A$10:$AH$2201,AJ$1-$J$1+2)</f>
        <v>19.463999999999999</v>
      </c>
      <c r="AK37" s="11">
        <f>VLOOKUP($H37,output!$A$10:$AH$2201,AK$1-$J$1+2)</f>
        <v>18.158999999999999</v>
      </c>
      <c r="AL37" s="11">
        <f>VLOOKUP($H37,output!$A$10:$AH$2201,AL$1-$J$1+2)</f>
        <v>0</v>
      </c>
      <c r="AM37" s="11">
        <f>VLOOKUP($H37,output!$A$10:$AH$2201,AM$1-$J$1+2)</f>
        <v>0</v>
      </c>
      <c r="AN37" s="11">
        <f>VLOOKUP($H37,output!$A$10:$AH$2201,AN$1-$J$1+2)</f>
        <v>0</v>
      </c>
      <c r="AO37" s="11">
        <f>VLOOKUP($H37,output!$A$10:$AH$2201,AO$1-$J$1+2)</f>
        <v>0</v>
      </c>
      <c r="AP37" s="11">
        <f>VLOOKUP($H37,output!$A$10:$AH$2201,AP$1-$J$1+2)</f>
        <v>0</v>
      </c>
      <c r="AQ37" t="s">
        <v>179</v>
      </c>
    </row>
    <row r="38" spans="8:43" x14ac:dyDescent="0.25">
      <c r="H38" t="s">
        <v>2</v>
      </c>
      <c r="I38" t="s">
        <v>119</v>
      </c>
      <c r="J38" s="11">
        <f>VLOOKUP($H38,output!$A$10:$AH$2201,J$1-$J$1+2)</f>
        <v>31</v>
      </c>
      <c r="K38" s="11">
        <f>VLOOKUP($H38,output!$A$10:$AH$2201,K$1-$J$1+2)</f>
        <v>27.902999999999999</v>
      </c>
      <c r="L38" s="11">
        <f>VLOOKUP($H38,output!$A$10:$AH$2201,L$1-$J$1+2)</f>
        <v>25.251999999999999</v>
      </c>
      <c r="M38" s="11">
        <f>VLOOKUP($H38,output!$A$10:$AH$2201,M$1-$J$1+2)</f>
        <v>22.315000000000001</v>
      </c>
      <c r="N38" s="11">
        <f>VLOOKUP($H38,output!$A$10:$AH$2201,N$1-$J$1+2)</f>
        <v>18.951000000000001</v>
      </c>
      <c r="O38" s="11">
        <f>VLOOKUP($H38,output!$A$10:$AH$2201,O$1-$J$1+2)</f>
        <v>16.163</v>
      </c>
      <c r="P38" s="11">
        <f>VLOOKUP($H38,output!$A$10:$AH$2201,P$1-$J$1+2)</f>
        <v>13.513999999999999</v>
      </c>
      <c r="Q38" s="11">
        <f>VLOOKUP($H38,output!$A$10:$AH$2201,Q$1-$J$1+2)</f>
        <v>10.984</v>
      </c>
      <c r="R38" s="11">
        <f>VLOOKUP($H38,output!$A$10:$AH$2201,R$1-$J$1+2)</f>
        <v>8.5090000000000003</v>
      </c>
      <c r="S38" s="11">
        <f>VLOOKUP($H38,output!$A$10:$AH$2201,S$1-$J$1+2)</f>
        <v>6.16</v>
      </c>
      <c r="T38" s="11">
        <f>VLOOKUP($H38,output!$A$10:$AH$2201,T$1-$J$1+2)</f>
        <v>3.9670000000000001</v>
      </c>
      <c r="U38" s="11">
        <f>VLOOKUP($H38,output!$A$10:$AH$2201,U$1-$J$1+2)</f>
        <v>1.9179999999999999</v>
      </c>
      <c r="V38" s="11">
        <f>VLOOKUP($H38,output!$A$10:$AH$2201,V$1-$J$1+2)</f>
        <v>0</v>
      </c>
      <c r="W38" s="11">
        <f>VLOOKUP($H38,output!$A$10:$AH$2201,W$1-$J$1+2)</f>
        <v>0</v>
      </c>
      <c r="X38" s="11">
        <f>VLOOKUP($H38,output!$A$10:$AH$2201,X$1-$J$1+2)</f>
        <v>0</v>
      </c>
      <c r="Y38" s="11">
        <f>VLOOKUP($H38,output!$A$10:$AH$2201,Y$1-$J$1+2)</f>
        <v>0</v>
      </c>
      <c r="Z38" s="11">
        <f>VLOOKUP($H38,output!$A$10:$AH$2201,Z$1-$J$1+2)</f>
        <v>0</v>
      </c>
      <c r="AA38" s="11">
        <f>VLOOKUP($H38,output!$A$10:$AH$2201,AA$1-$J$1+2)</f>
        <v>0</v>
      </c>
      <c r="AB38" s="11">
        <f>VLOOKUP($H38,output!$A$10:$AH$2201,AB$1-$J$1+2)</f>
        <v>0</v>
      </c>
      <c r="AC38" s="11">
        <f>VLOOKUP($H38,output!$A$10:$AH$2201,AC$1-$J$1+2)</f>
        <v>0</v>
      </c>
      <c r="AD38" s="11">
        <f>VLOOKUP($H38,output!$A$10:$AH$2201,AD$1-$J$1+2)</f>
        <v>0</v>
      </c>
      <c r="AE38" s="11">
        <f>VLOOKUP($H38,output!$A$10:$AH$2201,AE$1-$J$1+2)</f>
        <v>0</v>
      </c>
      <c r="AF38" s="11">
        <f>VLOOKUP($H38,output!$A$10:$AH$2201,AF$1-$J$1+2)</f>
        <v>0</v>
      </c>
      <c r="AG38" s="11">
        <f>VLOOKUP($H38,output!$A$10:$AH$2201,AG$1-$J$1+2)</f>
        <v>0</v>
      </c>
      <c r="AH38" s="11">
        <f>VLOOKUP($H38,output!$A$10:$AH$2201,AH$1-$J$1+2)</f>
        <v>0</v>
      </c>
      <c r="AI38" s="11">
        <f>VLOOKUP($H38,output!$A$10:$AH$2201,AI$1-$J$1+2)</f>
        <v>0</v>
      </c>
      <c r="AJ38" s="11">
        <f>VLOOKUP($H38,output!$A$10:$AH$2201,AJ$1-$J$1+2)</f>
        <v>0</v>
      </c>
      <c r="AK38" s="11">
        <f>VLOOKUP($H38,output!$A$10:$AH$2201,AK$1-$J$1+2)</f>
        <v>0</v>
      </c>
      <c r="AL38" s="11">
        <f>VLOOKUP($H38,output!$A$10:$AH$2201,AL$1-$J$1+2)</f>
        <v>0</v>
      </c>
      <c r="AM38" s="11">
        <f>VLOOKUP($H38,output!$A$10:$AH$2201,AM$1-$J$1+2)</f>
        <v>0</v>
      </c>
      <c r="AN38" s="11">
        <f>VLOOKUP($H38,output!$A$10:$AH$2201,AN$1-$J$1+2)</f>
        <v>0</v>
      </c>
      <c r="AO38" s="11">
        <f>VLOOKUP($H38,output!$A$10:$AH$2201,AO$1-$J$1+2)</f>
        <v>0</v>
      </c>
      <c r="AP38" s="11">
        <f>VLOOKUP($H38,output!$A$10:$AH$2201,AP$1-$J$1+2)</f>
        <v>0</v>
      </c>
      <c r="AQ38" t="s">
        <v>119</v>
      </c>
    </row>
    <row r="39" spans="8:43" x14ac:dyDescent="0.25">
      <c r="H39" t="s">
        <v>3</v>
      </c>
      <c r="I39" t="s">
        <v>120</v>
      </c>
      <c r="J39" s="11">
        <f>VLOOKUP($H39,output!$A$10:$AH$2201,J$1-$J$1+2)</f>
        <v>76.102999999999994</v>
      </c>
      <c r="K39" s="11">
        <f>VLOOKUP($H39,output!$A$10:$AH$2201,K$1-$J$1+2)</f>
        <v>74.563999999999993</v>
      </c>
      <c r="L39" s="11">
        <f>VLOOKUP($H39,output!$A$10:$AH$2201,L$1-$J$1+2)</f>
        <v>73.540999999999997</v>
      </c>
      <c r="M39" s="11">
        <f>VLOOKUP($H39,output!$A$10:$AH$2201,M$1-$J$1+2)</f>
        <v>71.847999999999999</v>
      </c>
      <c r="N39" s="11">
        <f>VLOOKUP($H39,output!$A$10:$AH$2201,N$1-$J$1+2)</f>
        <v>69.644999999999996</v>
      </c>
      <c r="O39" s="11">
        <f>VLOOKUP($H39,output!$A$10:$AH$2201,O$1-$J$1+2)</f>
        <v>67.831000000000003</v>
      </c>
      <c r="P39" s="11">
        <f>VLOOKUP($H39,output!$A$10:$AH$2201,P$1-$J$1+2)</f>
        <v>65.930000000000007</v>
      </c>
      <c r="Q39" s="11">
        <f>VLOOKUP($H39,output!$A$10:$AH$2201,Q$1-$J$1+2)</f>
        <v>63.777999999999999</v>
      </c>
      <c r="R39" s="11">
        <f>VLOOKUP($H39,output!$A$10:$AH$2201,R$1-$J$1+2)</f>
        <v>61.703000000000003</v>
      </c>
      <c r="S39" s="11">
        <f>VLOOKUP($H39,output!$A$10:$AH$2201,S$1-$J$1+2)</f>
        <v>59.557000000000002</v>
      </c>
      <c r="T39" s="11">
        <f>VLOOKUP($H39,output!$A$10:$AH$2201,T$1-$J$1+2)</f>
        <v>57.555999999999997</v>
      </c>
      <c r="U39" s="11">
        <f>VLOOKUP($H39,output!$A$10:$AH$2201,U$1-$J$1+2)</f>
        <v>55.695</v>
      </c>
      <c r="V39" s="11">
        <f>VLOOKUP($H39,output!$A$10:$AH$2201,V$1-$J$1+2)</f>
        <v>53.951999999999998</v>
      </c>
      <c r="W39" s="11">
        <f>VLOOKUP($H39,output!$A$10:$AH$2201,W$1-$J$1+2)</f>
        <v>52.66</v>
      </c>
      <c r="X39" s="11">
        <f>VLOOKUP($H39,output!$A$10:$AH$2201,X$1-$J$1+2)</f>
        <v>51.399000000000001</v>
      </c>
      <c r="Y39" s="11">
        <f>VLOOKUP($H39,output!$A$10:$AH$2201,Y$1-$J$1+2)</f>
        <v>50.228000000000002</v>
      </c>
      <c r="Z39" s="11">
        <f>VLOOKUP($H39,output!$A$10:$AH$2201,Z$1-$J$1+2)</f>
        <v>49.249000000000002</v>
      </c>
      <c r="AA39" s="11">
        <f>VLOOKUP($H39,output!$A$10:$AH$2201,AA$1-$J$1+2)</f>
        <v>46.884999999999998</v>
      </c>
      <c r="AB39" s="11">
        <f>VLOOKUP($H39,output!$A$10:$AH$2201,AB$1-$J$1+2)</f>
        <v>46.963999999999999</v>
      </c>
      <c r="AC39" s="11">
        <f>VLOOKUP($H39,output!$A$10:$AH$2201,AC$1-$J$1+2)</f>
        <v>46.029000000000003</v>
      </c>
      <c r="AD39" s="11">
        <f>VLOOKUP($H39,output!$A$10:$AH$2201,AD$1-$J$1+2)</f>
        <v>45.182000000000002</v>
      </c>
      <c r="AE39" s="11">
        <f>VLOOKUP($H39,output!$A$10:$AH$2201,AE$1-$J$1+2)</f>
        <v>44.485999999999997</v>
      </c>
      <c r="AF39" s="11">
        <f>VLOOKUP($H39,output!$A$10:$AH$2201,AF$1-$J$1+2)</f>
        <v>43.848999999999997</v>
      </c>
      <c r="AG39" s="11">
        <f>VLOOKUP($H39,output!$A$10:$AH$2201,AG$1-$J$1+2)</f>
        <v>43.177999999999997</v>
      </c>
      <c r="AH39" s="11">
        <f>VLOOKUP($H39,output!$A$10:$AH$2201,AH$1-$J$1+2)</f>
        <v>42.578000000000003</v>
      </c>
      <c r="AI39" s="11">
        <f>VLOOKUP($H39,output!$A$10:$AH$2201,AI$1-$J$1+2)</f>
        <v>41.982999999999997</v>
      </c>
      <c r="AJ39" s="11">
        <f>VLOOKUP($H39,output!$A$10:$AH$2201,AJ$1-$J$1+2)</f>
        <v>41.39</v>
      </c>
      <c r="AK39" s="11">
        <f>VLOOKUP($H39,output!$A$10:$AH$2201,AK$1-$J$1+2)</f>
        <v>40.777999999999999</v>
      </c>
      <c r="AL39" s="11">
        <f>VLOOKUP($H39,output!$A$10:$AH$2201,AL$1-$J$1+2)</f>
        <v>0</v>
      </c>
      <c r="AM39" s="11">
        <f>VLOOKUP($H39,output!$A$10:$AH$2201,AM$1-$J$1+2)</f>
        <v>0</v>
      </c>
      <c r="AN39" s="11">
        <f>VLOOKUP($H39,output!$A$10:$AH$2201,AN$1-$J$1+2)</f>
        <v>0</v>
      </c>
      <c r="AO39" s="11">
        <f>VLOOKUP($H39,output!$A$10:$AH$2201,AO$1-$J$1+2)</f>
        <v>0</v>
      </c>
      <c r="AP39" s="11">
        <f>VLOOKUP($H39,output!$A$10:$AH$2201,AP$1-$J$1+2)</f>
        <v>0</v>
      </c>
      <c r="AQ39" t="s">
        <v>120</v>
      </c>
    </row>
    <row r="40" spans="8:43" x14ac:dyDescent="0.25">
      <c r="H40" t="s">
        <v>4</v>
      </c>
      <c r="I40" t="s">
        <v>122</v>
      </c>
      <c r="J40" s="11">
        <f>VLOOKUP($H40,output!$A$10:$AH$2201,J$1-$J$1+2)</f>
        <v>6.984</v>
      </c>
      <c r="K40" s="11">
        <f>VLOOKUP($H40,output!$A$10:$AH$2201,K$1-$J$1+2)</f>
        <v>9.0269999999999992</v>
      </c>
      <c r="L40" s="11">
        <f>VLOOKUP($H40,output!$A$10:$AH$2201,L$1-$J$1+2)</f>
        <v>10.851000000000001</v>
      </c>
      <c r="M40" s="11">
        <f>VLOOKUP($H40,output!$A$10:$AH$2201,M$1-$J$1+2)</f>
        <v>12.635</v>
      </c>
      <c r="N40" s="11">
        <f>VLOOKUP($H40,output!$A$10:$AH$2201,N$1-$J$1+2)</f>
        <v>14.589</v>
      </c>
      <c r="O40" s="11">
        <f>VLOOKUP($H40,output!$A$10:$AH$2201,O$1-$J$1+2)</f>
        <v>16.460999999999999</v>
      </c>
      <c r="P40" s="11">
        <f>VLOOKUP($H40,output!$A$10:$AH$2201,P$1-$J$1+2)</f>
        <v>18.247</v>
      </c>
      <c r="Q40" s="11">
        <f>VLOOKUP($H40,output!$A$10:$AH$2201,Q$1-$J$1+2)</f>
        <v>19.873000000000001</v>
      </c>
      <c r="R40" s="11">
        <f>VLOOKUP($H40,output!$A$10:$AH$2201,R$1-$J$1+2)</f>
        <v>21.664000000000001</v>
      </c>
      <c r="S40" s="11">
        <f>VLOOKUP($H40,output!$A$10:$AH$2201,S$1-$J$1+2)</f>
        <v>23.361999999999998</v>
      </c>
      <c r="T40" s="11">
        <f>VLOOKUP($H40,output!$A$10:$AH$2201,T$1-$J$1+2)</f>
        <v>25.103999999999999</v>
      </c>
      <c r="U40" s="11">
        <f>VLOOKUP($H40,output!$A$10:$AH$2201,U$1-$J$1+2)</f>
        <v>26.896000000000001</v>
      </c>
      <c r="V40" s="11">
        <f>VLOOKUP($H40,output!$A$10:$AH$2201,V$1-$J$1+2)</f>
        <v>28.731999999999999</v>
      </c>
      <c r="W40" s="11">
        <f>VLOOKUP($H40,output!$A$10:$AH$2201,W$1-$J$1+2)</f>
        <v>30.076000000000001</v>
      </c>
      <c r="X40" s="11">
        <f>VLOOKUP($H40,output!$A$10:$AH$2201,X$1-$J$1+2)</f>
        <v>31.437000000000001</v>
      </c>
      <c r="Y40" s="11">
        <f>VLOOKUP($H40,output!$A$10:$AH$2201,Y$1-$J$1+2)</f>
        <v>32.831000000000003</v>
      </c>
      <c r="Z40" s="11">
        <f>VLOOKUP($H40,output!$A$10:$AH$2201,Z$1-$J$1+2)</f>
        <v>34.045000000000002</v>
      </c>
      <c r="AA40" s="11">
        <f>VLOOKUP($H40,output!$A$10:$AH$2201,AA$1-$J$1+2)</f>
        <v>35.313000000000002</v>
      </c>
      <c r="AB40" s="11">
        <f>VLOOKUP($H40,output!$A$10:$AH$2201,AB$1-$J$1+2)</f>
        <v>36.357999999999997</v>
      </c>
      <c r="AC40" s="11">
        <f>VLOOKUP($H40,output!$A$10:$AH$2201,AC$1-$J$1+2)</f>
        <v>37.366</v>
      </c>
      <c r="AD40" s="11">
        <f>VLOOKUP($H40,output!$A$10:$AH$2201,AD$1-$J$1+2)</f>
        <v>38.249000000000002</v>
      </c>
      <c r="AE40" s="11">
        <f>VLOOKUP($H40,output!$A$10:$AH$2201,AE$1-$J$1+2)</f>
        <v>38.661999999999999</v>
      </c>
      <c r="AF40" s="11">
        <f>VLOOKUP($H40,output!$A$10:$AH$2201,AF$1-$J$1+2)</f>
        <v>39.034999999999997</v>
      </c>
      <c r="AG40" s="11">
        <f>VLOOKUP($H40,output!$A$10:$AH$2201,AG$1-$J$1+2)</f>
        <v>39.482999999999997</v>
      </c>
      <c r="AH40" s="11">
        <f>VLOOKUP($H40,output!$A$10:$AH$2201,AH$1-$J$1+2)</f>
        <v>39.835000000000001</v>
      </c>
      <c r="AI40" s="11">
        <f>VLOOKUP($H40,output!$A$10:$AH$2201,AI$1-$J$1+2)</f>
        <v>40.18</v>
      </c>
      <c r="AJ40" s="11">
        <f>VLOOKUP($H40,output!$A$10:$AH$2201,AJ$1-$J$1+2)</f>
        <v>40.523000000000003</v>
      </c>
      <c r="AK40" s="11">
        <f>VLOOKUP($H40,output!$A$10:$AH$2201,AK$1-$J$1+2)</f>
        <v>40.848999999999997</v>
      </c>
      <c r="AL40" s="11">
        <f>VLOOKUP($H40,output!$A$10:$AH$2201,AL$1-$J$1+2)</f>
        <v>0</v>
      </c>
      <c r="AM40" s="11">
        <f>VLOOKUP($H40,output!$A$10:$AH$2201,AM$1-$J$1+2)</f>
        <v>0</v>
      </c>
      <c r="AN40" s="11">
        <f>VLOOKUP($H40,output!$A$10:$AH$2201,AN$1-$J$1+2)</f>
        <v>0</v>
      </c>
      <c r="AO40" s="11">
        <f>VLOOKUP($H40,output!$A$10:$AH$2201,AO$1-$J$1+2)</f>
        <v>0</v>
      </c>
      <c r="AP40" s="11">
        <f>VLOOKUP($H40,output!$A$10:$AH$2201,AP$1-$J$1+2)</f>
        <v>0</v>
      </c>
      <c r="AQ40" t="s">
        <v>122</v>
      </c>
    </row>
    <row r="41" spans="8:43" x14ac:dyDescent="0.25">
      <c r="H41" t="s">
        <v>5</v>
      </c>
      <c r="I41" t="s">
        <v>121</v>
      </c>
      <c r="J41" s="11">
        <f>VLOOKUP($H41,output!$A$10:$AH$2201,J$1-$J$1+2)</f>
        <v>43.912999999999997</v>
      </c>
      <c r="K41" s="11">
        <f>VLOOKUP($H41,output!$A$10:$AH$2201,K$1-$J$1+2)</f>
        <v>40.822000000000003</v>
      </c>
      <c r="L41" s="11">
        <f>VLOOKUP($H41,output!$A$10:$AH$2201,L$1-$J$1+2)</f>
        <v>38.813000000000002</v>
      </c>
      <c r="M41" s="11">
        <f>VLOOKUP($H41,output!$A$10:$AH$2201,M$1-$J$1+2)</f>
        <v>36.838999999999999</v>
      </c>
      <c r="N41" s="11">
        <f>VLOOKUP($H41,output!$A$10:$AH$2201,N$1-$J$1+2)</f>
        <v>34.963000000000001</v>
      </c>
      <c r="O41" s="11">
        <f>VLOOKUP($H41,output!$A$10:$AH$2201,O$1-$J$1+2)</f>
        <v>33.127000000000002</v>
      </c>
      <c r="P41" s="11">
        <f>VLOOKUP($H41,output!$A$10:$AH$2201,P$1-$J$1+2)</f>
        <v>31.306999999999999</v>
      </c>
      <c r="Q41" s="11">
        <f>VLOOKUP($H41,output!$A$10:$AH$2201,Q$1-$J$1+2)</f>
        <v>29.36</v>
      </c>
      <c r="R41" s="11">
        <f>VLOOKUP($H41,output!$A$10:$AH$2201,R$1-$J$1+2)</f>
        <v>27.512</v>
      </c>
      <c r="S41" s="11">
        <f>VLOOKUP($H41,output!$A$10:$AH$2201,S$1-$J$1+2)</f>
        <v>25.66</v>
      </c>
      <c r="T41" s="11">
        <f>VLOOKUP($H41,output!$A$10:$AH$2201,T$1-$J$1+2)</f>
        <v>23.901</v>
      </c>
      <c r="U41" s="11">
        <f>VLOOKUP($H41,output!$A$10:$AH$2201,U$1-$J$1+2)</f>
        <v>22.231000000000002</v>
      </c>
      <c r="V41" s="11">
        <f>VLOOKUP($H41,output!$A$10:$AH$2201,V$1-$J$1+2)</f>
        <v>20.646000000000001</v>
      </c>
      <c r="W41" s="11">
        <f>VLOOKUP($H41,output!$A$10:$AH$2201,W$1-$J$1+2)</f>
        <v>19.052</v>
      </c>
      <c r="X41" s="11">
        <f>VLOOKUP($H41,output!$A$10:$AH$2201,X$1-$J$1+2)</f>
        <v>17.454000000000001</v>
      </c>
      <c r="Y41" s="11">
        <f>VLOOKUP($H41,output!$A$10:$AH$2201,Y$1-$J$1+2)</f>
        <v>15.96</v>
      </c>
      <c r="Z41" s="11">
        <f>VLOOKUP($H41,output!$A$10:$AH$2201,Z$1-$J$1+2)</f>
        <v>14.523</v>
      </c>
      <c r="AA41" s="11">
        <f>VLOOKUP($H41,output!$A$10:$AH$2201,AA$1-$J$1+2)</f>
        <v>13.138</v>
      </c>
      <c r="AB41" s="11">
        <f>VLOOKUP($H41,output!$A$10:$AH$2201,AB$1-$J$1+2)</f>
        <v>11.787000000000001</v>
      </c>
      <c r="AC41" s="11">
        <f>VLOOKUP($H41,output!$A$10:$AH$2201,AC$1-$J$1+2)</f>
        <v>10.502000000000001</v>
      </c>
      <c r="AD41" s="11">
        <f>VLOOKUP($H41,output!$A$10:$AH$2201,AD$1-$J$1+2)</f>
        <v>9.2759999999999998</v>
      </c>
      <c r="AE41" s="11">
        <f>VLOOKUP($H41,output!$A$10:$AH$2201,AE$1-$J$1+2)</f>
        <v>8.8770000000000007</v>
      </c>
      <c r="AF41" s="11">
        <f>VLOOKUP($H41,output!$A$10:$AH$2201,AF$1-$J$1+2)</f>
        <v>8.3450000000000006</v>
      </c>
      <c r="AG41" s="11">
        <f>VLOOKUP($H41,output!$A$10:$AH$2201,AG$1-$J$1+2)</f>
        <v>7.9160000000000004</v>
      </c>
      <c r="AH41" s="11">
        <f>VLOOKUP($H41,output!$A$10:$AH$2201,AH$1-$J$1+2)</f>
        <v>7.4640000000000004</v>
      </c>
      <c r="AI41" s="11">
        <f>VLOOKUP($H41,output!$A$10:$AH$2201,AI$1-$J$1+2)</f>
        <v>7.077</v>
      </c>
      <c r="AJ41" s="11">
        <f>VLOOKUP($H41,output!$A$10:$AH$2201,AJ$1-$J$1+2)</f>
        <v>6.7590000000000003</v>
      </c>
      <c r="AK41" s="11">
        <f>VLOOKUP($H41,output!$A$10:$AH$2201,AK$1-$J$1+2)</f>
        <v>6.4880000000000004</v>
      </c>
      <c r="AL41" s="11">
        <f>VLOOKUP($H41,output!$A$10:$AH$2201,AL$1-$J$1+2)</f>
        <v>0</v>
      </c>
      <c r="AM41" s="11">
        <f>VLOOKUP($H41,output!$A$10:$AH$2201,AM$1-$J$1+2)</f>
        <v>0</v>
      </c>
      <c r="AN41" s="11">
        <f>VLOOKUP($H41,output!$A$10:$AH$2201,AN$1-$J$1+2)</f>
        <v>0</v>
      </c>
      <c r="AO41" s="11">
        <f>VLOOKUP($H41,output!$A$10:$AH$2201,AO$1-$J$1+2)</f>
        <v>0</v>
      </c>
      <c r="AP41" s="11">
        <f>VLOOKUP($H41,output!$A$10:$AH$2201,AP$1-$J$1+2)</f>
        <v>0</v>
      </c>
      <c r="AQ41" t="s">
        <v>121</v>
      </c>
    </row>
    <row r="42" spans="8:43" x14ac:dyDescent="0.25"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</row>
    <row r="43" spans="8:43" x14ac:dyDescent="0.25">
      <c r="I43" t="s">
        <v>138</v>
      </c>
      <c r="J43" s="11">
        <f>SUM(J36:J41)</f>
        <v>260.45799999999997</v>
      </c>
      <c r="K43" s="11">
        <f t="shared" ref="K43:AP43" si="34">SUM(K36:K41)</f>
        <v>253.84599999999998</v>
      </c>
      <c r="L43" s="11">
        <f t="shared" si="34"/>
        <v>249.95299999999997</v>
      </c>
      <c r="M43" s="11">
        <f t="shared" si="34"/>
        <v>244.43599999999998</v>
      </c>
      <c r="N43" s="11">
        <f t="shared" si="34"/>
        <v>236.148</v>
      </c>
      <c r="O43" s="11">
        <f t="shared" si="34"/>
        <v>230.59199999999998</v>
      </c>
      <c r="P43" s="11">
        <f t="shared" si="34"/>
        <v>225.643</v>
      </c>
      <c r="Q43" s="11">
        <f t="shared" si="34"/>
        <v>220.66199999999998</v>
      </c>
      <c r="R43" s="11">
        <f t="shared" si="34"/>
        <v>214.36</v>
      </c>
      <c r="S43" s="11">
        <f t="shared" si="34"/>
        <v>208.68399999999997</v>
      </c>
      <c r="T43" s="11">
        <f t="shared" si="34"/>
        <v>203.197</v>
      </c>
      <c r="U43" s="11">
        <f t="shared" si="34"/>
        <v>197.82600000000002</v>
      </c>
      <c r="V43" s="11">
        <f t="shared" si="34"/>
        <v>192.536</v>
      </c>
      <c r="W43" s="11">
        <f t="shared" si="34"/>
        <v>188.339</v>
      </c>
      <c r="X43" s="11">
        <f t="shared" si="34"/>
        <v>183.62200000000001</v>
      </c>
      <c r="Y43" s="11">
        <f t="shared" si="34"/>
        <v>179.071</v>
      </c>
      <c r="Z43" s="11">
        <f t="shared" si="34"/>
        <v>175.04900000000001</v>
      </c>
      <c r="AA43" s="11">
        <f t="shared" si="34"/>
        <v>164.17999999999998</v>
      </c>
      <c r="AB43" s="11">
        <f t="shared" si="34"/>
        <v>165.18600000000001</v>
      </c>
      <c r="AC43" s="11">
        <f t="shared" si="34"/>
        <v>161.28100000000001</v>
      </c>
      <c r="AD43" s="11">
        <f t="shared" si="34"/>
        <v>157.80000000000001</v>
      </c>
      <c r="AE43" s="11">
        <f t="shared" si="34"/>
        <v>155.14700000000002</v>
      </c>
      <c r="AF43" s="11">
        <f t="shared" si="34"/>
        <v>152.69999999999999</v>
      </c>
      <c r="AG43" s="11">
        <f t="shared" si="34"/>
        <v>150.17400000000001</v>
      </c>
      <c r="AH43" s="11">
        <f t="shared" si="34"/>
        <v>147.92400000000001</v>
      </c>
      <c r="AI43" s="11">
        <f t="shared" si="34"/>
        <v>145.72499999999999</v>
      </c>
      <c r="AJ43" s="11">
        <f t="shared" si="34"/>
        <v>143.56599999999997</v>
      </c>
      <c r="AK43" s="11">
        <f t="shared" si="34"/>
        <v>141.363</v>
      </c>
      <c r="AL43" s="11">
        <f t="shared" si="34"/>
        <v>0</v>
      </c>
      <c r="AM43" s="11">
        <f t="shared" si="34"/>
        <v>0</v>
      </c>
      <c r="AN43" s="11">
        <f t="shared" si="34"/>
        <v>0</v>
      </c>
      <c r="AO43" s="11">
        <f t="shared" si="34"/>
        <v>0</v>
      </c>
      <c r="AP43" s="11">
        <f t="shared" si="34"/>
        <v>0</v>
      </c>
    </row>
    <row r="44" spans="8:43" x14ac:dyDescent="0.25">
      <c r="H44" s="2" t="s">
        <v>180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</row>
    <row r="45" spans="8:43" x14ac:dyDescent="0.25">
      <c r="H45" t="s">
        <v>117</v>
      </c>
      <c r="J45" s="11">
        <f>J36*J$12</f>
        <v>11.458</v>
      </c>
      <c r="K45" s="11">
        <f t="shared" ref="K45:AP49" si="35">K36*K$12</f>
        <v>12.433</v>
      </c>
      <c r="L45" s="11">
        <f t="shared" si="35"/>
        <v>12.516999999999999</v>
      </c>
      <c r="M45" s="11">
        <f t="shared" si="35"/>
        <v>13.89465</v>
      </c>
      <c r="N45" s="11">
        <f t="shared" si="35"/>
        <v>14.71176</v>
      </c>
      <c r="O45" s="11">
        <f t="shared" si="35"/>
        <v>16.526859999999999</v>
      </c>
      <c r="P45" s="11">
        <f t="shared" si="35"/>
        <v>19.229443199999999</v>
      </c>
      <c r="Q45" s="11">
        <f t="shared" si="35"/>
        <v>22.770397999999997</v>
      </c>
      <c r="R45" s="11">
        <f t="shared" si="35"/>
        <v>24.403415199999998</v>
      </c>
      <c r="S45" s="11">
        <f t="shared" si="35"/>
        <v>26.949168</v>
      </c>
      <c r="T45" s="11">
        <f t="shared" si="35"/>
        <v>28.906675999999997</v>
      </c>
      <c r="U45" s="11">
        <f t="shared" si="35"/>
        <v>30.413135999999998</v>
      </c>
      <c r="V45" s="11">
        <f t="shared" si="35"/>
        <v>31.421426400000001</v>
      </c>
      <c r="W45" s="11">
        <f t="shared" si="35"/>
        <v>32.100659100000009</v>
      </c>
      <c r="X45" s="11">
        <f t="shared" si="35"/>
        <v>32.502659399999999</v>
      </c>
      <c r="Y45" s="11">
        <f t="shared" si="35"/>
        <v>32.271546405000002</v>
      </c>
      <c r="Z45" s="11">
        <f t="shared" si="35"/>
        <v>32.141940600000005</v>
      </c>
      <c r="AA45" s="11">
        <f t="shared" si="35"/>
        <v>31.282713000000001</v>
      </c>
      <c r="AB45" s="11">
        <f t="shared" si="35"/>
        <v>30.921432960000004</v>
      </c>
      <c r="AC45" s="11">
        <f t="shared" si="35"/>
        <v>30.560354880000006</v>
      </c>
      <c r="AD45" s="11">
        <f t="shared" si="35"/>
        <v>29.887454519999999</v>
      </c>
      <c r="AE45" s="11">
        <f t="shared" si="35"/>
        <v>29.556355140000001</v>
      </c>
      <c r="AF45" s="11">
        <f t="shared" si="35"/>
        <v>29.234140199999999</v>
      </c>
      <c r="AG45" s="11">
        <f t="shared" si="35"/>
        <v>28.92077055</v>
      </c>
      <c r="AH45" s="11">
        <f t="shared" si="35"/>
        <v>28.61303328</v>
      </c>
      <c r="AI45" s="11">
        <f t="shared" si="35"/>
        <v>28.312489169999999</v>
      </c>
      <c r="AJ45" s="11">
        <f t="shared" si="35"/>
        <v>27.858077550000001</v>
      </c>
      <c r="AK45" s="11">
        <f t="shared" si="35"/>
        <v>27.5444263875</v>
      </c>
      <c r="AL45" s="11">
        <f t="shared" si="35"/>
        <v>0</v>
      </c>
      <c r="AM45" s="11">
        <f t="shared" si="35"/>
        <v>0</v>
      </c>
      <c r="AN45" s="11">
        <f t="shared" si="35"/>
        <v>0</v>
      </c>
      <c r="AO45" s="11">
        <f t="shared" si="35"/>
        <v>0</v>
      </c>
      <c r="AP45" s="11">
        <f t="shared" si="35"/>
        <v>0</v>
      </c>
      <c r="AQ45" t="s">
        <v>117</v>
      </c>
    </row>
    <row r="46" spans="8:43" x14ac:dyDescent="0.25">
      <c r="H46" t="s">
        <v>179</v>
      </c>
      <c r="J46" s="11">
        <f t="shared" ref="J46:Y49" si="36">J37*J$12</f>
        <v>91</v>
      </c>
      <c r="K46" s="11">
        <f t="shared" si="36"/>
        <v>89.096999999999994</v>
      </c>
      <c r="L46" s="11">
        <f t="shared" si="36"/>
        <v>88.978999999999999</v>
      </c>
      <c r="M46" s="11">
        <f t="shared" si="36"/>
        <v>85.896360000000001</v>
      </c>
      <c r="N46" s="11">
        <f t="shared" si="36"/>
        <v>81.328239999999994</v>
      </c>
      <c r="O46" s="11">
        <f t="shared" si="36"/>
        <v>77.572839999999985</v>
      </c>
      <c r="P46" s="11">
        <f t="shared" si="36"/>
        <v>72.621964800000001</v>
      </c>
      <c r="Q46" s="11">
        <f t="shared" si="36"/>
        <v>67.226579000000001</v>
      </c>
      <c r="R46" s="11">
        <f t="shared" si="36"/>
        <v>62.192054399999996</v>
      </c>
      <c r="S46" s="11">
        <f t="shared" si="36"/>
        <v>56.924928000000001</v>
      </c>
      <c r="T46" s="11">
        <f t="shared" si="36"/>
        <v>52.086030000000001</v>
      </c>
      <c r="U46" s="11">
        <f t="shared" si="36"/>
        <v>47.929932600000001</v>
      </c>
      <c r="V46" s="11">
        <f t="shared" si="36"/>
        <v>44.073611400000004</v>
      </c>
      <c r="W46" s="11">
        <f t="shared" si="36"/>
        <v>40.225684050000005</v>
      </c>
      <c r="X46" s="11">
        <f t="shared" si="36"/>
        <v>37.021228200000003</v>
      </c>
      <c r="Y46" s="11">
        <f t="shared" si="36"/>
        <v>33.666885735000001</v>
      </c>
      <c r="Z46" s="11">
        <f t="shared" si="35"/>
        <v>31.370566920000002</v>
      </c>
      <c r="AA46" s="11">
        <f t="shared" si="35"/>
        <v>24.604846200000004</v>
      </c>
      <c r="AB46" s="11">
        <f t="shared" si="35"/>
        <v>25.874574000000003</v>
      </c>
      <c r="AC46" s="11">
        <f t="shared" si="35"/>
        <v>23.964082560000001</v>
      </c>
      <c r="AD46" s="11">
        <f t="shared" si="35"/>
        <v>22.099720860000001</v>
      </c>
      <c r="AE46" s="11">
        <f t="shared" si="35"/>
        <v>20.774287170000001</v>
      </c>
      <c r="AF46" s="11">
        <f t="shared" si="35"/>
        <v>19.699849350000001</v>
      </c>
      <c r="AG46" s="11">
        <f t="shared" si="35"/>
        <v>18.443647215000002</v>
      </c>
      <c r="AH46" s="11">
        <f t="shared" si="35"/>
        <v>17.443778399999999</v>
      </c>
      <c r="AI46" s="11">
        <f t="shared" si="35"/>
        <v>16.431256304999998</v>
      </c>
      <c r="AJ46" s="11">
        <f t="shared" si="35"/>
        <v>15.304251239999999</v>
      </c>
      <c r="AK46" s="11">
        <f t="shared" si="35"/>
        <v>14.254588012500001</v>
      </c>
      <c r="AL46" s="11">
        <f t="shared" si="35"/>
        <v>0</v>
      </c>
      <c r="AM46" s="11">
        <f t="shared" si="35"/>
        <v>0</v>
      </c>
      <c r="AN46" s="11">
        <f t="shared" si="35"/>
        <v>0</v>
      </c>
      <c r="AO46" s="11">
        <f t="shared" si="35"/>
        <v>0</v>
      </c>
      <c r="AP46" s="11">
        <f t="shared" si="35"/>
        <v>0</v>
      </c>
      <c r="AQ46" t="s">
        <v>179</v>
      </c>
    </row>
    <row r="47" spans="8:43" x14ac:dyDescent="0.25">
      <c r="H47" t="s">
        <v>119</v>
      </c>
      <c r="J47" s="11">
        <f t="shared" si="36"/>
        <v>31</v>
      </c>
      <c r="K47" s="11">
        <f t="shared" si="35"/>
        <v>27.902999999999999</v>
      </c>
      <c r="L47" s="11">
        <f t="shared" si="35"/>
        <v>25.251999999999999</v>
      </c>
      <c r="M47" s="11">
        <f t="shared" si="35"/>
        <v>22.091850000000001</v>
      </c>
      <c r="N47" s="11">
        <f t="shared" si="35"/>
        <v>18.57198</v>
      </c>
      <c r="O47" s="11">
        <f t="shared" si="35"/>
        <v>15.67811</v>
      </c>
      <c r="P47" s="11">
        <f t="shared" si="35"/>
        <v>12.843705599999998</v>
      </c>
      <c r="Q47" s="11">
        <f t="shared" si="35"/>
        <v>10.226103999999999</v>
      </c>
      <c r="R47" s="11">
        <f t="shared" si="35"/>
        <v>7.7585062000000002</v>
      </c>
      <c r="S47" s="11">
        <f t="shared" si="35"/>
        <v>5.4996480000000005</v>
      </c>
      <c r="T47" s="11">
        <f t="shared" si="35"/>
        <v>3.467158</v>
      </c>
      <c r="U47" s="11">
        <f t="shared" si="35"/>
        <v>1.6496717999999999</v>
      </c>
      <c r="V47" s="11">
        <f t="shared" si="35"/>
        <v>0</v>
      </c>
      <c r="W47" s="11">
        <f t="shared" si="35"/>
        <v>0</v>
      </c>
      <c r="X47" s="11">
        <f t="shared" si="35"/>
        <v>0</v>
      </c>
      <c r="Y47" s="11">
        <f t="shared" si="35"/>
        <v>0</v>
      </c>
      <c r="Z47" s="11">
        <f t="shared" si="35"/>
        <v>0</v>
      </c>
      <c r="AA47" s="11">
        <f t="shared" si="35"/>
        <v>0</v>
      </c>
      <c r="AB47" s="11">
        <f t="shared" si="35"/>
        <v>0</v>
      </c>
      <c r="AC47" s="11">
        <f>AC38*AC$12</f>
        <v>0</v>
      </c>
      <c r="AD47" s="11">
        <v>1</v>
      </c>
      <c r="AE47" s="11">
        <v>0.5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t="s">
        <v>119</v>
      </c>
    </row>
    <row r="48" spans="8:43" x14ac:dyDescent="0.25">
      <c r="H48" t="s">
        <v>120</v>
      </c>
      <c r="J48" s="11">
        <f t="shared" si="36"/>
        <v>76.102999999999994</v>
      </c>
      <c r="K48" s="11">
        <f t="shared" si="35"/>
        <v>74.563999999999993</v>
      </c>
      <c r="L48" s="11">
        <f t="shared" si="35"/>
        <v>73.540999999999997</v>
      </c>
      <c r="M48" s="11">
        <f t="shared" si="35"/>
        <v>71.129519999999999</v>
      </c>
      <c r="N48" s="11">
        <f t="shared" si="35"/>
        <v>68.252099999999999</v>
      </c>
      <c r="O48" s="11">
        <f t="shared" si="35"/>
        <v>65.79607</v>
      </c>
      <c r="P48" s="11">
        <f t="shared" si="35"/>
        <v>62.659872</v>
      </c>
      <c r="Q48" s="11">
        <f t="shared" si="35"/>
        <v>59.377317999999995</v>
      </c>
      <c r="R48" s="11">
        <f t="shared" si="35"/>
        <v>56.260795399999999</v>
      </c>
      <c r="S48" s="11">
        <f t="shared" si="35"/>
        <v>53.172489600000006</v>
      </c>
      <c r="T48" s="11">
        <f t="shared" si="35"/>
        <v>50.303943999999994</v>
      </c>
      <c r="U48" s="11">
        <f t="shared" si="35"/>
        <v>47.9032695</v>
      </c>
      <c r="V48" s="11">
        <f t="shared" si="35"/>
        <v>45.659577599999999</v>
      </c>
      <c r="W48" s="11">
        <f t="shared" si="35"/>
        <v>44.005329000000003</v>
      </c>
      <c r="X48" s="11">
        <f t="shared" si="35"/>
        <v>42.882185700000001</v>
      </c>
      <c r="Y48" s="11">
        <f t="shared" si="35"/>
        <v>41.372552460000001</v>
      </c>
      <c r="Z48" s="11">
        <f t="shared" si="35"/>
        <v>40.500407640000006</v>
      </c>
      <c r="AA48" s="11">
        <f t="shared" si="35"/>
        <v>38.061243000000005</v>
      </c>
      <c r="AB48" s="11">
        <f t="shared" si="35"/>
        <v>38.06338272</v>
      </c>
      <c r="AC48" s="11">
        <f t="shared" si="35"/>
        <v>37.244825640000009</v>
      </c>
      <c r="AD48" s="11">
        <f t="shared" si="35"/>
        <v>36.085056120000004</v>
      </c>
      <c r="AE48" s="11">
        <f t="shared" si="35"/>
        <v>35.47113453</v>
      </c>
      <c r="AF48" s="11">
        <f t="shared" si="35"/>
        <v>34.905996449999996</v>
      </c>
      <c r="AG48" s="11">
        <f t="shared" si="35"/>
        <v>34.315499609999996</v>
      </c>
      <c r="AH48" s="11">
        <f t="shared" si="35"/>
        <v>33.783088320000005</v>
      </c>
      <c r="AI48" s="11">
        <f t="shared" si="35"/>
        <v>33.256203704999997</v>
      </c>
      <c r="AJ48" s="11">
        <f t="shared" si="35"/>
        <v>32.544336149999999</v>
      </c>
      <c r="AK48" s="11">
        <f t="shared" si="35"/>
        <v>32.010220275000002</v>
      </c>
      <c r="AL48" s="11">
        <f t="shared" si="35"/>
        <v>0</v>
      </c>
      <c r="AM48" s="11">
        <f t="shared" si="35"/>
        <v>0</v>
      </c>
      <c r="AN48" s="11">
        <f t="shared" si="35"/>
        <v>0</v>
      </c>
      <c r="AO48" s="11">
        <f t="shared" si="35"/>
        <v>0</v>
      </c>
      <c r="AP48" s="11">
        <f t="shared" si="35"/>
        <v>0</v>
      </c>
      <c r="AQ48" t="s">
        <v>120</v>
      </c>
    </row>
    <row r="49" spans="8:55" x14ac:dyDescent="0.25">
      <c r="H49" t="s">
        <v>122</v>
      </c>
      <c r="J49" s="11">
        <f t="shared" si="36"/>
        <v>6.984</v>
      </c>
      <c r="K49" s="11">
        <f t="shared" si="35"/>
        <v>9.0269999999999992</v>
      </c>
      <c r="L49" s="11">
        <f t="shared" si="35"/>
        <v>10.851000000000001</v>
      </c>
      <c r="M49" s="11">
        <f t="shared" si="35"/>
        <v>12.508649999999999</v>
      </c>
      <c r="N49" s="11">
        <f t="shared" si="35"/>
        <v>14.297219999999999</v>
      </c>
      <c r="O49" s="11">
        <f t="shared" si="35"/>
        <v>15.967169999999998</v>
      </c>
      <c r="P49" s="11">
        <f t="shared" si="35"/>
        <v>17.341948799999997</v>
      </c>
      <c r="Q49" s="11">
        <f t="shared" si="35"/>
        <v>18.501763</v>
      </c>
      <c r="R49" s="11">
        <f t="shared" si="35"/>
        <v>19.753235199999999</v>
      </c>
      <c r="S49" s="11">
        <f t="shared" si="35"/>
        <v>20.857593599999998</v>
      </c>
      <c r="T49" s="11">
        <f t="shared" si="35"/>
        <v>21.940895999999999</v>
      </c>
      <c r="U49" s="11">
        <f t="shared" si="35"/>
        <v>23.133249599999999</v>
      </c>
      <c r="V49" s="11">
        <f t="shared" si="35"/>
        <v>24.3158916</v>
      </c>
      <c r="W49" s="11">
        <f t="shared" si="35"/>
        <v>25.133009400000002</v>
      </c>
      <c r="X49" s="11">
        <f t="shared" si="35"/>
        <v>26.227889100000002</v>
      </c>
      <c r="Y49" s="11">
        <f t="shared" si="35"/>
        <v>27.042730545000005</v>
      </c>
      <c r="Z49" s="11">
        <f t="shared" si="35"/>
        <v>27.997246200000003</v>
      </c>
      <c r="AA49" s="11">
        <f t="shared" si="35"/>
        <v>28.667093400000006</v>
      </c>
      <c r="AB49" s="11">
        <f t="shared" si="35"/>
        <v>29.46743184</v>
      </c>
      <c r="AC49" s="11">
        <f t="shared" si="35"/>
        <v>30.235072560000003</v>
      </c>
      <c r="AD49" s="11">
        <f>AD40*AD$12+(AD34-AD47)/3</f>
        <v>30.214613006666671</v>
      </c>
      <c r="AE49" s="11">
        <f t="shared" ref="AE49:AP49" si="37">AE40*AE$12+(AE34-AE47)/3</f>
        <v>30.660672343333331</v>
      </c>
      <c r="AF49" s="11">
        <f t="shared" si="37"/>
        <v>31.073811749999997</v>
      </c>
      <c r="AG49" s="11">
        <f t="shared" si="37"/>
        <v>31.378916834999998</v>
      </c>
      <c r="AH49" s="11">
        <f t="shared" si="37"/>
        <v>31.6066824</v>
      </c>
      <c r="AI49" s="11">
        <f t="shared" si="37"/>
        <v>31.827984300000001</v>
      </c>
      <c r="AJ49" s="11">
        <f t="shared" si="37"/>
        <v>31.862627055000004</v>
      </c>
      <c r="AK49" s="11">
        <f t="shared" si="37"/>
        <v>32.0659543875</v>
      </c>
      <c r="AL49" s="11">
        <f t="shared" si="37"/>
        <v>0</v>
      </c>
      <c r="AM49" s="11">
        <f t="shared" si="37"/>
        <v>0</v>
      </c>
      <c r="AN49" s="11">
        <f t="shared" si="37"/>
        <v>0</v>
      </c>
      <c r="AO49" s="11">
        <f t="shared" si="37"/>
        <v>0</v>
      </c>
      <c r="AP49" s="11">
        <f t="shared" si="37"/>
        <v>0</v>
      </c>
      <c r="AQ49" t="s">
        <v>122</v>
      </c>
    </row>
    <row r="50" spans="8:55" x14ac:dyDescent="0.25">
      <c r="H50" t="s">
        <v>121</v>
      </c>
      <c r="J50" s="11">
        <f>J41*J$12</f>
        <v>43.912999999999997</v>
      </c>
      <c r="K50" s="11">
        <f t="shared" ref="K50:AP50" si="38">K41*K$12</f>
        <v>40.822000000000003</v>
      </c>
      <c r="L50" s="11">
        <f t="shared" si="38"/>
        <v>38.813000000000002</v>
      </c>
      <c r="M50" s="11">
        <f t="shared" si="38"/>
        <v>36.470610000000001</v>
      </c>
      <c r="N50" s="11">
        <f t="shared" si="38"/>
        <v>34.263739999999999</v>
      </c>
      <c r="O50" s="11">
        <f t="shared" si="38"/>
        <v>32.133189999999999</v>
      </c>
      <c r="P50" s="11">
        <f t="shared" si="38"/>
        <v>29.754172799999996</v>
      </c>
      <c r="Q50" s="11">
        <f t="shared" si="38"/>
        <v>27.334159999999997</v>
      </c>
      <c r="R50" s="11">
        <f t="shared" si="38"/>
        <v>25.085441599999999</v>
      </c>
      <c r="S50" s="11">
        <f t="shared" si="38"/>
        <v>22.909248000000002</v>
      </c>
      <c r="T50" s="11">
        <f t="shared" si="38"/>
        <v>20.889474</v>
      </c>
      <c r="U50" s="11">
        <f t="shared" si="38"/>
        <v>19.1208831</v>
      </c>
      <c r="V50" s="11">
        <f t="shared" si="38"/>
        <v>17.472709800000001</v>
      </c>
      <c r="W50" s="11">
        <f t="shared" si="38"/>
        <v>15.920803800000002</v>
      </c>
      <c r="X50" s="11">
        <f t="shared" si="38"/>
        <v>14.561872200000002</v>
      </c>
      <c r="Y50" s="11">
        <f t="shared" si="38"/>
        <v>13.146172200000002</v>
      </c>
      <c r="Z50" s="11">
        <f t="shared" si="38"/>
        <v>11.943134280000001</v>
      </c>
      <c r="AA50" s="11">
        <f t="shared" si="38"/>
        <v>10.665428400000001</v>
      </c>
      <c r="AB50" s="11">
        <f t="shared" si="38"/>
        <v>9.5531277600000024</v>
      </c>
      <c r="AC50" s="11">
        <f t="shared" si="38"/>
        <v>8.4977983200000011</v>
      </c>
      <c r="AD50" s="11">
        <f t="shared" si="38"/>
        <v>7.4083701600000005</v>
      </c>
      <c r="AE50" s="11">
        <f t="shared" si="38"/>
        <v>7.0781203350000013</v>
      </c>
      <c r="AF50" s="11">
        <f t="shared" si="38"/>
        <v>6.6430372500000008</v>
      </c>
      <c r="AG50" s="11">
        <f t="shared" si="38"/>
        <v>6.2912014200000002</v>
      </c>
      <c r="AH50" s="11">
        <f t="shared" si="38"/>
        <v>5.9222361600000006</v>
      </c>
      <c r="AI50" s="11">
        <f t="shared" si="38"/>
        <v>5.605939395</v>
      </c>
      <c r="AJ50" s="11">
        <f t="shared" si="38"/>
        <v>5.3145003150000001</v>
      </c>
      <c r="AK50" s="11">
        <f t="shared" si="38"/>
        <v>5.0929989000000004</v>
      </c>
      <c r="AL50" s="11">
        <f t="shared" si="38"/>
        <v>0</v>
      </c>
      <c r="AM50" s="11">
        <f t="shared" si="38"/>
        <v>0</v>
      </c>
      <c r="AN50" s="11">
        <f t="shared" si="38"/>
        <v>0</v>
      </c>
      <c r="AO50" s="11">
        <f t="shared" si="38"/>
        <v>0</v>
      </c>
      <c r="AP50" s="11">
        <f t="shared" si="38"/>
        <v>0</v>
      </c>
      <c r="AQ50" t="s">
        <v>121</v>
      </c>
    </row>
    <row r="51" spans="8:55" x14ac:dyDescent="0.25">
      <c r="H51" t="s">
        <v>212</v>
      </c>
      <c r="I51">
        <v>3.2</v>
      </c>
      <c r="J51" s="11">
        <f>J49*($I51-1)</f>
        <v>15.364800000000001</v>
      </c>
      <c r="K51" s="11">
        <f t="shared" ref="K51:AP51" si="39">K49*($I51-1)</f>
        <v>19.859400000000001</v>
      </c>
      <c r="L51" s="11">
        <f t="shared" si="39"/>
        <v>23.872200000000003</v>
      </c>
      <c r="M51" s="11">
        <f t="shared" si="39"/>
        <v>27.519030000000001</v>
      </c>
      <c r="N51" s="11">
        <f t="shared" si="39"/>
        <v>31.453884000000002</v>
      </c>
      <c r="O51" s="11">
        <f t="shared" si="39"/>
        <v>35.127773999999995</v>
      </c>
      <c r="P51" s="11">
        <f t="shared" si="39"/>
        <v>38.152287359999995</v>
      </c>
      <c r="Q51" s="11">
        <f t="shared" si="39"/>
        <v>40.703878600000003</v>
      </c>
      <c r="R51" s="11">
        <f t="shared" si="39"/>
        <v>43.457117439999998</v>
      </c>
      <c r="S51" s="11">
        <f t="shared" si="39"/>
        <v>45.886705919999997</v>
      </c>
      <c r="T51" s="11">
        <f t="shared" si="39"/>
        <v>48.269971200000001</v>
      </c>
      <c r="U51" s="11">
        <f t="shared" si="39"/>
        <v>50.893149120000004</v>
      </c>
      <c r="V51" s="11">
        <f t="shared" si="39"/>
        <v>53.494961520000004</v>
      </c>
      <c r="W51" s="11">
        <f t="shared" si="39"/>
        <v>55.292620680000013</v>
      </c>
      <c r="X51" s="11">
        <f t="shared" si="39"/>
        <v>57.701356020000013</v>
      </c>
      <c r="Y51" s="11">
        <f t="shared" si="39"/>
        <v>59.494007199000016</v>
      </c>
      <c r="Z51" s="11">
        <f t="shared" si="39"/>
        <v>61.593941640000011</v>
      </c>
      <c r="AA51" s="11">
        <f t="shared" si="39"/>
        <v>63.067605480000019</v>
      </c>
      <c r="AB51" s="11">
        <f t="shared" si="39"/>
        <v>64.828350048000004</v>
      </c>
      <c r="AC51" s="11">
        <f t="shared" si="39"/>
        <v>66.517159632000016</v>
      </c>
      <c r="AD51" s="11">
        <f t="shared" si="39"/>
        <v>66.472148614666679</v>
      </c>
      <c r="AE51" s="11">
        <f t="shared" si="39"/>
        <v>67.453479155333341</v>
      </c>
      <c r="AF51" s="11">
        <f t="shared" si="39"/>
        <v>68.362385849999995</v>
      </c>
      <c r="AG51" s="11">
        <f t="shared" si="39"/>
        <v>69.033617036999999</v>
      </c>
      <c r="AH51" s="11">
        <f t="shared" si="39"/>
        <v>69.534701280000007</v>
      </c>
      <c r="AI51" s="11">
        <f t="shared" si="39"/>
        <v>70.021565460000005</v>
      </c>
      <c r="AJ51" s="11">
        <f t="shared" si="39"/>
        <v>70.097779521000021</v>
      </c>
      <c r="AK51" s="11">
        <f t="shared" si="39"/>
        <v>70.545099652499999</v>
      </c>
      <c r="AL51" s="11">
        <f t="shared" si="39"/>
        <v>0</v>
      </c>
      <c r="AM51" s="11">
        <f t="shared" si="39"/>
        <v>0</v>
      </c>
      <c r="AN51" s="11">
        <f t="shared" si="39"/>
        <v>0</v>
      </c>
      <c r="AO51" s="11">
        <f t="shared" si="39"/>
        <v>0</v>
      </c>
      <c r="AP51" s="11">
        <f t="shared" si="39"/>
        <v>0</v>
      </c>
      <c r="AQ51" t="s">
        <v>182</v>
      </c>
    </row>
    <row r="52" spans="8:55" x14ac:dyDescent="0.25">
      <c r="J52" s="11"/>
      <c r="K52" s="11"/>
      <c r="L52" s="11"/>
      <c r="M52" s="11"/>
      <c r="N52" s="12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spans="8:55" x14ac:dyDescent="0.25">
      <c r="I53" t="s">
        <v>183</v>
      </c>
      <c r="J53" s="11">
        <f>SUM(J45:J50)</f>
        <v>260.45799999999997</v>
      </c>
      <c r="K53" s="11">
        <f t="shared" ref="K53:AP53" si="40">SUM(K45:K50)</f>
        <v>253.84599999999998</v>
      </c>
      <c r="L53" s="11">
        <f t="shared" si="40"/>
        <v>249.95299999999997</v>
      </c>
      <c r="M53" s="11">
        <f t="shared" si="40"/>
        <v>241.99163999999999</v>
      </c>
      <c r="N53" s="11">
        <f t="shared" si="40"/>
        <v>231.42504000000002</v>
      </c>
      <c r="O53" s="11">
        <f t="shared" si="40"/>
        <v>223.67424</v>
      </c>
      <c r="P53" s="11">
        <f t="shared" si="40"/>
        <v>214.45110719999997</v>
      </c>
      <c r="Q53" s="11">
        <f t="shared" si="40"/>
        <v>205.43632200000002</v>
      </c>
      <c r="R53" s="11">
        <f t="shared" si="40"/>
        <v>195.45344800000001</v>
      </c>
      <c r="S53" s="11">
        <f t="shared" si="40"/>
        <v>186.31307520000001</v>
      </c>
      <c r="T53" s="11">
        <f t="shared" si="40"/>
        <v>177.594178</v>
      </c>
      <c r="U53" s="11">
        <f t="shared" si="40"/>
        <v>170.15014259999998</v>
      </c>
      <c r="V53" s="11">
        <f t="shared" si="40"/>
        <v>162.94321679999999</v>
      </c>
      <c r="W53" s="11">
        <f t="shared" si="40"/>
        <v>157.38548535000001</v>
      </c>
      <c r="X53" s="11">
        <f t="shared" si="40"/>
        <v>153.19583460000001</v>
      </c>
      <c r="Y53" s="11">
        <f t="shared" si="40"/>
        <v>147.49988734500002</v>
      </c>
      <c r="Z53" s="11">
        <f t="shared" si="40"/>
        <v>143.95329564000002</v>
      </c>
      <c r="AA53" s="11">
        <f t="shared" si="40"/>
        <v>133.28132400000001</v>
      </c>
      <c r="AB53" s="11">
        <f t="shared" si="40"/>
        <v>133.87994928000001</v>
      </c>
      <c r="AC53" s="11">
        <f t="shared" si="40"/>
        <v>130.50213396000004</v>
      </c>
      <c r="AD53" s="11">
        <f t="shared" si="40"/>
        <v>126.69521466666667</v>
      </c>
      <c r="AE53" s="11">
        <f t="shared" si="40"/>
        <v>124.04056951833334</v>
      </c>
      <c r="AF53" s="11">
        <f t="shared" si="40"/>
        <v>121.55683499999999</v>
      </c>
      <c r="AG53" s="11">
        <f t="shared" si="40"/>
        <v>119.35003563000001</v>
      </c>
      <c r="AH53" s="11">
        <f t="shared" si="40"/>
        <v>117.36881855999999</v>
      </c>
      <c r="AI53" s="11">
        <f t="shared" si="40"/>
        <v>115.43387287499999</v>
      </c>
      <c r="AJ53" s="11">
        <f t="shared" si="40"/>
        <v>112.88379231</v>
      </c>
      <c r="AK53" s="11">
        <f t="shared" si="40"/>
        <v>110.9681879625</v>
      </c>
      <c r="AL53" s="11">
        <f t="shared" si="40"/>
        <v>0</v>
      </c>
      <c r="AM53" s="11">
        <f t="shared" si="40"/>
        <v>0</v>
      </c>
      <c r="AN53" s="11">
        <f t="shared" si="40"/>
        <v>0</v>
      </c>
      <c r="AO53" s="11">
        <f t="shared" si="40"/>
        <v>0</v>
      </c>
      <c r="AP53" s="11">
        <f t="shared" si="40"/>
        <v>0</v>
      </c>
    </row>
    <row r="54" spans="8:55" x14ac:dyDescent="0.25">
      <c r="I54" t="s">
        <v>184</v>
      </c>
      <c r="J54" s="11">
        <f>SUM(J45:J51)</f>
        <v>275.82279999999997</v>
      </c>
      <c r="K54" s="11">
        <f t="shared" ref="K54:AP54" si="41">SUM(K45:K51)</f>
        <v>273.7054</v>
      </c>
      <c r="L54" s="11">
        <f t="shared" si="41"/>
        <v>273.8252</v>
      </c>
      <c r="M54" s="11">
        <f t="shared" si="41"/>
        <v>269.51067</v>
      </c>
      <c r="N54" s="11">
        <f t="shared" si="41"/>
        <v>262.87892400000004</v>
      </c>
      <c r="O54" s="11">
        <f t="shared" si="41"/>
        <v>258.80201399999999</v>
      </c>
      <c r="P54" s="11">
        <f t="shared" si="41"/>
        <v>252.60339455999997</v>
      </c>
      <c r="Q54" s="11">
        <f t="shared" si="41"/>
        <v>246.14020060000001</v>
      </c>
      <c r="R54" s="11">
        <f t="shared" si="41"/>
        <v>238.91056544</v>
      </c>
      <c r="S54" s="11">
        <f t="shared" si="41"/>
        <v>232.19978112000001</v>
      </c>
      <c r="T54" s="11">
        <f t="shared" si="41"/>
        <v>225.86414919999999</v>
      </c>
      <c r="U54" s="11">
        <f t="shared" si="41"/>
        <v>221.04329171999998</v>
      </c>
      <c r="V54" s="11">
        <f t="shared" si="41"/>
        <v>216.43817831999999</v>
      </c>
      <c r="W54" s="11">
        <f t="shared" si="41"/>
        <v>212.67810603000004</v>
      </c>
      <c r="X54" s="11">
        <f t="shared" si="41"/>
        <v>210.89719062000003</v>
      </c>
      <c r="Y54" s="11">
        <f t="shared" si="41"/>
        <v>206.99389454400003</v>
      </c>
      <c r="Z54" s="11">
        <f t="shared" si="41"/>
        <v>205.54723728000005</v>
      </c>
      <c r="AA54" s="11">
        <f t="shared" si="41"/>
        <v>196.34892948000004</v>
      </c>
      <c r="AB54" s="11">
        <f t="shared" si="41"/>
        <v>198.70829932800001</v>
      </c>
      <c r="AC54" s="11">
        <f t="shared" si="41"/>
        <v>197.01929359200005</v>
      </c>
      <c r="AD54" s="11">
        <f t="shared" si="41"/>
        <v>193.16736328133334</v>
      </c>
      <c r="AE54" s="11">
        <f t="shared" si="41"/>
        <v>191.49404867366667</v>
      </c>
      <c r="AF54" s="11">
        <f t="shared" si="41"/>
        <v>189.91922084999999</v>
      </c>
      <c r="AG54" s="11">
        <f t="shared" si="41"/>
        <v>188.38365266700001</v>
      </c>
      <c r="AH54" s="11">
        <f t="shared" si="41"/>
        <v>186.90351984</v>
      </c>
      <c r="AI54" s="11">
        <f t="shared" si="41"/>
        <v>185.455438335</v>
      </c>
      <c r="AJ54" s="11">
        <f t="shared" si="41"/>
        <v>182.98157183100002</v>
      </c>
      <c r="AK54" s="11">
        <f t="shared" si="41"/>
        <v>181.513287615</v>
      </c>
      <c r="AL54" s="11">
        <f t="shared" si="41"/>
        <v>0</v>
      </c>
      <c r="AM54" s="11">
        <f t="shared" si="41"/>
        <v>0</v>
      </c>
      <c r="AN54" s="11">
        <f t="shared" si="41"/>
        <v>0</v>
      </c>
      <c r="AO54" s="11">
        <f t="shared" si="41"/>
        <v>0</v>
      </c>
      <c r="AP54" s="11">
        <f t="shared" si="41"/>
        <v>0</v>
      </c>
    </row>
    <row r="55" spans="8:55" x14ac:dyDescent="0.25">
      <c r="J55" s="11"/>
      <c r="K55" s="11"/>
      <c r="L55" s="11"/>
      <c r="M55" s="11"/>
      <c r="N55" s="12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spans="8:55" x14ac:dyDescent="0.25">
      <c r="H56" s="2" t="s">
        <v>181</v>
      </c>
      <c r="J56" s="11"/>
      <c r="K56" s="11"/>
      <c r="L56" s="11"/>
      <c r="M56" s="11"/>
      <c r="N56" s="12">
        <f>N59/M59-1</f>
        <v>-0.11321585903083708</v>
      </c>
      <c r="O56" s="12">
        <f>O59/N59-1</f>
        <v>-0.12667660208643805</v>
      </c>
      <c r="P56" s="12">
        <f t="shared" ref="P56:AF56" si="42">P59/O59-1</f>
        <v>-0.1444823663253697</v>
      </c>
      <c r="Q56" s="12">
        <f t="shared" si="42"/>
        <v>-0.16821808510638303</v>
      </c>
      <c r="R56" s="12">
        <f t="shared" si="42"/>
        <v>-0.20143884892086328</v>
      </c>
      <c r="S56" s="12">
        <f t="shared" si="42"/>
        <v>-0.25125125125125125</v>
      </c>
      <c r="T56" s="12">
        <f t="shared" si="42"/>
        <v>-0.33556149732620322</v>
      </c>
      <c r="U56" s="12">
        <f t="shared" si="42"/>
        <v>-0.50100603621730389</v>
      </c>
      <c r="V56" s="12">
        <f t="shared" si="42"/>
        <v>-1</v>
      </c>
      <c r="W56" s="12" t="e">
        <f t="shared" si="42"/>
        <v>#DIV/0!</v>
      </c>
      <c r="X56" s="12" t="e">
        <f t="shared" si="42"/>
        <v>#DIV/0!</v>
      </c>
      <c r="Y56" s="12" t="e">
        <f t="shared" si="42"/>
        <v>#DIV/0!</v>
      </c>
      <c r="Z56" s="12" t="e">
        <f t="shared" si="42"/>
        <v>#DIV/0!</v>
      </c>
      <c r="AA56" s="12" t="e">
        <f t="shared" si="42"/>
        <v>#DIV/0!</v>
      </c>
      <c r="AB56" s="12" t="e">
        <f t="shared" si="42"/>
        <v>#DIV/0!</v>
      </c>
      <c r="AC56" s="12" t="e">
        <f t="shared" si="42"/>
        <v>#DIV/0!</v>
      </c>
      <c r="AD56" s="12" t="e">
        <f t="shared" si="42"/>
        <v>#DIV/0!</v>
      </c>
      <c r="AE56" s="12">
        <f t="shared" si="42"/>
        <v>0</v>
      </c>
      <c r="AF56" s="12">
        <f t="shared" si="42"/>
        <v>-1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8:55" x14ac:dyDescent="0.25">
      <c r="H57" t="s">
        <v>16</v>
      </c>
      <c r="I57" t="s">
        <v>121</v>
      </c>
      <c r="J57" s="11">
        <f>VLOOKUP($H57,output!$A$10:$AH$2201,J$1-$J$1+2)</f>
        <v>8.3170000000000002</v>
      </c>
      <c r="K57" s="11">
        <f>VLOOKUP($H57,output!$A$10:$AH$2201,K$1-$J$1+2)</f>
        <v>8.0120000000000005</v>
      </c>
      <c r="L57" s="11">
        <f>VLOOKUP($H57,output!$A$10:$AH$2201,L$1-$J$1+2)</f>
        <v>7.7679999999999998</v>
      </c>
      <c r="M57" s="11">
        <f>VLOOKUP($H57,output!$A$10:$AH$2201,M$1-$J$1+2)</f>
        <v>7.4989999999999997</v>
      </c>
      <c r="N57" s="11">
        <f>VLOOKUP($H57,output!$A$10:$AH$2201,N$1-$J$1+2)</f>
        <v>7.2409999999999997</v>
      </c>
      <c r="O57" s="11">
        <f>VLOOKUP($H57,output!$A$10:$AH$2201,O$1-$J$1+2)</f>
        <v>6.9640000000000004</v>
      </c>
      <c r="P57" s="11">
        <f>VLOOKUP($H57,output!$A$10:$AH$2201,P$1-$J$1+2)</f>
        <v>6.6660000000000004</v>
      </c>
      <c r="Q57" s="11">
        <f>VLOOKUP($H57,output!$A$10:$AH$2201,Q$1-$J$1+2)</f>
        <v>6.3319999999999999</v>
      </c>
      <c r="R57" s="11">
        <f>VLOOKUP($H57,output!$A$10:$AH$2201,R$1-$J$1+2)</f>
        <v>6.03</v>
      </c>
      <c r="S57" s="11">
        <f>VLOOKUP($H57,output!$A$10:$AH$2201,S$1-$J$1+2)</f>
        <v>5.7069999999999999</v>
      </c>
      <c r="T57" s="11">
        <f>VLOOKUP($H57,output!$A$10:$AH$2201,T$1-$J$1+2)</f>
        <v>5.3929999999999998</v>
      </c>
      <c r="U57" s="11">
        <f>VLOOKUP($H57,output!$A$10:$AH$2201,U$1-$J$1+2)</f>
        <v>5.09</v>
      </c>
      <c r="V57" s="11">
        <f>VLOOKUP($H57,output!$A$10:$AH$2201,V$1-$J$1+2)</f>
        <v>4.7949999999999999</v>
      </c>
      <c r="W57" s="11">
        <f>VLOOKUP($H57,output!$A$10:$AH$2201,W$1-$J$1+2)</f>
        <v>4.4969999999999999</v>
      </c>
      <c r="X57" s="11">
        <f>VLOOKUP($H57,output!$A$10:$AH$2201,X$1-$J$1+2)</f>
        <v>4.2130000000000001</v>
      </c>
      <c r="Y57" s="11">
        <f>VLOOKUP($H57,output!$A$10:$AH$2201,Y$1-$J$1+2)</f>
        <v>3.9380000000000002</v>
      </c>
      <c r="Z57" s="11">
        <f>VLOOKUP($H57,output!$A$10:$AH$2201,Z$1-$J$1+2)</f>
        <v>3.6669999999999998</v>
      </c>
      <c r="AA57" s="11">
        <f>VLOOKUP($H57,output!$A$10:$AH$2201,AA$1-$J$1+2)</f>
        <v>3.4039999999999999</v>
      </c>
      <c r="AB57" s="11">
        <f>VLOOKUP($H57,output!$A$10:$AH$2201,AB$1-$J$1+2)</f>
        <v>3.1360000000000001</v>
      </c>
      <c r="AC57" s="11">
        <f>VLOOKUP($H57,output!$A$10:$AH$2201,AC$1-$J$1+2)</f>
        <v>2.8719999999999999</v>
      </c>
      <c r="AD57" s="11">
        <f>VLOOKUP($H57,output!$A$10:$AH$2201,AD$1-$J$1+2)</f>
        <v>2.609</v>
      </c>
      <c r="AE57" s="11">
        <f>VLOOKUP($H57,output!$A$10:$AH$2201,AE$1-$J$1+2)</f>
        <v>2.5430000000000001</v>
      </c>
      <c r="AF57" s="11">
        <f>VLOOKUP($H57,output!$A$10:$AH$2201,AF$1-$J$1+2)</f>
        <v>2.44</v>
      </c>
      <c r="AG57" s="11">
        <f>VLOOKUP($H57,output!$A$10:$AH$2201,AG$1-$J$1+2)</f>
        <v>2.36</v>
      </c>
      <c r="AH57" s="11">
        <f>VLOOKUP($H57,output!$A$10:$AH$2201,AH$1-$J$1+2)</f>
        <v>2.27</v>
      </c>
      <c r="AI57" s="11">
        <f>VLOOKUP($H57,output!$A$10:$AH$2201,AI$1-$J$1+2)</f>
        <v>2.1949999999999998</v>
      </c>
      <c r="AJ57" s="11">
        <f>VLOOKUP($H57,output!$A$10:$AH$2201,AJ$1-$J$1+2)</f>
        <v>2.1360000000000001</v>
      </c>
      <c r="AK57" s="11">
        <f>VLOOKUP($H57,output!$A$10:$AH$2201,AK$1-$J$1+2)</f>
        <v>2.09</v>
      </c>
      <c r="AL57" s="11">
        <f>VLOOKUP($H57,output!$A$10:$AH$2201,AL$1-$J$1+2)</f>
        <v>0</v>
      </c>
      <c r="AM57" s="11">
        <f>VLOOKUP($H57,output!$A$10:$AH$2201,AM$1-$J$1+2)</f>
        <v>0</v>
      </c>
      <c r="AN57" s="11">
        <f>VLOOKUP($H57,output!$A$10:$AH$2201,AN$1-$J$1+2)</f>
        <v>0</v>
      </c>
      <c r="AO57" s="11">
        <f>VLOOKUP($H57,output!$A$10:$AH$2201,AO$1-$J$1+2)</f>
        <v>0</v>
      </c>
      <c r="AP57" s="11">
        <f>VLOOKUP($H57,output!$A$10:$AH$2201,AP$1-$J$1+2)</f>
        <v>0</v>
      </c>
      <c r="AQ57" t="s">
        <v>121</v>
      </c>
    </row>
    <row r="58" spans="8:55" x14ac:dyDescent="0.25">
      <c r="H58" t="s">
        <v>17</v>
      </c>
      <c r="I58" t="s">
        <v>122</v>
      </c>
      <c r="J58" s="11">
        <f>VLOOKUP($H58,output!$A$10:$AH$2201,J$1-$J$1+2)</f>
        <v>2.8959999999999999</v>
      </c>
      <c r="K58" s="11">
        <f>VLOOKUP($H58,output!$A$10:$AH$2201,K$1-$J$1+2)</f>
        <v>3.6419999999999999</v>
      </c>
      <c r="L58" s="11">
        <f>VLOOKUP($H58,output!$A$10:$AH$2201,L$1-$J$1+2)</f>
        <v>4.3680000000000003</v>
      </c>
      <c r="M58" s="11">
        <f>VLOOKUP($H58,output!$A$10:$AH$2201,M$1-$J$1+2)</f>
        <v>5.0540000000000003</v>
      </c>
      <c r="N58" s="11">
        <f>VLOOKUP($H58,output!$A$10:$AH$2201,N$1-$J$1+2)</f>
        <v>5.7990000000000004</v>
      </c>
      <c r="O58" s="11">
        <f>VLOOKUP($H58,output!$A$10:$AH$2201,O$1-$J$1+2)</f>
        <v>6.5110000000000001</v>
      </c>
      <c r="P58" s="11">
        <f>VLOOKUP($H58,output!$A$10:$AH$2201,P$1-$J$1+2)</f>
        <v>7.1840000000000002</v>
      </c>
      <c r="Q58" s="11">
        <f>VLOOKUP($H58,output!$A$10:$AH$2201,Q$1-$J$1+2)</f>
        <v>7.7560000000000002</v>
      </c>
      <c r="R58" s="11">
        <f>VLOOKUP($H58,output!$A$10:$AH$2201,R$1-$J$1+2)</f>
        <v>8.4190000000000005</v>
      </c>
      <c r="S58" s="11">
        <f>VLOOKUP($H58,output!$A$10:$AH$2201,S$1-$J$1+2)</f>
        <v>9.0389999999999997</v>
      </c>
      <c r="T58" s="11">
        <f>VLOOKUP($H58,output!$A$10:$AH$2201,T$1-$J$1+2)</f>
        <v>9.6920000000000002</v>
      </c>
      <c r="U58" s="11">
        <f>VLOOKUP($H58,output!$A$10:$AH$2201,U$1-$J$1+2)</f>
        <v>10.382</v>
      </c>
      <c r="V58" s="11">
        <f>VLOOKUP($H58,output!$A$10:$AH$2201,V$1-$J$1+2)</f>
        <v>11.106999999999999</v>
      </c>
      <c r="W58" s="11">
        <f>VLOOKUP($H58,output!$A$10:$AH$2201,W$1-$J$1+2)</f>
        <v>11.712999999999999</v>
      </c>
      <c r="X58" s="11">
        <f>VLOOKUP($H58,output!$A$10:$AH$2201,X$1-$J$1+2)</f>
        <v>12.358000000000001</v>
      </c>
      <c r="Y58" s="11">
        <f>VLOOKUP($H58,output!$A$10:$AH$2201,Y$1-$J$1+2)</f>
        <v>13.023999999999999</v>
      </c>
      <c r="Z58" s="11">
        <f>VLOOKUP($H58,output!$A$10:$AH$2201,Z$1-$J$1+2)</f>
        <v>13.643000000000001</v>
      </c>
      <c r="AA58" s="11">
        <f>VLOOKUP($H58,output!$A$10:$AH$2201,AA$1-$J$1+2)</f>
        <v>14.268000000000001</v>
      </c>
      <c r="AB58" s="11">
        <f>VLOOKUP($H58,output!$A$10:$AH$2201,AB$1-$J$1+2)</f>
        <v>14.823</v>
      </c>
      <c r="AC58" s="11">
        <f>VLOOKUP($H58,output!$A$10:$AH$2201,AC$1-$J$1+2)</f>
        <v>15.372999999999999</v>
      </c>
      <c r="AD58" s="11">
        <f>VLOOKUP($H58,output!$A$10:$AH$2201,AD$1-$J$1+2)+AD66-AD59</f>
        <v>15.782999999999999</v>
      </c>
      <c r="AE58" s="11">
        <f>VLOOKUP($H58,output!$A$10:$AH$2201,AE$1-$J$1+2)+AE66-AE59</f>
        <v>16.064</v>
      </c>
      <c r="AF58" s="11">
        <f>VLOOKUP($H58,output!$A$10:$AH$2201,AF$1-$J$1+2)+AF66-AF59</f>
        <v>16.440999999999999</v>
      </c>
      <c r="AG58" s="11">
        <f>VLOOKUP($H58,output!$A$10:$AH$2201,AG$1-$J$1+2)+AG66-AG59</f>
        <v>16.747</v>
      </c>
      <c r="AH58" s="11">
        <f>VLOOKUP($H58,output!$A$10:$AH$2201,AH$1-$J$1+2)+AH66-AH59</f>
        <v>17.018000000000001</v>
      </c>
      <c r="AI58" s="11">
        <f>VLOOKUP($H58,output!$A$10:$AH$2201,AI$1-$J$1+2)+AI66-AI59</f>
        <v>17.286999999999999</v>
      </c>
      <c r="AJ58" s="11">
        <f>VLOOKUP($H58,output!$A$10:$AH$2201,AJ$1-$J$1+2)+AJ66-AJ59</f>
        <v>17.553999999999998</v>
      </c>
      <c r="AK58" s="11">
        <f>VLOOKUP($H58,output!$A$10:$AH$2201,AK$1-$J$1+2)+AK66-AK59</f>
        <v>17.817</v>
      </c>
      <c r="AL58" s="11">
        <f>VLOOKUP($H58,output!$A$10:$AH$2201,AL$1-$J$1+2)+AL66-AL59</f>
        <v>0</v>
      </c>
      <c r="AM58" s="11">
        <f>VLOOKUP($H58,output!$A$10:$AH$2201,AM$1-$J$1+2)+AM66-AM59</f>
        <v>0</v>
      </c>
      <c r="AN58" s="11">
        <f>VLOOKUP($H58,output!$A$10:$AH$2201,AN$1-$J$1+2)+AN66-AN59</f>
        <v>0</v>
      </c>
      <c r="AO58" s="11">
        <f>VLOOKUP($H58,output!$A$10:$AH$2201,AO$1-$J$1+2)+AO66-AO59</f>
        <v>0</v>
      </c>
      <c r="AP58" s="11">
        <f>VLOOKUP($H58,output!$A$10:$AH$2201,AP$1-$J$1+2)+AP66-AP59</f>
        <v>0</v>
      </c>
      <c r="AQ58" t="s">
        <v>122</v>
      </c>
    </row>
    <row r="59" spans="8:55" x14ac:dyDescent="0.25">
      <c r="H59" t="s">
        <v>18</v>
      </c>
      <c r="I59" t="s">
        <v>119</v>
      </c>
      <c r="J59" s="11">
        <f>VLOOKUP($H59,output!$A$10:$AH$2201,J$1-$J$1+2)</f>
        <v>3.0489999999999999</v>
      </c>
      <c r="K59" s="11">
        <f>VLOOKUP($H59,output!$A$10:$AH$2201,K$1-$J$1+2)</f>
        <v>2.7879999999999998</v>
      </c>
      <c r="L59" s="11">
        <f>VLOOKUP($H59,output!$A$10:$AH$2201,L$1-$J$1+2)</f>
        <v>2.528</v>
      </c>
      <c r="M59" s="11">
        <f>VLOOKUP($H59,output!$A$10:$AH$2201,M$1-$J$1+2)</f>
        <v>2.27</v>
      </c>
      <c r="N59" s="11">
        <f>VLOOKUP($H59,output!$A$10:$AH$2201,N$1-$J$1+2)</f>
        <v>2.0129999999999999</v>
      </c>
      <c r="O59" s="11">
        <f>VLOOKUP($H59,output!$A$10:$AH$2201,O$1-$J$1+2)</f>
        <v>1.758</v>
      </c>
      <c r="P59" s="11">
        <f>VLOOKUP($H59,output!$A$10:$AH$2201,P$1-$J$1+2)</f>
        <v>1.504</v>
      </c>
      <c r="Q59" s="11">
        <f>VLOOKUP($H59,output!$A$10:$AH$2201,Q$1-$J$1+2)</f>
        <v>1.2509999999999999</v>
      </c>
      <c r="R59" s="11">
        <f>VLOOKUP($H59,output!$A$10:$AH$2201,R$1-$J$1+2)</f>
        <v>0.999</v>
      </c>
      <c r="S59" s="11">
        <f>VLOOKUP($H59,output!$A$10:$AH$2201,S$1-$J$1+2)</f>
        <v>0.748</v>
      </c>
      <c r="T59" s="11">
        <f>VLOOKUP($H59,output!$A$10:$AH$2201,T$1-$J$1+2)</f>
        <v>0.497</v>
      </c>
      <c r="U59" s="11">
        <f>VLOOKUP($H59,output!$A$10:$AH$2201,U$1-$J$1+2)</f>
        <v>0.248</v>
      </c>
      <c r="V59" s="11">
        <f>VLOOKUP($H59,output!$A$10:$AH$2201,V$1-$J$1+2)</f>
        <v>0</v>
      </c>
      <c r="W59" s="11">
        <f>VLOOKUP($H59,output!$A$10:$AH$2201,W$1-$J$1+2)</f>
        <v>0</v>
      </c>
      <c r="X59" s="11">
        <f>VLOOKUP($H59,output!$A$10:$AH$2201,X$1-$J$1+2)</f>
        <v>0</v>
      </c>
      <c r="Y59" s="11">
        <f>VLOOKUP($H59,output!$A$10:$AH$2201,Y$1-$J$1+2)</f>
        <v>0</v>
      </c>
      <c r="Z59" s="11">
        <f>VLOOKUP($H59,output!$A$10:$AH$2201,Z$1-$J$1+2)</f>
        <v>0</v>
      </c>
      <c r="AA59" s="11">
        <f>VLOOKUP($H59,output!$A$10:$AH$2201,AA$1-$J$1+2)</f>
        <v>0</v>
      </c>
      <c r="AB59" s="11">
        <f>VLOOKUP($H59,output!$A$10:$AH$2201,AB$1-$J$1+2)</f>
        <v>0</v>
      </c>
      <c r="AC59" s="11">
        <f>VLOOKUP($H59,output!$A$10:$AH$2201,AC$1-$J$1+2)</f>
        <v>0</v>
      </c>
      <c r="AD59" s="11">
        <v>0.1</v>
      </c>
      <c r="AE59" s="11">
        <v>0.1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t="s">
        <v>119</v>
      </c>
    </row>
    <row r="60" spans="8:55" x14ac:dyDescent="0.25">
      <c r="H60" t="s">
        <v>19</v>
      </c>
      <c r="I60" t="s">
        <v>120</v>
      </c>
      <c r="J60" s="11">
        <f>VLOOKUP($H60,output!$A$10:$AH$2201,J$1-$J$1+2)</f>
        <v>2.7330000000000001</v>
      </c>
      <c r="K60" s="11">
        <f>VLOOKUP($H60,output!$A$10:$AH$2201,K$1-$J$1+2)</f>
        <v>2.7629999999999999</v>
      </c>
      <c r="L60" s="11">
        <f>VLOOKUP($H60,output!$A$10:$AH$2201,L$1-$J$1+2)</f>
        <v>2.782</v>
      </c>
      <c r="M60" s="11">
        <f>VLOOKUP($H60,output!$A$10:$AH$2201,M$1-$J$1+2)</f>
        <v>2.8</v>
      </c>
      <c r="N60" s="11">
        <f>VLOOKUP($H60,output!$A$10:$AH$2201,N$1-$J$1+2)</f>
        <v>2.82</v>
      </c>
      <c r="O60" s="11">
        <f>VLOOKUP($H60,output!$A$10:$AH$2201,O$1-$J$1+2)</f>
        <v>2.84</v>
      </c>
      <c r="P60" s="11">
        <f>VLOOKUP($H60,output!$A$10:$AH$2201,P$1-$J$1+2)</f>
        <v>2.86</v>
      </c>
      <c r="Q60" s="11">
        <f>VLOOKUP($H60,output!$A$10:$AH$2201,Q$1-$J$1+2)</f>
        <v>2.8759999999999999</v>
      </c>
      <c r="R60" s="11">
        <f>VLOOKUP($H60,output!$A$10:$AH$2201,R$1-$J$1+2)</f>
        <v>2.8929999999999998</v>
      </c>
      <c r="S60" s="11">
        <f>VLOOKUP($H60,output!$A$10:$AH$2201,S$1-$J$1+2)</f>
        <v>2.91</v>
      </c>
      <c r="T60" s="11">
        <f>VLOOKUP($H60,output!$A$10:$AH$2201,T$1-$J$1+2)</f>
        <v>2.927</v>
      </c>
      <c r="U60" s="11">
        <f>VLOOKUP($H60,output!$A$10:$AH$2201,U$1-$J$1+2)</f>
        <v>2.944</v>
      </c>
      <c r="V60" s="11">
        <f>VLOOKUP($H60,output!$A$10:$AH$2201,V$1-$J$1+2)</f>
        <v>2.9620000000000002</v>
      </c>
      <c r="W60" s="11">
        <f>VLOOKUP($H60,output!$A$10:$AH$2201,W$1-$J$1+2)</f>
        <v>2.9750000000000001</v>
      </c>
      <c r="X60" s="11">
        <f>VLOOKUP($H60,output!$A$10:$AH$2201,X$1-$J$1+2)</f>
        <v>2.988</v>
      </c>
      <c r="Y60" s="11">
        <f>VLOOKUP($H60,output!$A$10:$AH$2201,Y$1-$J$1+2)</f>
        <v>3.0019999999999998</v>
      </c>
      <c r="Z60" s="11">
        <f>VLOOKUP($H60,output!$A$10:$AH$2201,Z$1-$J$1+2)</f>
        <v>3.0139999999999998</v>
      </c>
      <c r="AA60" s="11">
        <f>VLOOKUP($H60,output!$A$10:$AH$2201,AA$1-$J$1+2)</f>
        <v>3.024</v>
      </c>
      <c r="AB60" s="11">
        <f>VLOOKUP($H60,output!$A$10:$AH$2201,AB$1-$J$1+2)</f>
        <v>3.0310000000000001</v>
      </c>
      <c r="AC60" s="11">
        <f>VLOOKUP($H60,output!$A$10:$AH$2201,AC$1-$J$1+2)</f>
        <v>3.0390000000000001</v>
      </c>
      <c r="AD60" s="11">
        <f>VLOOKUP($H60,output!$A$10:$AH$2201,AD$1-$J$1+2)</f>
        <v>3.0449999999999999</v>
      </c>
      <c r="AE60" s="11">
        <f>VLOOKUP($H60,output!$A$10:$AH$2201,AE$1-$J$1+2)</f>
        <v>3.0449999999999999</v>
      </c>
      <c r="AF60" s="11">
        <f>VLOOKUP($H60,output!$A$10:$AH$2201,AF$1-$J$1+2)</f>
        <v>3.0449999999999999</v>
      </c>
      <c r="AG60" s="11">
        <f>VLOOKUP($H60,output!$A$10:$AH$2201,AG$1-$J$1+2)</f>
        <v>3.0449999999999999</v>
      </c>
      <c r="AH60" s="11">
        <f>VLOOKUP($H60,output!$A$10:$AH$2201,AH$1-$J$1+2)</f>
        <v>3.044</v>
      </c>
      <c r="AI60" s="11">
        <f>VLOOKUP($H60,output!$A$10:$AH$2201,AI$1-$J$1+2)</f>
        <v>3.0430000000000001</v>
      </c>
      <c r="AJ60" s="11">
        <f>VLOOKUP($H60,output!$A$10:$AH$2201,AJ$1-$J$1+2)</f>
        <v>3.0419999999999998</v>
      </c>
      <c r="AK60" s="11">
        <f>VLOOKUP($H60,output!$A$10:$AH$2201,AK$1-$J$1+2)</f>
        <v>3.0390000000000001</v>
      </c>
      <c r="AL60" s="11">
        <f>VLOOKUP($H60,output!$A$10:$AH$2201,AL$1-$J$1+2)</f>
        <v>0</v>
      </c>
      <c r="AM60" s="11">
        <f>VLOOKUP($H60,output!$A$10:$AH$2201,AM$1-$J$1+2)</f>
        <v>0</v>
      </c>
      <c r="AN60" s="11">
        <f>VLOOKUP($H60,output!$A$10:$AH$2201,AN$1-$J$1+2)</f>
        <v>0</v>
      </c>
      <c r="AO60" s="11">
        <f>VLOOKUP($H60,output!$A$10:$AH$2201,AO$1-$J$1+2)</f>
        <v>0</v>
      </c>
      <c r="AP60" s="11">
        <f>VLOOKUP($H60,output!$A$10:$AH$2201,AP$1-$J$1+2)</f>
        <v>0</v>
      </c>
      <c r="AQ60" t="s">
        <v>120</v>
      </c>
    </row>
    <row r="61" spans="8:55" x14ac:dyDescent="0.25">
      <c r="H61" t="s">
        <v>20</v>
      </c>
      <c r="I61" t="s">
        <v>118</v>
      </c>
      <c r="J61" s="11">
        <f>VLOOKUP($H61,output!$A$10:$AH$2201,J$1-$J$1+2)</f>
        <v>11.808999999999999</v>
      </c>
      <c r="K61" s="11">
        <f>VLOOKUP($H61,output!$A$10:$AH$2201,K$1-$J$1+2)</f>
        <v>11.673999999999999</v>
      </c>
      <c r="L61" s="11">
        <f>VLOOKUP($H61,output!$A$10:$AH$2201,L$1-$J$1+2)</f>
        <v>11.648</v>
      </c>
      <c r="M61" s="11">
        <f>VLOOKUP($H61,output!$A$10:$AH$2201,M$1-$J$1+2)</f>
        <v>11.49</v>
      </c>
      <c r="N61" s="11">
        <f>VLOOKUP($H61,output!$A$10:$AH$2201,N$1-$J$1+2)</f>
        <v>11.327999999999999</v>
      </c>
      <c r="O61" s="11">
        <f>VLOOKUP($H61,output!$A$10:$AH$2201,O$1-$J$1+2)</f>
        <v>11.067</v>
      </c>
      <c r="P61" s="11">
        <f>VLOOKUP($H61,output!$A$10:$AH$2201,P$1-$J$1+2)</f>
        <v>10.695</v>
      </c>
      <c r="Q61" s="11">
        <f>VLOOKUP($H61,output!$A$10:$AH$2201,Q$1-$J$1+2)</f>
        <v>10.223000000000001</v>
      </c>
      <c r="R61" s="11">
        <f>VLOOKUP($H61,output!$A$10:$AH$2201,R$1-$J$1+2)</f>
        <v>9.8780000000000001</v>
      </c>
      <c r="S61" s="11">
        <f>VLOOKUP($H61,output!$A$10:$AH$2201,S$1-$J$1+2)</f>
        <v>9.4220000000000006</v>
      </c>
      <c r="T61" s="11">
        <f>VLOOKUP($H61,output!$A$10:$AH$2201,T$1-$J$1+2)</f>
        <v>8.9879999999999995</v>
      </c>
      <c r="U61" s="11">
        <f>VLOOKUP($H61,output!$A$10:$AH$2201,U$1-$J$1+2)</f>
        <v>8.5860000000000003</v>
      </c>
      <c r="V61" s="11">
        <f>VLOOKUP($H61,output!$A$10:$AH$2201,V$1-$J$1+2)</f>
        <v>8.2080000000000002</v>
      </c>
      <c r="W61" s="11">
        <f>VLOOKUP($H61,output!$A$10:$AH$2201,W$1-$J$1+2)</f>
        <v>7.7720000000000002</v>
      </c>
      <c r="X61" s="11">
        <f>VLOOKUP($H61,output!$A$10:$AH$2201,X$1-$J$1+2)</f>
        <v>7.3810000000000002</v>
      </c>
      <c r="Y61" s="11">
        <f>VLOOKUP($H61,output!$A$10:$AH$2201,Y$1-$J$1+2)</f>
        <v>7.01</v>
      </c>
      <c r="Z61" s="11">
        <f>VLOOKUP($H61,output!$A$10:$AH$2201,Z$1-$J$1+2)</f>
        <v>6.7350000000000003</v>
      </c>
      <c r="AA61" s="11">
        <f>VLOOKUP($H61,output!$A$10:$AH$2201,AA$1-$J$1+2)</f>
        <v>6.4119999999999999</v>
      </c>
      <c r="AB61" s="11">
        <f>VLOOKUP($H61,output!$A$10:$AH$2201,AB$1-$J$1+2)</f>
        <v>6.1360000000000001</v>
      </c>
      <c r="AC61" s="11">
        <f>VLOOKUP($H61,output!$A$10:$AH$2201,AC$1-$J$1+2)</f>
        <v>5.8620000000000001</v>
      </c>
      <c r="AD61" s="11">
        <f>VLOOKUP($H61,output!$A$10:$AH$2201,AD$1-$J$1+2)</f>
        <v>5.6280000000000001</v>
      </c>
      <c r="AE61" s="11">
        <f>VLOOKUP($H61,output!$A$10:$AH$2201,AE$1-$J$1+2)</f>
        <v>5.4329999999999998</v>
      </c>
      <c r="AF61" s="11">
        <f>VLOOKUP($H61,output!$A$10:$AH$2201,AF$1-$J$1+2)</f>
        <v>5.28</v>
      </c>
      <c r="AG61" s="11">
        <f>VLOOKUP($H61,output!$A$10:$AH$2201,AG$1-$J$1+2)</f>
        <v>5.0750000000000002</v>
      </c>
      <c r="AH61" s="11">
        <f>VLOOKUP($H61,output!$A$10:$AH$2201,AH$1-$J$1+2)</f>
        <v>4.915</v>
      </c>
      <c r="AI61" s="11">
        <f>VLOOKUP($H61,output!$A$10:$AH$2201,AI$1-$J$1+2)</f>
        <v>4.7439999999999998</v>
      </c>
      <c r="AJ61" s="11">
        <f>VLOOKUP($H61,output!$A$10:$AH$2201,AJ$1-$J$1+2)</f>
        <v>4.5590000000000002</v>
      </c>
      <c r="AK61" s="11">
        <f>VLOOKUP($H61,output!$A$10:$AH$2201,AK$1-$J$1+2)</f>
        <v>4.3620000000000001</v>
      </c>
      <c r="AL61" s="11">
        <f>VLOOKUP($H61,output!$A$10:$AH$2201,AL$1-$J$1+2)</f>
        <v>0</v>
      </c>
      <c r="AM61" s="11">
        <f>VLOOKUP($H61,output!$A$10:$AH$2201,AM$1-$J$1+2)</f>
        <v>0</v>
      </c>
      <c r="AN61" s="11">
        <f>VLOOKUP($H61,output!$A$10:$AH$2201,AN$1-$J$1+2)</f>
        <v>0</v>
      </c>
      <c r="AO61" s="11">
        <f>VLOOKUP($H61,output!$A$10:$AH$2201,AO$1-$J$1+2)</f>
        <v>0</v>
      </c>
      <c r="AP61" s="11">
        <f>VLOOKUP($H61,output!$A$10:$AH$2201,AP$1-$J$1+2)</f>
        <v>0</v>
      </c>
      <c r="AQ61" t="s">
        <v>118</v>
      </c>
    </row>
    <row r="62" spans="8:55" x14ac:dyDescent="0.25">
      <c r="H62" t="s">
        <v>21</v>
      </c>
      <c r="I62" t="s">
        <v>117</v>
      </c>
      <c r="J62" s="11">
        <f>VLOOKUP($H62,output!$A$10:$AH$2201,J$1-$J$1+2)</f>
        <v>1.421</v>
      </c>
      <c r="K62" s="11">
        <f>VLOOKUP($H62,output!$A$10:$AH$2201,K$1-$J$1+2)</f>
        <v>1.5649999999999999</v>
      </c>
      <c r="L62" s="11">
        <f>VLOOKUP($H62,output!$A$10:$AH$2201,L$1-$J$1+2)</f>
        <v>1.619</v>
      </c>
      <c r="M62" s="11">
        <f>VLOOKUP($H62,output!$A$10:$AH$2201,M$1-$J$1+2)</f>
        <v>1.8680000000000001</v>
      </c>
      <c r="N62" s="11">
        <f>VLOOKUP($H62,output!$A$10:$AH$2201,N$1-$J$1+2)</f>
        <v>2.0470000000000002</v>
      </c>
      <c r="O62" s="11">
        <f>VLOOKUP($H62,output!$A$10:$AH$2201,O$1-$J$1+2)</f>
        <v>2.375</v>
      </c>
      <c r="P62" s="11">
        <f>VLOOKUP($H62,output!$A$10:$AH$2201,P$1-$J$1+2)</f>
        <v>2.8740000000000001</v>
      </c>
      <c r="Q62" s="11">
        <f>VLOOKUP($H62,output!$A$10:$AH$2201,Q$1-$J$1+2)</f>
        <v>3.5219999999999998</v>
      </c>
      <c r="R62" s="11">
        <f>VLOOKUP($H62,output!$A$10:$AH$2201,R$1-$J$1+2)</f>
        <v>3.919</v>
      </c>
      <c r="S62" s="11">
        <f>VLOOKUP($H62,output!$A$10:$AH$2201,S$1-$J$1+2)</f>
        <v>4.4909999999999997</v>
      </c>
      <c r="T62" s="11">
        <f>VLOOKUP($H62,output!$A$10:$AH$2201,T$1-$J$1+2)</f>
        <v>4.9969999999999999</v>
      </c>
      <c r="U62" s="11">
        <f>VLOOKUP($H62,output!$A$10:$AH$2201,U$1-$J$1+2)</f>
        <v>5.4219999999999997</v>
      </c>
      <c r="V62" s="11">
        <f>VLOOKUP($H62,output!$A$10:$AH$2201,V$1-$J$1+2)</f>
        <v>5.7770000000000001</v>
      </c>
      <c r="W62" s="11">
        <f>VLOOKUP($H62,output!$A$10:$AH$2201,W$1-$J$1+2)</f>
        <v>6.07</v>
      </c>
      <c r="X62" s="11">
        <f>VLOOKUP($H62,output!$A$10:$AH$2201,X$1-$J$1+2)</f>
        <v>6.2629999999999999</v>
      </c>
      <c r="Y62" s="11">
        <f>VLOOKUP($H62,output!$A$10:$AH$2201,Y$1-$J$1+2)</f>
        <v>6.4059999999999997</v>
      </c>
      <c r="Z62" s="11">
        <f>VLOOKUP($H62,output!$A$10:$AH$2201,Z$1-$J$1+2)</f>
        <v>6.4980000000000002</v>
      </c>
      <c r="AA62" s="11">
        <f>VLOOKUP($H62,output!$A$10:$AH$2201,AA$1-$J$1+2)</f>
        <v>6.4989999999999997</v>
      </c>
      <c r="AB62" s="11">
        <f>VLOOKUP($H62,output!$A$10:$AH$2201,AB$1-$J$1+2)</f>
        <v>6.53</v>
      </c>
      <c r="AC62" s="11">
        <f>VLOOKUP($H62,output!$A$10:$AH$2201,AC$1-$J$1+2)</f>
        <v>6.56</v>
      </c>
      <c r="AD62" s="11">
        <f>VLOOKUP($H62,output!$A$10:$AH$2201,AD$1-$J$1+2)</f>
        <v>6.59</v>
      </c>
      <c r="AE62" s="11">
        <f>VLOOKUP($H62,output!$A$10:$AH$2201,AE$1-$J$1+2)</f>
        <v>6.6189999999999998</v>
      </c>
      <c r="AF62" s="11">
        <f>VLOOKUP($H62,output!$A$10:$AH$2201,AF$1-$J$1+2)</f>
        <v>6.6479999999999997</v>
      </c>
      <c r="AG62" s="11">
        <f>VLOOKUP($H62,output!$A$10:$AH$2201,AG$1-$J$1+2)</f>
        <v>6.6760000000000002</v>
      </c>
      <c r="AH62" s="11">
        <f>VLOOKUP($H62,output!$A$10:$AH$2201,AH$1-$J$1+2)</f>
        <v>6.7039999999999997</v>
      </c>
      <c r="AI62" s="11">
        <f>VLOOKUP($H62,output!$A$10:$AH$2201,AI$1-$J$1+2)</f>
        <v>6.7320000000000002</v>
      </c>
      <c r="AJ62" s="11">
        <f>VLOOKUP($H62,output!$A$10:$AH$2201,AJ$1-$J$1+2)</f>
        <v>6.7590000000000003</v>
      </c>
      <c r="AK62" s="11">
        <f>VLOOKUP($H62,output!$A$10:$AH$2201,AK$1-$J$1+2)</f>
        <v>6.7839999999999998</v>
      </c>
      <c r="AL62" s="11">
        <f>VLOOKUP($H62,output!$A$10:$AH$2201,AL$1-$J$1+2)</f>
        <v>0</v>
      </c>
      <c r="AM62" s="11">
        <f>VLOOKUP($H62,output!$A$10:$AH$2201,AM$1-$J$1+2)</f>
        <v>0</v>
      </c>
      <c r="AN62" s="11">
        <f>VLOOKUP($H62,output!$A$10:$AH$2201,AN$1-$J$1+2)</f>
        <v>0</v>
      </c>
      <c r="AO62" s="11">
        <f>VLOOKUP($H62,output!$A$10:$AH$2201,AO$1-$J$1+2)</f>
        <v>0</v>
      </c>
      <c r="AP62" s="11">
        <f>VLOOKUP($H62,output!$A$10:$AH$2201,AP$1-$J$1+2)</f>
        <v>0</v>
      </c>
      <c r="AQ62" t="s">
        <v>117</v>
      </c>
    </row>
    <row r="63" spans="8:55" x14ac:dyDescent="0.25">
      <c r="J63" s="11"/>
      <c r="K63" s="11">
        <f>K62-J62</f>
        <v>0.14399999999999991</v>
      </c>
      <c r="L63" s="11">
        <f>L62-K62</f>
        <v>5.4000000000000048E-2</v>
      </c>
      <c r="M63" s="11">
        <f t="shared" ref="M63:AO63" si="43">M62-L62</f>
        <v>0.24900000000000011</v>
      </c>
      <c r="N63" s="11">
        <f t="shared" si="43"/>
        <v>0.17900000000000005</v>
      </c>
      <c r="O63" s="11">
        <f>O62-N62</f>
        <v>0.32799999999999985</v>
      </c>
      <c r="P63" s="11">
        <f t="shared" si="43"/>
        <v>0.49900000000000011</v>
      </c>
      <c r="Q63" s="11">
        <f t="shared" si="43"/>
        <v>0.64799999999999969</v>
      </c>
      <c r="R63" s="11">
        <f t="shared" si="43"/>
        <v>0.39700000000000024</v>
      </c>
      <c r="S63" s="11">
        <f t="shared" si="43"/>
        <v>0.57199999999999962</v>
      </c>
      <c r="T63" s="11">
        <f t="shared" si="43"/>
        <v>0.50600000000000023</v>
      </c>
      <c r="U63" s="11">
        <f t="shared" si="43"/>
        <v>0.42499999999999982</v>
      </c>
      <c r="V63" s="11">
        <f t="shared" si="43"/>
        <v>0.35500000000000043</v>
      </c>
      <c r="W63" s="11">
        <f t="shared" si="43"/>
        <v>0.29300000000000015</v>
      </c>
      <c r="X63" s="11">
        <f t="shared" si="43"/>
        <v>0.19299999999999962</v>
      </c>
      <c r="Y63" s="11">
        <f t="shared" si="43"/>
        <v>0.14299999999999979</v>
      </c>
      <c r="Z63" s="11">
        <f t="shared" si="43"/>
        <v>9.2000000000000526E-2</v>
      </c>
      <c r="AA63" s="11">
        <f t="shared" si="43"/>
        <v>9.9999999999944578E-4</v>
      </c>
      <c r="AB63" s="11">
        <f t="shared" si="43"/>
        <v>3.1000000000000583E-2</v>
      </c>
      <c r="AC63" s="11">
        <f t="shared" si="43"/>
        <v>2.9999999999999361E-2</v>
      </c>
      <c r="AD63" s="11">
        <f t="shared" si="43"/>
        <v>3.0000000000000249E-2</v>
      </c>
      <c r="AE63" s="11">
        <f t="shared" si="43"/>
        <v>2.8999999999999915E-2</v>
      </c>
      <c r="AF63" s="11">
        <f t="shared" si="43"/>
        <v>2.8999999999999915E-2</v>
      </c>
      <c r="AG63" s="11">
        <f t="shared" si="43"/>
        <v>2.8000000000000469E-2</v>
      </c>
      <c r="AH63" s="11">
        <f t="shared" si="43"/>
        <v>2.7999999999999581E-2</v>
      </c>
      <c r="AI63" s="11">
        <f t="shared" si="43"/>
        <v>2.8000000000000469E-2</v>
      </c>
      <c r="AJ63" s="11">
        <f t="shared" si="43"/>
        <v>2.7000000000000135E-2</v>
      </c>
      <c r="AK63" s="11">
        <f t="shared" si="43"/>
        <v>2.4999999999999467E-2</v>
      </c>
      <c r="AL63" s="11">
        <f t="shared" si="43"/>
        <v>-6.7839999999999998</v>
      </c>
      <c r="AM63" s="11">
        <f t="shared" si="43"/>
        <v>0</v>
      </c>
      <c r="AN63" s="11">
        <f t="shared" si="43"/>
        <v>0</v>
      </c>
      <c r="AO63" s="11">
        <f t="shared" si="43"/>
        <v>0</v>
      </c>
      <c r="AP63" s="11">
        <f t="shared" ref="AP63" si="44">AP62-AO62</f>
        <v>0</v>
      </c>
      <c r="AQ63" s="1"/>
    </row>
    <row r="64" spans="8:55" x14ac:dyDescent="0.25">
      <c r="I64" t="s">
        <v>194</v>
      </c>
      <c r="J64" s="11"/>
      <c r="K64" s="20">
        <f>(K62-J62)*1000</f>
        <v>143.99999999999991</v>
      </c>
      <c r="L64" s="20">
        <f t="shared" ref="L64:V64" si="45">(L62-K62)*1000</f>
        <v>54.00000000000005</v>
      </c>
      <c r="M64" s="20">
        <f t="shared" si="45"/>
        <v>249.00000000000011</v>
      </c>
      <c r="N64" s="20">
        <f t="shared" si="45"/>
        <v>179.00000000000006</v>
      </c>
      <c r="O64" s="20">
        <f>(O62-N62)*1000</f>
        <v>327.99999999999983</v>
      </c>
      <c r="P64" s="20">
        <f t="shared" si="45"/>
        <v>499.00000000000011</v>
      </c>
      <c r="Q64" s="20">
        <f t="shared" si="45"/>
        <v>647.99999999999966</v>
      </c>
      <c r="R64" s="20">
        <f t="shared" si="45"/>
        <v>397.00000000000023</v>
      </c>
      <c r="S64" s="20">
        <f t="shared" si="45"/>
        <v>571.99999999999966</v>
      </c>
      <c r="T64" s="20">
        <f t="shared" si="45"/>
        <v>506.00000000000023</v>
      </c>
      <c r="U64" s="20">
        <f t="shared" si="45"/>
        <v>424.99999999999983</v>
      </c>
      <c r="V64" s="20">
        <f t="shared" si="45"/>
        <v>355.00000000000045</v>
      </c>
      <c r="W64" s="20">
        <f t="shared" ref="W64" si="46">(W62-V62)*1000</f>
        <v>293.00000000000017</v>
      </c>
      <c r="X64" s="20">
        <f t="shared" ref="X64" si="47">(X62-W62)*1000</f>
        <v>192.9999999999996</v>
      </c>
      <c r="Y64" s="20">
        <f t="shared" ref="Y64" si="48">(Y62-X62)*1000</f>
        <v>142.9999999999998</v>
      </c>
      <c r="Z64" s="20">
        <f t="shared" ref="Z64" si="49">(Z62-Y62)*1000</f>
        <v>92.000000000000526</v>
      </c>
      <c r="AA64" s="20">
        <f t="shared" ref="AA64" si="50">(AA62-Z62)*1000</f>
        <v>0.99999999999944578</v>
      </c>
      <c r="AB64" s="20">
        <f t="shared" ref="AB64" si="51">(AB62-AA62)*1000</f>
        <v>31.000000000000583</v>
      </c>
      <c r="AC64" s="20">
        <f t="shared" ref="AC64" si="52">(AC62-AB62)*1000</f>
        <v>29.999999999999361</v>
      </c>
      <c r="AD64" s="20">
        <f t="shared" ref="AD64" si="53">(AD62-AC62)*1000</f>
        <v>30.000000000000249</v>
      </c>
      <c r="AE64" s="20">
        <f t="shared" ref="AE64" si="54">(AE62-AD62)*1000</f>
        <v>28.999999999999915</v>
      </c>
      <c r="AF64" s="20">
        <f t="shared" ref="AF64" si="55">(AF62-AE62)*1000</f>
        <v>28.999999999999915</v>
      </c>
      <c r="AG64" s="20">
        <f t="shared" ref="AG64" si="56">(AG62-AF62)*1000</f>
        <v>28.000000000000469</v>
      </c>
      <c r="AH64" s="20">
        <f t="shared" ref="AH64" si="57">(AH62-AG62)*1000</f>
        <v>27.999999999999581</v>
      </c>
      <c r="AI64" s="20">
        <f t="shared" ref="AI64" si="58">(AI62-AH62)*1000</f>
        <v>28.000000000000469</v>
      </c>
      <c r="AJ64" s="20">
        <f t="shared" ref="AJ64" si="59">(AJ62-AI62)*1000</f>
        <v>27.000000000000135</v>
      </c>
      <c r="AK64" s="20">
        <f t="shared" ref="AK64" si="60">(AK62-AJ62)*1000</f>
        <v>24.999999999999467</v>
      </c>
      <c r="AL64" s="20">
        <f t="shared" ref="AL64" si="61">(AL62-AK62)*1000</f>
        <v>-6784</v>
      </c>
      <c r="AM64" s="20">
        <f t="shared" ref="AM64" si="62">(AM62-AL62)*1000</f>
        <v>0</v>
      </c>
      <c r="AN64" s="20">
        <f t="shared" ref="AN64" si="63">(AN62-AM62)*1000</f>
        <v>0</v>
      </c>
      <c r="AO64" s="20">
        <f t="shared" ref="AO64" si="64">(AO62-AN62)*1000</f>
        <v>0</v>
      </c>
      <c r="AP64" s="20">
        <f t="shared" ref="AP64" si="65">(AP62-AO62)*1000</f>
        <v>0</v>
      </c>
      <c r="AQ64" s="20"/>
      <c r="AR64" s="20"/>
      <c r="AS64" s="20"/>
    </row>
    <row r="65" spans="8:42" x14ac:dyDescent="0.25"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</row>
    <row r="66" spans="8:42" x14ac:dyDescent="0.25"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t="s">
        <v>211</v>
      </c>
      <c r="AB66" s="11"/>
      <c r="AC66" s="11"/>
      <c r="AD66" s="11">
        <f>VLOOKUP($H59,output!$A$10:$AH$2201,AD$1-$J$1+2)</f>
        <v>0</v>
      </c>
      <c r="AE66" s="11">
        <f>VLOOKUP($H59,output!$A$10:$AH$2201,AE$1-$J$1+2)</f>
        <v>0</v>
      </c>
      <c r="AF66" s="11">
        <f>VLOOKUP($H59,output!$A$10:$AH$2201,AF$1-$J$1+2)</f>
        <v>0</v>
      </c>
      <c r="AG66" s="11">
        <f>VLOOKUP($H59,output!$A$10:$AH$2201,AG$1-$J$1+2)</f>
        <v>0</v>
      </c>
      <c r="AH66" s="11">
        <f>VLOOKUP($H59,output!$A$10:$AH$2201,AH$1-$J$1+2)</f>
        <v>0</v>
      </c>
      <c r="AI66" s="11">
        <f>VLOOKUP($H59,output!$A$10:$AH$2201,AI$1-$J$1+2)</f>
        <v>0</v>
      </c>
      <c r="AJ66" s="11">
        <f>VLOOKUP($H59,output!$A$10:$AH$2201,AJ$1-$J$1+2)</f>
        <v>0</v>
      </c>
      <c r="AK66" s="11">
        <f>VLOOKUP($H59,output!$A$10:$AH$2201,AK$1-$J$1+2)</f>
        <v>0</v>
      </c>
      <c r="AL66" s="11">
        <f>VLOOKUP($H59,output!$A$10:$AH$2201,AL$1-$J$1+2)</f>
        <v>0</v>
      </c>
      <c r="AM66" s="11">
        <f>VLOOKUP($H59,output!$A$10:$AH$2201,AM$1-$J$1+2)</f>
        <v>0</v>
      </c>
      <c r="AN66" s="11">
        <f>VLOOKUP($H59,output!$A$10:$AH$2201,AN$1-$J$1+2)</f>
        <v>0</v>
      </c>
      <c r="AO66" s="11">
        <f>VLOOKUP($H59,output!$A$10:$AH$2201,AO$1-$J$1+2)</f>
        <v>0</v>
      </c>
      <c r="AP66" s="11">
        <f>VLOOKUP($H59,output!$A$10:$AH$2201,AP$1-$J$1+2)</f>
        <v>0</v>
      </c>
    </row>
    <row r="67" spans="8:42" x14ac:dyDescent="0.25">
      <c r="H67" s="2" t="s">
        <v>189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</row>
    <row r="68" spans="8:42" x14ac:dyDescent="0.25">
      <c r="H68" t="s">
        <v>24</v>
      </c>
      <c r="I68" t="s">
        <v>123</v>
      </c>
      <c r="J68" s="11">
        <f>VLOOKUP($H68,output!$A$10:$AH$2201,J$1-$J$1+2)</f>
        <v>0</v>
      </c>
      <c r="K68" s="11">
        <f>VLOOKUP($H68,output!$A$10:$AH$2201,K$1-$J$1+2)</f>
        <v>5.8999999999999997E-2</v>
      </c>
      <c r="L68" s="11">
        <f>VLOOKUP($H68,output!$A$10:$AH$2201,L$1-$J$1+2)</f>
        <v>1.4E-2</v>
      </c>
      <c r="M68" s="11">
        <f>VLOOKUP($H68,output!$A$10:$AH$2201,M$1-$J$1+2)</f>
        <v>6.0000000000000001E-3</v>
      </c>
      <c r="N68" s="11">
        <f>VLOOKUP($H68,output!$A$10:$AH$2201,N$1-$J$1+2)</f>
        <v>3.0000000000000001E-3</v>
      </c>
      <c r="O68" s="11">
        <f>VLOOKUP($H68,output!$A$10:$AH$2201,O$1-$J$1+2)</f>
        <v>2E-3</v>
      </c>
      <c r="P68" s="11">
        <f>VLOOKUP($H68,output!$A$10:$AH$2201,P$1-$J$1+2)</f>
        <v>2E-3</v>
      </c>
      <c r="Q68" s="11">
        <f>VLOOKUP($H68,output!$A$10:$AH$2201,Q$1-$J$1+2)</f>
        <v>1E-3</v>
      </c>
      <c r="R68" s="11">
        <f>VLOOKUP($H68,output!$A$10:$AH$2201,R$1-$J$1+2)</f>
        <v>2E-3</v>
      </c>
      <c r="S68" s="11">
        <f>VLOOKUP($H68,output!$A$10:$AH$2201,S$1-$J$1+2)</f>
        <v>2E-3</v>
      </c>
      <c r="T68" s="11">
        <f>VLOOKUP($H68,output!$A$10:$AH$2201,T$1-$J$1+2)</f>
        <v>2E-3</v>
      </c>
      <c r="U68" s="11">
        <f>VLOOKUP($H68,output!$A$10:$AH$2201,U$1-$J$1+2)</f>
        <v>1E-3</v>
      </c>
      <c r="V68" s="11">
        <f>VLOOKUP($H68,output!$A$10:$AH$2201,V$1-$J$1+2)</f>
        <v>1E-3</v>
      </c>
      <c r="W68" s="11">
        <f>VLOOKUP($H68,output!$A$10:$AH$2201,W$1-$J$1+2)</f>
        <v>1E-3</v>
      </c>
      <c r="X68" s="11">
        <f>VLOOKUP($H68,output!$A$10:$AH$2201,X$1-$J$1+2)</f>
        <v>1E-3</v>
      </c>
      <c r="Y68" s="11">
        <f>VLOOKUP($H68,output!$A$10:$AH$2201,Y$1-$J$1+2)</f>
        <v>1E-3</v>
      </c>
      <c r="Z68" s="11">
        <f>VLOOKUP($H68,output!$A$10:$AH$2201,Z$1-$J$1+2)</f>
        <v>1E-3</v>
      </c>
      <c r="AA68" s="11">
        <f>VLOOKUP($H68,output!$A$10:$AH$2201,AA$1-$J$1+2)</f>
        <v>1E-3</v>
      </c>
      <c r="AB68" s="11">
        <f>VLOOKUP($H68,output!$A$10:$AH$2201,AB$1-$J$1+2)</f>
        <v>0</v>
      </c>
      <c r="AC68" s="11">
        <f>VLOOKUP($H68,output!$A$10:$AH$2201,AC$1-$J$1+2)</f>
        <v>0</v>
      </c>
      <c r="AD68" s="11">
        <f>VLOOKUP($H68,output!$A$10:$AH$2201,AD$1-$J$1+2)</f>
        <v>0</v>
      </c>
      <c r="AE68" s="11">
        <f>VLOOKUP($H68,output!$A$10:$AH$2201,AE$1-$J$1+2)</f>
        <v>0</v>
      </c>
      <c r="AF68" s="11">
        <f>VLOOKUP($H68,output!$A$10:$AH$2201,AF$1-$J$1+2)</f>
        <v>0</v>
      </c>
      <c r="AG68" s="11">
        <f>VLOOKUP($H68,output!$A$10:$AH$2201,AG$1-$J$1+2)</f>
        <v>0</v>
      </c>
      <c r="AH68" s="11">
        <f>VLOOKUP($H68,output!$A$10:$AH$2201,AH$1-$J$1+2)</f>
        <v>0</v>
      </c>
      <c r="AI68" s="11">
        <f>VLOOKUP($H68,output!$A$10:$AH$2201,AI$1-$J$1+2)</f>
        <v>0</v>
      </c>
      <c r="AJ68" s="11">
        <f>VLOOKUP($H68,output!$A$10:$AH$2201,AJ$1-$J$1+2)</f>
        <v>0</v>
      </c>
      <c r="AK68" s="11">
        <f>VLOOKUP($H68,output!$A$10:$AH$2201,AK$1-$J$1+2)</f>
        <v>0</v>
      </c>
      <c r="AL68" s="11">
        <f>VLOOKUP($H68,output!$A$10:$AH$2201,AL$1-$J$1+2)</f>
        <v>0</v>
      </c>
      <c r="AM68" s="11">
        <f>VLOOKUP($H68,output!$A$10:$AH$2201,AM$1-$J$1+2)</f>
        <v>0</v>
      </c>
      <c r="AN68" s="11">
        <f>VLOOKUP($H68,output!$A$10:$AH$2201,AN$1-$J$1+2)</f>
        <v>0</v>
      </c>
      <c r="AO68" s="11">
        <f>VLOOKUP($H68,output!$A$10:$AH$2201,AO$1-$J$1+2)</f>
        <v>0</v>
      </c>
      <c r="AP68" s="11">
        <f>VLOOKUP($H68,output!$A$10:$AH$2201,AP$1-$J$1+2)</f>
        <v>0</v>
      </c>
    </row>
    <row r="69" spans="8:42" x14ac:dyDescent="0.25">
      <c r="H69" t="s">
        <v>25</v>
      </c>
      <c r="I69" t="s">
        <v>124</v>
      </c>
      <c r="J69" s="11">
        <f>VLOOKUP($H69,output!$A$10:$AH$2201,J$1-$J$1+2)</f>
        <v>0</v>
      </c>
      <c r="K69" s="11">
        <f>VLOOKUP($H69,output!$A$10:$AH$2201,K$1-$J$1+2)</f>
        <v>0.77300000000000002</v>
      </c>
      <c r="L69" s="11">
        <f>VLOOKUP($H69,output!$A$10:$AH$2201,L$1-$J$1+2)</f>
        <v>0.31</v>
      </c>
      <c r="M69" s="11">
        <f>VLOOKUP($H69,output!$A$10:$AH$2201,M$1-$J$1+2)</f>
        <v>0.24099999999999999</v>
      </c>
      <c r="N69" s="11">
        <f>VLOOKUP($H69,output!$A$10:$AH$2201,N$1-$J$1+2)</f>
        <v>0.27900000000000003</v>
      </c>
      <c r="O69" s="11">
        <f>VLOOKUP($H69,output!$A$10:$AH$2201,O$1-$J$1+2)</f>
        <v>0.23</v>
      </c>
      <c r="P69" s="11">
        <f>VLOOKUP($H69,output!$A$10:$AH$2201,P$1-$J$1+2)</f>
        <v>0.182</v>
      </c>
      <c r="Q69" s="11">
        <f>VLOOKUP($H69,output!$A$10:$AH$2201,Q$1-$J$1+2)</f>
        <v>0.16</v>
      </c>
      <c r="R69" s="11">
        <f>VLOOKUP($H69,output!$A$10:$AH$2201,R$1-$J$1+2)</f>
        <v>0.14299999999999999</v>
      </c>
      <c r="S69" s="11">
        <f>VLOOKUP($H69,output!$A$10:$AH$2201,S$1-$J$1+2)</f>
        <v>0.14199999999999999</v>
      </c>
      <c r="T69" s="11">
        <f>VLOOKUP($H69,output!$A$10:$AH$2201,T$1-$J$1+2)</f>
        <v>0.125</v>
      </c>
      <c r="U69" s="11">
        <f>VLOOKUP($H69,output!$A$10:$AH$2201,U$1-$J$1+2)</f>
        <v>0.11</v>
      </c>
      <c r="V69" s="11">
        <f>VLOOKUP($H69,output!$A$10:$AH$2201,V$1-$J$1+2)</f>
        <v>9.7000000000000003E-2</v>
      </c>
      <c r="W69" s="11">
        <f>VLOOKUP($H69,output!$A$10:$AH$2201,W$1-$J$1+2)</f>
        <v>6.4000000000000001E-2</v>
      </c>
      <c r="X69" s="11">
        <f>VLOOKUP($H69,output!$A$10:$AH$2201,X$1-$J$1+2)</f>
        <v>5.7000000000000002E-2</v>
      </c>
      <c r="Y69" s="11">
        <f>VLOOKUP($H69,output!$A$10:$AH$2201,Y$1-$J$1+2)</f>
        <v>0.05</v>
      </c>
      <c r="Z69" s="11">
        <f>VLOOKUP($H69,output!$A$10:$AH$2201,Z$1-$J$1+2)</f>
        <v>4.3999999999999997E-2</v>
      </c>
      <c r="AA69" s="11">
        <f>VLOOKUP($H69,output!$A$10:$AH$2201,AA$1-$J$1+2)</f>
        <v>3.7999999999999999E-2</v>
      </c>
      <c r="AB69" s="11">
        <f>VLOOKUP($H69,output!$A$10:$AH$2201,AB$1-$J$1+2)</f>
        <v>3.3000000000000002E-2</v>
      </c>
      <c r="AC69" s="11">
        <f>VLOOKUP($H69,output!$A$10:$AH$2201,AC$1-$J$1+2)</f>
        <v>2.8000000000000001E-2</v>
      </c>
      <c r="AD69" s="11">
        <f>VLOOKUP($H69,output!$A$10:$AH$2201,AD$1-$J$1+2)</f>
        <v>2.4E-2</v>
      </c>
      <c r="AE69" s="11">
        <f>VLOOKUP($H69,output!$A$10:$AH$2201,AE$1-$J$1+2)</f>
        <v>1.9E-2</v>
      </c>
      <c r="AF69" s="11">
        <f>VLOOKUP($H69,output!$A$10:$AH$2201,AF$1-$J$1+2)</f>
        <v>1.6E-2</v>
      </c>
      <c r="AG69" s="11">
        <f>VLOOKUP($H69,output!$A$10:$AH$2201,AG$1-$J$1+2)</f>
        <v>1.2999999999999999E-2</v>
      </c>
      <c r="AH69" s="11">
        <f>VLOOKUP($H69,output!$A$10:$AH$2201,AH$1-$J$1+2)</f>
        <v>1.0999999999999999E-2</v>
      </c>
      <c r="AI69" s="11">
        <f>VLOOKUP($H69,output!$A$10:$AH$2201,AI$1-$J$1+2)</f>
        <v>8.0000000000000002E-3</v>
      </c>
      <c r="AJ69" s="11">
        <f>VLOOKUP($H69,output!$A$10:$AH$2201,AJ$1-$J$1+2)</f>
        <v>6.0000000000000001E-3</v>
      </c>
      <c r="AK69" s="11">
        <f>VLOOKUP($H69,output!$A$10:$AH$2201,AK$1-$J$1+2)</f>
        <v>4.0000000000000001E-3</v>
      </c>
      <c r="AL69" s="11">
        <f>VLOOKUP($H69,output!$A$10:$AH$2201,AL$1-$J$1+2)</f>
        <v>0</v>
      </c>
      <c r="AM69" s="11">
        <f>VLOOKUP($H69,output!$A$10:$AH$2201,AM$1-$J$1+2)</f>
        <v>0</v>
      </c>
      <c r="AN69" s="11">
        <f>VLOOKUP($H69,output!$A$10:$AH$2201,AN$1-$J$1+2)</f>
        <v>0</v>
      </c>
      <c r="AO69" s="11">
        <f>VLOOKUP($H69,output!$A$10:$AH$2201,AO$1-$J$1+2)</f>
        <v>0</v>
      </c>
      <c r="AP69" s="11">
        <f>VLOOKUP($H69,output!$A$10:$AH$2201,AP$1-$J$1+2)</f>
        <v>0</v>
      </c>
    </row>
    <row r="70" spans="8:42" x14ac:dyDescent="0.25">
      <c r="H70" t="s">
        <v>26</v>
      </c>
      <c r="I70" t="s">
        <v>125</v>
      </c>
      <c r="J70" s="11">
        <f>VLOOKUP($H70,output!$A$10:$AH$2201,J$1-$J$1+2)</f>
        <v>0</v>
      </c>
      <c r="K70" s="11">
        <f>VLOOKUP($H70,output!$A$10:$AH$2201,K$1-$J$1+2)</f>
        <v>61.33</v>
      </c>
      <c r="L70" s="11">
        <f>VLOOKUP($H70,output!$A$10:$AH$2201,L$1-$J$1+2)</f>
        <v>40.121000000000002</v>
      </c>
      <c r="M70" s="11">
        <f>VLOOKUP($H70,output!$A$10:$AH$2201,M$1-$J$1+2)</f>
        <v>29.405000000000001</v>
      </c>
      <c r="N70" s="11">
        <f>VLOOKUP($H70,output!$A$10:$AH$2201,N$1-$J$1+2)</f>
        <v>29.236999999999998</v>
      </c>
      <c r="O70" s="11">
        <f>VLOOKUP($H70,output!$A$10:$AH$2201,O$1-$J$1+2)</f>
        <v>22.59</v>
      </c>
      <c r="P70" s="11">
        <f>VLOOKUP($H70,output!$A$10:$AH$2201,P$1-$J$1+2)</f>
        <v>17.082999999999998</v>
      </c>
      <c r="Q70" s="11">
        <f>VLOOKUP($H70,output!$A$10:$AH$2201,Q$1-$J$1+2)</f>
        <v>13.109</v>
      </c>
      <c r="R70" s="11">
        <f>VLOOKUP($H70,output!$A$10:$AH$2201,R$1-$J$1+2)</f>
        <v>12.311</v>
      </c>
      <c r="S70" s="11">
        <f>VLOOKUP($H70,output!$A$10:$AH$2201,S$1-$J$1+2)</f>
        <v>9.9390000000000001</v>
      </c>
      <c r="T70" s="11">
        <f>VLOOKUP($H70,output!$A$10:$AH$2201,T$1-$J$1+2)</f>
        <v>8.3919999999999995</v>
      </c>
      <c r="U70" s="11">
        <f>VLOOKUP($H70,output!$A$10:$AH$2201,U$1-$J$1+2)</f>
        <v>7.2089999999999996</v>
      </c>
      <c r="V70" s="11">
        <f>VLOOKUP($H70,output!$A$10:$AH$2201,V$1-$J$1+2)</f>
        <v>6.1890000000000001</v>
      </c>
      <c r="W70" s="11">
        <f>VLOOKUP($H70,output!$A$10:$AH$2201,W$1-$J$1+2)</f>
        <v>5.15</v>
      </c>
      <c r="X70" s="11">
        <f>VLOOKUP($H70,output!$A$10:$AH$2201,X$1-$J$1+2)</f>
        <v>4.6310000000000002</v>
      </c>
      <c r="Y70" s="11">
        <f>VLOOKUP($H70,output!$A$10:$AH$2201,Y$1-$J$1+2)</f>
        <v>4.04</v>
      </c>
      <c r="Z70" s="11">
        <f>VLOOKUP($H70,output!$A$10:$AH$2201,Z$1-$J$1+2)</f>
        <v>3.5059999999999998</v>
      </c>
      <c r="AA70" s="11">
        <f>VLOOKUP($H70,output!$A$10:$AH$2201,AA$1-$J$1+2)</f>
        <v>3.0739999999999998</v>
      </c>
      <c r="AB70" s="11">
        <f>VLOOKUP($H70,output!$A$10:$AH$2201,AB$1-$J$1+2)</f>
        <v>2.468</v>
      </c>
      <c r="AC70" s="11">
        <f>VLOOKUP($H70,output!$A$10:$AH$2201,AC$1-$J$1+2)</f>
        <v>2.0449999999999999</v>
      </c>
      <c r="AD70" s="11">
        <f>VLOOKUP($H70,output!$A$10:$AH$2201,AD$1-$J$1+2)</f>
        <v>1.6719999999999999</v>
      </c>
      <c r="AE70" s="11">
        <f>VLOOKUP($H70,output!$A$10:$AH$2201,AE$1-$J$1+2)</f>
        <v>0.78300000000000003</v>
      </c>
      <c r="AF70" s="11">
        <f>VLOOKUP($H70,output!$A$10:$AH$2201,AF$1-$J$1+2)</f>
        <v>0.72599999999999998</v>
      </c>
      <c r="AG70" s="11">
        <f>VLOOKUP($H70,output!$A$10:$AH$2201,AG$1-$J$1+2)</f>
        <v>0.56200000000000006</v>
      </c>
      <c r="AH70" s="11">
        <f>VLOOKUP($H70,output!$A$10:$AH$2201,AH$1-$J$1+2)</f>
        <v>0.45800000000000002</v>
      </c>
      <c r="AI70" s="11">
        <f>VLOOKUP($H70,output!$A$10:$AH$2201,AI$1-$J$1+2)</f>
        <v>0.34200000000000003</v>
      </c>
      <c r="AJ70" s="11">
        <f>VLOOKUP($H70,output!$A$10:$AH$2201,AJ$1-$J$1+2)</f>
        <v>0.245</v>
      </c>
      <c r="AK70" s="11">
        <f>VLOOKUP($H70,output!$A$10:$AH$2201,AK$1-$J$1+2)</f>
        <v>0.159</v>
      </c>
      <c r="AL70" s="11">
        <f>VLOOKUP($H70,output!$A$10:$AH$2201,AL$1-$J$1+2)</f>
        <v>0</v>
      </c>
      <c r="AM70" s="11">
        <f>VLOOKUP($H70,output!$A$10:$AH$2201,AM$1-$J$1+2)</f>
        <v>0</v>
      </c>
      <c r="AN70" s="11">
        <f>VLOOKUP($H70,output!$A$10:$AH$2201,AN$1-$J$1+2)</f>
        <v>0</v>
      </c>
      <c r="AO70" s="11">
        <f>VLOOKUP($H70,output!$A$10:$AH$2201,AO$1-$J$1+2)</f>
        <v>0</v>
      </c>
      <c r="AP70" s="11">
        <f>VLOOKUP($H70,output!$A$10:$AH$2201,AP$1-$J$1+2)</f>
        <v>0</v>
      </c>
    </row>
    <row r="71" spans="8:42" x14ac:dyDescent="0.25">
      <c r="H71" t="s">
        <v>27</v>
      </c>
      <c r="I71" t="s">
        <v>126</v>
      </c>
      <c r="J71" s="11">
        <f>VLOOKUP($H71,output!$A$10:$AH$2201,J$1-$J$1+2)</f>
        <v>0</v>
      </c>
      <c r="K71" s="11">
        <f>VLOOKUP($H71,output!$A$10:$AH$2201,K$1-$J$1+2)</f>
        <v>251.61500000000001</v>
      </c>
      <c r="L71" s="11">
        <f>VLOOKUP($H71,output!$A$10:$AH$2201,L$1-$J$1+2)</f>
        <v>184.15899999999999</v>
      </c>
      <c r="M71" s="11">
        <f>VLOOKUP($H71,output!$A$10:$AH$2201,M$1-$J$1+2)</f>
        <v>210.072</v>
      </c>
      <c r="N71" s="11">
        <f>VLOOKUP($H71,output!$A$10:$AH$2201,N$1-$J$1+2)</f>
        <v>221.142</v>
      </c>
      <c r="O71" s="11">
        <f>VLOOKUP($H71,output!$A$10:$AH$2201,O$1-$J$1+2)</f>
        <v>192.73400000000001</v>
      </c>
      <c r="P71" s="11">
        <f>VLOOKUP($H71,output!$A$10:$AH$2201,P$1-$J$1+2)</f>
        <v>166.14699999999999</v>
      </c>
      <c r="Q71" s="11">
        <f>VLOOKUP($H71,output!$A$10:$AH$2201,Q$1-$J$1+2)</f>
        <v>168.64699999999999</v>
      </c>
      <c r="R71" s="11">
        <f>VLOOKUP($H71,output!$A$10:$AH$2201,R$1-$J$1+2)</f>
        <v>168.32599999999999</v>
      </c>
      <c r="S71" s="11">
        <f>VLOOKUP($H71,output!$A$10:$AH$2201,S$1-$J$1+2)</f>
        <v>156.03399999999999</v>
      </c>
      <c r="T71" s="11">
        <f>VLOOKUP($H71,output!$A$10:$AH$2201,T$1-$J$1+2)</f>
        <v>144.17099999999999</v>
      </c>
      <c r="U71" s="11">
        <f>VLOOKUP($H71,output!$A$10:$AH$2201,U$1-$J$1+2)</f>
        <v>132.35599999999999</v>
      </c>
      <c r="V71" s="11">
        <f>VLOOKUP($H71,output!$A$10:$AH$2201,V$1-$J$1+2)</f>
        <v>122.339</v>
      </c>
      <c r="W71" s="11">
        <f>VLOOKUP($H71,output!$A$10:$AH$2201,W$1-$J$1+2)</f>
        <v>83.052999999999997</v>
      </c>
      <c r="X71" s="11">
        <f>VLOOKUP($H71,output!$A$10:$AH$2201,X$1-$J$1+2)</f>
        <v>78.012</v>
      </c>
      <c r="Y71" s="11">
        <f>VLOOKUP($H71,output!$A$10:$AH$2201,Y$1-$J$1+2)</f>
        <v>72.119</v>
      </c>
      <c r="Z71" s="11">
        <f>VLOOKUP($H71,output!$A$10:$AH$2201,Z$1-$J$1+2)</f>
        <v>66.459999999999994</v>
      </c>
      <c r="AA71" s="11">
        <f>VLOOKUP($H71,output!$A$10:$AH$2201,AA$1-$J$1+2)</f>
        <v>75.507000000000005</v>
      </c>
      <c r="AB71" s="11">
        <f>VLOOKUP($H71,output!$A$10:$AH$2201,AB$1-$J$1+2)</f>
        <v>52.606999999999999</v>
      </c>
      <c r="AC71" s="11">
        <f>VLOOKUP($H71,output!$A$10:$AH$2201,AC$1-$J$1+2)</f>
        <v>47.72</v>
      </c>
      <c r="AD71" s="11">
        <f>VLOOKUP($H71,output!$A$10:$AH$2201,AD$1-$J$1+2)</f>
        <v>42.865000000000002</v>
      </c>
      <c r="AE71" s="11">
        <f>VLOOKUP($H71,output!$A$10:$AH$2201,AE$1-$J$1+2)</f>
        <v>15.28</v>
      </c>
      <c r="AF71" s="11">
        <f>VLOOKUP($H71,output!$A$10:$AH$2201,AF$1-$J$1+2)</f>
        <v>17.327999999999999</v>
      </c>
      <c r="AG71" s="11">
        <f>VLOOKUP($H71,output!$A$10:$AH$2201,AG$1-$J$1+2)</f>
        <v>13.885</v>
      </c>
      <c r="AH71" s="11">
        <f>VLOOKUP($H71,output!$A$10:$AH$2201,AH$1-$J$1+2)</f>
        <v>12.832000000000001</v>
      </c>
      <c r="AI71" s="11">
        <f>VLOOKUP($H71,output!$A$10:$AH$2201,AI$1-$J$1+2)</f>
        <v>10.260999999999999</v>
      </c>
      <c r="AJ71" s="11">
        <f>VLOOKUP($H71,output!$A$10:$AH$2201,AJ$1-$J$1+2)</f>
        <v>7.8470000000000004</v>
      </c>
      <c r="AK71" s="11">
        <f>VLOOKUP($H71,output!$A$10:$AH$2201,AK$1-$J$1+2)</f>
        <v>5.6710000000000003</v>
      </c>
      <c r="AL71" s="11">
        <f>VLOOKUP($H71,output!$A$10:$AH$2201,AL$1-$J$1+2)</f>
        <v>0</v>
      </c>
      <c r="AM71" s="11">
        <f>VLOOKUP($H71,output!$A$10:$AH$2201,AM$1-$J$1+2)</f>
        <v>0</v>
      </c>
      <c r="AN71" s="11">
        <f>VLOOKUP($H71,output!$A$10:$AH$2201,AN$1-$J$1+2)</f>
        <v>0</v>
      </c>
      <c r="AO71" s="11">
        <f>VLOOKUP($H71,output!$A$10:$AH$2201,AO$1-$J$1+2)</f>
        <v>0</v>
      </c>
      <c r="AP71" s="11">
        <f>VLOOKUP($H71,output!$A$10:$AH$2201,AP$1-$J$1+2)</f>
        <v>0</v>
      </c>
    </row>
    <row r="72" spans="8:42" x14ac:dyDescent="0.25">
      <c r="H72" t="s">
        <v>28</v>
      </c>
      <c r="I72" t="s">
        <v>127</v>
      </c>
      <c r="J72" s="11">
        <f>VLOOKUP($H72,output!$A$10:$AH$2201,J$1-$J$1+2)</f>
        <v>0</v>
      </c>
      <c r="K72" s="11">
        <f>VLOOKUP($H72,output!$A$10:$AH$2201,K$1-$J$1+2)</f>
        <v>354.06599999999997</v>
      </c>
      <c r="L72" s="11">
        <f>VLOOKUP($H72,output!$A$10:$AH$2201,L$1-$J$1+2)</f>
        <v>275.01600000000002</v>
      </c>
      <c r="M72" s="11">
        <f>VLOOKUP($H72,output!$A$10:$AH$2201,M$1-$J$1+2)</f>
        <v>332.51100000000002</v>
      </c>
      <c r="N72" s="11">
        <f>VLOOKUP($H72,output!$A$10:$AH$2201,N$1-$J$1+2)</f>
        <v>348.66500000000002</v>
      </c>
      <c r="O72" s="11">
        <f>VLOOKUP($H72,output!$A$10:$AH$2201,O$1-$J$1+2)</f>
        <v>341.08800000000002</v>
      </c>
      <c r="P72" s="11">
        <f>VLOOKUP($H72,output!$A$10:$AH$2201,P$1-$J$1+2)</f>
        <v>331.27100000000002</v>
      </c>
      <c r="Q72" s="11">
        <f>VLOOKUP($H72,output!$A$10:$AH$2201,Q$1-$J$1+2)</f>
        <v>362.798</v>
      </c>
      <c r="R72" s="11">
        <f>VLOOKUP($H72,output!$A$10:$AH$2201,R$1-$J$1+2)</f>
        <v>439.12200000000001</v>
      </c>
      <c r="S72" s="11">
        <f>VLOOKUP($H72,output!$A$10:$AH$2201,S$1-$J$1+2)</f>
        <v>422.20699999999999</v>
      </c>
      <c r="T72" s="11">
        <f>VLOOKUP($H72,output!$A$10:$AH$2201,T$1-$J$1+2)</f>
        <v>417.22699999999998</v>
      </c>
      <c r="U72" s="11">
        <f>VLOOKUP($H72,output!$A$10:$AH$2201,U$1-$J$1+2)</f>
        <v>412.24</v>
      </c>
      <c r="V72" s="11">
        <f>VLOOKUP($H72,output!$A$10:$AH$2201,V$1-$J$1+2)</f>
        <v>408.51</v>
      </c>
      <c r="W72" s="11">
        <f>VLOOKUP($H72,output!$A$10:$AH$2201,W$1-$J$1+2)</f>
        <v>308.73700000000002</v>
      </c>
      <c r="X72" s="11">
        <f>VLOOKUP($H72,output!$A$10:$AH$2201,X$1-$J$1+2)</f>
        <v>326.73099999999999</v>
      </c>
      <c r="Y72" s="11">
        <f>VLOOKUP($H72,output!$A$10:$AH$2201,Y$1-$J$1+2)</f>
        <v>325.14</v>
      </c>
      <c r="Z72" s="11">
        <f>VLOOKUP($H72,output!$A$10:$AH$2201,Z$1-$J$1+2)</f>
        <v>301.05599999999998</v>
      </c>
      <c r="AA72" s="11">
        <f>VLOOKUP($H72,output!$A$10:$AH$2201,AA$1-$J$1+2)</f>
        <v>372.75299999999999</v>
      </c>
      <c r="AB72" s="11">
        <f>VLOOKUP($H72,output!$A$10:$AH$2201,AB$1-$J$1+2)</f>
        <v>289.50299999999999</v>
      </c>
      <c r="AC72" s="11">
        <f>VLOOKUP($H72,output!$A$10:$AH$2201,AC$1-$J$1+2)</f>
        <v>282.084</v>
      </c>
      <c r="AD72" s="11">
        <f>VLOOKUP($H72,output!$A$10:$AH$2201,AD$1-$J$1+2)</f>
        <v>255.803</v>
      </c>
      <c r="AE72" s="11">
        <f>VLOOKUP($H72,output!$A$10:$AH$2201,AE$1-$J$1+2)</f>
        <v>119.97</v>
      </c>
      <c r="AF72" s="11">
        <f>VLOOKUP($H72,output!$A$10:$AH$2201,AF$1-$J$1+2)</f>
        <v>125.964</v>
      </c>
      <c r="AG72" s="11">
        <f>VLOOKUP($H72,output!$A$10:$AH$2201,AG$1-$J$1+2)</f>
        <v>127.764</v>
      </c>
      <c r="AH72" s="11">
        <f>VLOOKUP($H72,output!$A$10:$AH$2201,AH$1-$J$1+2)</f>
        <v>116.226</v>
      </c>
      <c r="AI72" s="11">
        <f>VLOOKUP($H72,output!$A$10:$AH$2201,AI$1-$J$1+2)</f>
        <v>109.31</v>
      </c>
      <c r="AJ72" s="11">
        <f>VLOOKUP($H72,output!$A$10:$AH$2201,AJ$1-$J$1+2)</f>
        <v>102.51300000000001</v>
      </c>
      <c r="AK72" s="11">
        <f>VLOOKUP($H72,output!$A$10:$AH$2201,AK$1-$J$1+2)</f>
        <v>95.671999999999997</v>
      </c>
      <c r="AL72" s="11">
        <f>VLOOKUP($H72,output!$A$10:$AH$2201,AL$1-$J$1+2)</f>
        <v>0</v>
      </c>
      <c r="AM72" s="11">
        <f>VLOOKUP($H72,output!$A$10:$AH$2201,AM$1-$J$1+2)</f>
        <v>0</v>
      </c>
      <c r="AN72" s="11">
        <f>VLOOKUP($H72,output!$A$10:$AH$2201,AN$1-$J$1+2)</f>
        <v>0</v>
      </c>
      <c r="AO72" s="11">
        <f>VLOOKUP($H72,output!$A$10:$AH$2201,AO$1-$J$1+2)</f>
        <v>0</v>
      </c>
      <c r="AP72" s="11">
        <f>VLOOKUP($H72,output!$A$10:$AH$2201,AP$1-$J$1+2)</f>
        <v>0</v>
      </c>
    </row>
    <row r="73" spans="8:42" x14ac:dyDescent="0.25">
      <c r="H73" t="s">
        <v>29</v>
      </c>
      <c r="I73" t="s">
        <v>128</v>
      </c>
      <c r="J73" s="11">
        <f>VLOOKUP($H73,output!$A$10:$AH$2201,J$1-$J$1+2)</f>
        <v>0</v>
      </c>
      <c r="K73" s="11">
        <f>VLOOKUP($H73,output!$A$10:$AH$2201,K$1-$J$1+2)</f>
        <v>385.95299999999997</v>
      </c>
      <c r="L73" s="11">
        <f>VLOOKUP($H73,output!$A$10:$AH$2201,L$1-$J$1+2)</f>
        <v>333.73599999999999</v>
      </c>
      <c r="M73" s="11">
        <f>VLOOKUP($H73,output!$A$10:$AH$2201,M$1-$J$1+2)</f>
        <v>470.83</v>
      </c>
      <c r="N73" s="11">
        <f>VLOOKUP($H73,output!$A$10:$AH$2201,N$1-$J$1+2)</f>
        <v>468.452</v>
      </c>
      <c r="O73" s="11">
        <f>VLOOKUP($H73,output!$A$10:$AH$2201,O$1-$J$1+2)</f>
        <v>549.61</v>
      </c>
      <c r="P73" s="11">
        <f>VLOOKUP($H73,output!$A$10:$AH$2201,P$1-$J$1+2)</f>
        <v>624.923</v>
      </c>
      <c r="Q73" s="11">
        <f>VLOOKUP($H73,output!$A$10:$AH$2201,Q$1-$J$1+2)</f>
        <v>694.25400000000002</v>
      </c>
      <c r="R73" s="11">
        <f>VLOOKUP($H73,output!$A$10:$AH$2201,R$1-$J$1+2)</f>
        <v>754.02700000000004</v>
      </c>
      <c r="S73" s="11">
        <f>VLOOKUP($H73,output!$A$10:$AH$2201,S$1-$J$1+2)</f>
        <v>801.86900000000003</v>
      </c>
      <c r="T73" s="11">
        <f>VLOOKUP($H73,output!$A$10:$AH$2201,T$1-$J$1+2)</f>
        <v>753.399</v>
      </c>
      <c r="U73" s="11">
        <f>VLOOKUP($H73,output!$A$10:$AH$2201,U$1-$J$1+2)</f>
        <v>713.75400000000002</v>
      </c>
      <c r="V73" s="11">
        <f>VLOOKUP($H73,output!$A$10:$AH$2201,V$1-$J$1+2)</f>
        <v>668.20299999999997</v>
      </c>
      <c r="W73" s="11">
        <f>VLOOKUP($H73,output!$A$10:$AH$2201,W$1-$J$1+2)</f>
        <v>599.50300000000004</v>
      </c>
      <c r="X73" s="11">
        <f>VLOOKUP($H73,output!$A$10:$AH$2201,X$1-$J$1+2)</f>
        <v>698.79</v>
      </c>
      <c r="Y73" s="11">
        <f>VLOOKUP($H73,output!$A$10:$AH$2201,Y$1-$J$1+2)</f>
        <v>634.58000000000004</v>
      </c>
      <c r="Z73" s="11">
        <f>VLOOKUP($H73,output!$A$10:$AH$2201,Z$1-$J$1+2)</f>
        <v>544.91300000000001</v>
      </c>
      <c r="AA73" s="11">
        <f>VLOOKUP($H73,output!$A$10:$AH$2201,AA$1-$J$1+2)</f>
        <v>621.20899999999995</v>
      </c>
      <c r="AB73" s="11">
        <f>VLOOKUP($H73,output!$A$10:$AH$2201,AB$1-$J$1+2)</f>
        <v>514.50800000000004</v>
      </c>
      <c r="AC73" s="11">
        <f>VLOOKUP($H73,output!$A$10:$AH$2201,AC$1-$J$1+2)</f>
        <v>489.74099999999999</v>
      </c>
      <c r="AD73" s="11">
        <f>VLOOKUP($H73,output!$A$10:$AH$2201,AD$1-$J$1+2)</f>
        <v>428.56200000000001</v>
      </c>
      <c r="AE73" s="11">
        <f>VLOOKUP($H73,output!$A$10:$AH$2201,AE$1-$J$1+2)</f>
        <v>358.36</v>
      </c>
      <c r="AF73" s="11">
        <f>VLOOKUP($H73,output!$A$10:$AH$2201,AF$1-$J$1+2)</f>
        <v>335.13400000000001</v>
      </c>
      <c r="AG73" s="11">
        <f>VLOOKUP($H73,output!$A$10:$AH$2201,AG$1-$J$1+2)</f>
        <v>345.25099999999998</v>
      </c>
      <c r="AH73" s="11">
        <f>VLOOKUP($H73,output!$A$10:$AH$2201,AH$1-$J$1+2)</f>
        <v>310.822</v>
      </c>
      <c r="AI73" s="11">
        <f>VLOOKUP($H73,output!$A$10:$AH$2201,AI$1-$J$1+2)</f>
        <v>301.54300000000001</v>
      </c>
      <c r="AJ73" s="11">
        <f>VLOOKUP($H73,output!$A$10:$AH$2201,AJ$1-$J$1+2)</f>
        <v>294.68299999999999</v>
      </c>
      <c r="AK73" s="11">
        <f>VLOOKUP($H73,output!$A$10:$AH$2201,AK$1-$J$1+2)</f>
        <v>287.11099999999999</v>
      </c>
      <c r="AL73" s="11">
        <f>VLOOKUP($H73,output!$A$10:$AH$2201,AL$1-$J$1+2)</f>
        <v>0</v>
      </c>
      <c r="AM73" s="11">
        <f>VLOOKUP($H73,output!$A$10:$AH$2201,AM$1-$J$1+2)</f>
        <v>0</v>
      </c>
      <c r="AN73" s="11">
        <f>VLOOKUP($H73,output!$A$10:$AH$2201,AN$1-$J$1+2)</f>
        <v>0</v>
      </c>
      <c r="AO73" s="11">
        <f>VLOOKUP($H73,output!$A$10:$AH$2201,AO$1-$J$1+2)</f>
        <v>0</v>
      </c>
      <c r="AP73" s="11">
        <f>VLOOKUP($H73,output!$A$10:$AH$2201,AP$1-$J$1+2)</f>
        <v>0</v>
      </c>
    </row>
    <row r="74" spans="8:42" x14ac:dyDescent="0.25">
      <c r="H74" t="s">
        <v>22</v>
      </c>
      <c r="I74" t="s">
        <v>190</v>
      </c>
      <c r="J74" s="11">
        <f>VLOOKUP($H74,output!$A$10:$AH$2201,J$1-$J$1+2)</f>
        <v>0</v>
      </c>
      <c r="K74" s="11">
        <f>VLOOKUP($H74,output!$A$10:$AH$2201,K$1-$J$1+2)</f>
        <v>2381.4870000000001</v>
      </c>
      <c r="L74" s="11">
        <f>VLOOKUP($H74,output!$A$10:$AH$2201,L$1-$J$1+2)</f>
        <v>2217.3580000000002</v>
      </c>
      <c r="M74" s="11">
        <f>VLOOKUP($H74,output!$A$10:$AH$2201,M$1-$J$1+2)</f>
        <v>2395.3539999999998</v>
      </c>
      <c r="N74" s="11">
        <f>VLOOKUP($H74,output!$A$10:$AH$2201,N$1-$J$1+2)</f>
        <v>2436.6770000000001</v>
      </c>
      <c r="O74" s="11">
        <f>VLOOKUP($H74,output!$A$10:$AH$2201,O$1-$J$1+2)</f>
        <v>2442.248</v>
      </c>
      <c r="P74" s="11">
        <f>VLOOKUP($H74,output!$A$10:$AH$2201,P$1-$J$1+2)</f>
        <v>2416.5450000000001</v>
      </c>
      <c r="Q74" s="11">
        <f>VLOOKUP($H74,output!$A$10:$AH$2201,Q$1-$J$1+2)</f>
        <v>2458.2269999999999</v>
      </c>
      <c r="R74" s="11">
        <f>VLOOKUP($H74,output!$A$10:$AH$2201,R$1-$J$1+2)</f>
        <v>2677.377</v>
      </c>
      <c r="S74" s="11">
        <f>VLOOKUP($H74,output!$A$10:$AH$2201,S$1-$J$1+2)</f>
        <v>2620.5010000000002</v>
      </c>
      <c r="T74" s="11">
        <f>VLOOKUP($H74,output!$A$10:$AH$2201,T$1-$J$1+2)</f>
        <v>2587.3029999999999</v>
      </c>
      <c r="U74" s="11">
        <f>VLOOKUP($H74,output!$A$10:$AH$2201,U$1-$J$1+2)</f>
        <v>2593.4470000000001</v>
      </c>
      <c r="V74" s="11">
        <f>VLOOKUP($H74,output!$A$10:$AH$2201,V$1-$J$1+2)</f>
        <v>2555.9029999999998</v>
      </c>
      <c r="W74" s="11">
        <f>VLOOKUP($H74,output!$A$10:$AH$2201,W$1-$J$1+2)</f>
        <v>2312.1970000000001</v>
      </c>
      <c r="X74" s="11">
        <f>VLOOKUP($H74,output!$A$10:$AH$2201,X$1-$J$1+2)</f>
        <v>2736.3270000000002</v>
      </c>
      <c r="Y74" s="11">
        <f>VLOOKUP($H74,output!$A$10:$AH$2201,Y$1-$J$1+2)</f>
        <v>2671.7739999999999</v>
      </c>
      <c r="Z74" s="11">
        <f>VLOOKUP($H74,output!$A$10:$AH$2201,Z$1-$J$1+2)</f>
        <v>2475.6819999999998</v>
      </c>
      <c r="AA74" s="11">
        <f>VLOOKUP($H74,output!$A$10:$AH$2201,AA$1-$J$1+2)</f>
        <v>2869.4560000000001</v>
      </c>
      <c r="AB74" s="11">
        <f>VLOOKUP($H74,output!$A$10:$AH$2201,AB$1-$J$1+2)</f>
        <v>2571.547</v>
      </c>
      <c r="AC74" s="11">
        <f>VLOOKUP($H74,output!$A$10:$AH$2201,AC$1-$J$1+2)</f>
        <v>2509.4110000000001</v>
      </c>
      <c r="AD74" s="11">
        <f>VLOOKUP($H74,output!$A$10:$AH$2201,AD$1-$J$1+2)</f>
        <v>2286.3319999999999</v>
      </c>
      <c r="AE74" s="11">
        <f>VLOOKUP($H74,output!$A$10:$AH$2201,AE$1-$J$1+2)</f>
        <v>2613.8609999999999</v>
      </c>
      <c r="AF74" s="11">
        <f>VLOOKUP($H74,output!$A$10:$AH$2201,AF$1-$J$1+2)</f>
        <v>2307.3409999999999</v>
      </c>
      <c r="AG74" s="11">
        <f>VLOOKUP($H74,output!$A$10:$AH$2201,AG$1-$J$1+2)</f>
        <v>2492.645</v>
      </c>
      <c r="AH74" s="11">
        <f>VLOOKUP($H74,output!$A$10:$AH$2201,AH$1-$J$1+2)</f>
        <v>2347.4140000000002</v>
      </c>
      <c r="AI74" s="11">
        <f>VLOOKUP($H74,output!$A$10:$AH$2201,AI$1-$J$1+2)</f>
        <v>2416.0770000000002</v>
      </c>
      <c r="AJ74" s="11">
        <f>VLOOKUP($H74,output!$A$10:$AH$2201,AJ$1-$J$1+2)</f>
        <v>2505.509</v>
      </c>
      <c r="AK74" s="11">
        <f>VLOOKUP($H74,output!$A$10:$AH$2201,AK$1-$J$1+2)</f>
        <v>2582.9430000000002</v>
      </c>
      <c r="AL74" s="11">
        <f>VLOOKUP($H74,output!$A$10:$AH$2201,AL$1-$J$1+2)</f>
        <v>0</v>
      </c>
      <c r="AM74" s="11">
        <f>VLOOKUP($H74,output!$A$10:$AH$2201,AM$1-$J$1+2)</f>
        <v>0</v>
      </c>
      <c r="AN74" s="11">
        <f>VLOOKUP($H74,output!$A$10:$AH$2201,AN$1-$J$1+2)</f>
        <v>0</v>
      </c>
      <c r="AO74" s="11">
        <f>VLOOKUP($H74,output!$A$10:$AH$2201,AO$1-$J$1+2)</f>
        <v>0</v>
      </c>
      <c r="AP74" s="11">
        <f>VLOOKUP($H74,output!$A$10:$AH$2201,AP$1-$J$1+2)</f>
        <v>0</v>
      </c>
    </row>
    <row r="75" spans="8:42" x14ac:dyDescent="0.25"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</row>
    <row r="76" spans="8:42" x14ac:dyDescent="0.25">
      <c r="I76" t="s">
        <v>150</v>
      </c>
      <c r="J76" s="11">
        <f t="shared" ref="J76:AP76" si="66">SUM(J68:J72)</f>
        <v>0</v>
      </c>
      <c r="K76" s="11">
        <f t="shared" si="66"/>
        <v>667.84299999999996</v>
      </c>
      <c r="L76" s="11">
        <f t="shared" si="66"/>
        <v>499.62</v>
      </c>
      <c r="M76" s="11">
        <f t="shared" si="66"/>
        <v>572.23500000000001</v>
      </c>
      <c r="N76" s="11">
        <f t="shared" si="66"/>
        <v>599.32600000000002</v>
      </c>
      <c r="O76" s="11">
        <f t="shared" si="66"/>
        <v>556.64400000000001</v>
      </c>
      <c r="P76" s="11">
        <f t="shared" si="66"/>
        <v>514.68499999999995</v>
      </c>
      <c r="Q76" s="11">
        <f t="shared" si="66"/>
        <v>544.71500000000003</v>
      </c>
      <c r="R76" s="11">
        <f t="shared" si="66"/>
        <v>619.904</v>
      </c>
      <c r="S76" s="11">
        <f t="shared" si="66"/>
        <v>588.32399999999996</v>
      </c>
      <c r="T76" s="11">
        <f t="shared" si="66"/>
        <v>569.91699999999992</v>
      </c>
      <c r="U76" s="11">
        <f t="shared" si="66"/>
        <v>551.91599999999994</v>
      </c>
      <c r="V76" s="11">
        <f t="shared" si="66"/>
        <v>537.13599999999997</v>
      </c>
      <c r="W76" s="11">
        <f t="shared" si="66"/>
        <v>397.005</v>
      </c>
      <c r="X76" s="11">
        <f t="shared" si="66"/>
        <v>409.43200000000002</v>
      </c>
      <c r="Y76" s="11">
        <f t="shared" si="66"/>
        <v>401.34999999999997</v>
      </c>
      <c r="Z76" s="11">
        <f t="shared" si="66"/>
        <v>371.06700000000001</v>
      </c>
      <c r="AA76" s="11">
        <f t="shared" si="66"/>
        <v>451.37299999999999</v>
      </c>
      <c r="AB76" s="11">
        <f t="shared" si="66"/>
        <v>344.61099999999999</v>
      </c>
      <c r="AC76" s="11">
        <f t="shared" si="66"/>
        <v>331.87700000000001</v>
      </c>
      <c r="AD76" s="11">
        <f t="shared" si="66"/>
        <v>300.36399999999998</v>
      </c>
      <c r="AE76" s="11">
        <f t="shared" si="66"/>
        <v>136.05199999999999</v>
      </c>
      <c r="AF76" s="11">
        <f t="shared" si="66"/>
        <v>144.03399999999999</v>
      </c>
      <c r="AG76" s="11">
        <f t="shared" si="66"/>
        <v>142.22399999999999</v>
      </c>
      <c r="AH76" s="11">
        <f t="shared" si="66"/>
        <v>129.52699999999999</v>
      </c>
      <c r="AI76" s="11">
        <f t="shared" si="66"/>
        <v>119.92100000000001</v>
      </c>
      <c r="AJ76" s="11">
        <f t="shared" si="66"/>
        <v>110.611</v>
      </c>
      <c r="AK76" s="11">
        <f t="shared" si="66"/>
        <v>101.506</v>
      </c>
      <c r="AL76" s="11">
        <f t="shared" si="66"/>
        <v>0</v>
      </c>
      <c r="AM76" s="11">
        <f t="shared" si="66"/>
        <v>0</v>
      </c>
      <c r="AN76" s="11">
        <f t="shared" si="66"/>
        <v>0</v>
      </c>
      <c r="AO76" s="11">
        <f t="shared" si="66"/>
        <v>0</v>
      </c>
      <c r="AP76" s="11">
        <f t="shared" si="66"/>
        <v>0</v>
      </c>
    </row>
    <row r="77" spans="8:42" x14ac:dyDescent="0.25">
      <c r="I77" t="s">
        <v>191</v>
      </c>
      <c r="J77" s="11">
        <f t="shared" ref="J77:AK77" si="67">SUM(J68:J73)</f>
        <v>0</v>
      </c>
      <c r="K77" s="11">
        <f t="shared" si="67"/>
        <v>1053.7959999999998</v>
      </c>
      <c r="L77" s="11">
        <f t="shared" si="67"/>
        <v>833.35599999999999</v>
      </c>
      <c r="M77" s="11">
        <f t="shared" si="67"/>
        <v>1043.0650000000001</v>
      </c>
      <c r="N77" s="11">
        <f t="shared" si="67"/>
        <v>1067.778</v>
      </c>
      <c r="O77" s="11">
        <f t="shared" si="67"/>
        <v>1106.2539999999999</v>
      </c>
      <c r="P77" s="11">
        <f t="shared" si="67"/>
        <v>1139.6079999999999</v>
      </c>
      <c r="Q77" s="11">
        <f t="shared" si="67"/>
        <v>1238.9690000000001</v>
      </c>
      <c r="R77" s="11">
        <f t="shared" si="67"/>
        <v>1373.931</v>
      </c>
      <c r="S77" s="11">
        <f t="shared" si="67"/>
        <v>1390.193</v>
      </c>
      <c r="T77" s="11">
        <f t="shared" si="67"/>
        <v>1323.3159999999998</v>
      </c>
      <c r="U77" s="11">
        <f t="shared" si="67"/>
        <v>1265.67</v>
      </c>
      <c r="V77" s="11">
        <f t="shared" si="67"/>
        <v>1205.3389999999999</v>
      </c>
      <c r="W77" s="11">
        <f t="shared" si="67"/>
        <v>996.50800000000004</v>
      </c>
      <c r="X77" s="11">
        <f t="shared" si="67"/>
        <v>1108.222</v>
      </c>
      <c r="Y77" s="11">
        <f t="shared" si="67"/>
        <v>1035.93</v>
      </c>
      <c r="Z77" s="11">
        <f t="shared" si="67"/>
        <v>915.98</v>
      </c>
      <c r="AA77" s="11">
        <f t="shared" si="67"/>
        <v>1072.5819999999999</v>
      </c>
      <c r="AB77" s="11">
        <f t="shared" si="67"/>
        <v>859.11900000000003</v>
      </c>
      <c r="AC77" s="11">
        <f t="shared" si="67"/>
        <v>821.61799999999994</v>
      </c>
      <c r="AD77" s="11">
        <f t="shared" si="67"/>
        <v>728.92599999999993</v>
      </c>
      <c r="AE77" s="11">
        <f t="shared" si="67"/>
        <v>494.41200000000003</v>
      </c>
      <c r="AF77" s="11">
        <f t="shared" si="67"/>
        <v>479.16800000000001</v>
      </c>
      <c r="AG77" s="11">
        <f t="shared" si="67"/>
        <v>487.47499999999997</v>
      </c>
      <c r="AH77" s="11">
        <f t="shared" si="67"/>
        <v>440.34899999999999</v>
      </c>
      <c r="AI77" s="11">
        <f t="shared" si="67"/>
        <v>421.464</v>
      </c>
      <c r="AJ77" s="11">
        <f t="shared" si="67"/>
        <v>405.29399999999998</v>
      </c>
      <c r="AK77" s="11">
        <f t="shared" si="67"/>
        <v>388.61699999999996</v>
      </c>
      <c r="AL77" s="11"/>
      <c r="AM77" s="11"/>
      <c r="AN77" s="11"/>
      <c r="AO77" s="11"/>
      <c r="AP77" s="11"/>
    </row>
    <row r="78" spans="8:42" x14ac:dyDescent="0.25"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</row>
    <row r="79" spans="8:42" x14ac:dyDescent="0.25"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</row>
    <row r="80" spans="8:42" x14ac:dyDescent="0.25">
      <c r="H80" s="2" t="s">
        <v>188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</row>
    <row r="81" spans="8:42" x14ac:dyDescent="0.25">
      <c r="H81" t="s">
        <v>48</v>
      </c>
      <c r="I81" t="s">
        <v>129</v>
      </c>
      <c r="J81" s="11">
        <f>VLOOKUP($H81,output!$A$10:$AH$2201,J$1-$J$1+2)</f>
        <v>0</v>
      </c>
      <c r="K81" s="11">
        <f>VLOOKUP($H81,output!$A$10:$AH$2201,K$1-$J$1+2)</f>
        <v>66.858999999999995</v>
      </c>
      <c r="L81" s="11">
        <f>VLOOKUP($H81,output!$A$10:$AH$2201,L$1-$J$1+2)</f>
        <v>51</v>
      </c>
      <c r="M81" s="11">
        <f>VLOOKUP($H81,output!$A$10:$AH$2201,M$1-$J$1+2)</f>
        <v>50.872</v>
      </c>
      <c r="N81" s="11">
        <f>VLOOKUP($H81,output!$A$10:$AH$2201,N$1-$J$1+2)</f>
        <v>55.295000000000002</v>
      </c>
      <c r="O81" s="11">
        <f>VLOOKUP($H81,output!$A$10:$AH$2201,O$1-$J$1+2)</f>
        <v>54.615000000000002</v>
      </c>
      <c r="P81" s="11">
        <f>VLOOKUP($H81,output!$A$10:$AH$2201,P$1-$J$1+2)</f>
        <v>53.884</v>
      </c>
      <c r="Q81" s="11">
        <f>VLOOKUP($H81,output!$A$10:$AH$2201,Q$1-$J$1+2)</f>
        <v>57.445999999999998</v>
      </c>
      <c r="R81" s="11">
        <f>VLOOKUP($H81,output!$A$10:$AH$2201,R$1-$J$1+2)</f>
        <v>56.115000000000002</v>
      </c>
      <c r="S81" s="11">
        <f>VLOOKUP($H81,output!$A$10:$AH$2201,S$1-$J$1+2)</f>
        <v>58.914000000000001</v>
      </c>
      <c r="T81" s="11">
        <f>VLOOKUP($H81,output!$A$10:$AH$2201,T$1-$J$1+2)</f>
        <v>57.405000000000001</v>
      </c>
      <c r="U81" s="11">
        <f>VLOOKUP($H81,output!$A$10:$AH$2201,U$1-$J$1+2)</f>
        <v>55.917999999999999</v>
      </c>
      <c r="V81" s="11">
        <f>VLOOKUP($H81,output!$A$10:$AH$2201,V$1-$J$1+2)</f>
        <v>54.484999999999999</v>
      </c>
      <c r="W81" s="11">
        <f>VLOOKUP($H81,output!$A$10:$AH$2201,W$1-$J$1+2)</f>
        <v>88.685000000000002</v>
      </c>
      <c r="X81" s="11">
        <f>VLOOKUP($H81,output!$A$10:$AH$2201,X$1-$J$1+2)</f>
        <v>84.069000000000003</v>
      </c>
      <c r="Y81" s="11">
        <f>VLOOKUP($H81,output!$A$10:$AH$2201,Y$1-$J$1+2)</f>
        <v>79.451999999999998</v>
      </c>
      <c r="Z81" s="11">
        <f>VLOOKUP($H81,output!$A$10:$AH$2201,Z$1-$J$1+2)</f>
        <v>75.293999999999997</v>
      </c>
      <c r="AA81" s="11">
        <f>VLOOKUP($H81,output!$A$10:$AH$2201,AA$1-$J$1+2)</f>
        <v>145.47200000000001</v>
      </c>
      <c r="AB81" s="11">
        <f>VLOOKUP($H81,output!$A$10:$AH$2201,AB$1-$J$1+2)</f>
        <v>98.551000000000002</v>
      </c>
      <c r="AC81" s="11">
        <f>VLOOKUP($H81,output!$A$10:$AH$2201,AC$1-$J$1+2)</f>
        <v>93.180999999999997</v>
      </c>
      <c r="AD81" s="11">
        <f>VLOOKUP($H81,output!$A$10:$AH$2201,AD$1-$J$1+2)</f>
        <v>88.131</v>
      </c>
      <c r="AE81" s="11">
        <f>VLOOKUP($H81,output!$A$10:$AH$2201,AE$1-$J$1+2)</f>
        <v>84.212999999999994</v>
      </c>
      <c r="AF81" s="11">
        <f>VLOOKUP($H81,output!$A$10:$AH$2201,AF$1-$J$1+2)</f>
        <v>80.578000000000003</v>
      </c>
      <c r="AG81" s="11">
        <f>VLOOKUP($H81,output!$A$10:$AH$2201,AG$1-$J$1+2)</f>
        <v>76.763000000000005</v>
      </c>
      <c r="AH81" s="11">
        <f>VLOOKUP($H81,output!$A$10:$AH$2201,AH$1-$J$1+2)</f>
        <v>73.182000000000002</v>
      </c>
      <c r="AI81" s="11">
        <f>VLOOKUP($H81,output!$A$10:$AH$2201,AI$1-$J$1+2)</f>
        <v>69.727999999999994</v>
      </c>
      <c r="AJ81" s="11">
        <f>VLOOKUP($H81,output!$A$10:$AH$2201,AJ$1-$J$1+2)</f>
        <v>66.388999999999996</v>
      </c>
      <c r="AK81" s="11">
        <f>VLOOKUP($H81,output!$A$10:$AH$2201,AK$1-$J$1+2)</f>
        <v>63.03</v>
      </c>
      <c r="AL81" s="11">
        <f>VLOOKUP($H81,output!$A$10:$AH$2201,AL$1-$J$1+2)</f>
        <v>0</v>
      </c>
      <c r="AM81" s="11">
        <f>VLOOKUP($H81,output!$A$10:$AH$2201,AM$1-$J$1+2)</f>
        <v>0</v>
      </c>
      <c r="AN81" s="11">
        <f>VLOOKUP($H81,output!$A$10:$AH$2201,AN$1-$J$1+2)</f>
        <v>0</v>
      </c>
      <c r="AO81" s="11">
        <f>VLOOKUP($H81,output!$A$10:$AH$2201,AO$1-$J$1+2)</f>
        <v>0</v>
      </c>
      <c r="AP81" s="11">
        <f>VLOOKUP($H81,output!$A$10:$AH$2201,AP$1-$J$1+2)</f>
        <v>0</v>
      </c>
    </row>
    <row r="82" spans="8:42" x14ac:dyDescent="0.25">
      <c r="H82" t="s">
        <v>49</v>
      </c>
      <c r="I82" t="s">
        <v>130</v>
      </c>
      <c r="J82" s="11">
        <f>VLOOKUP($H82,output!$A$10:$AH$2201,J$1-$J$1+2)</f>
        <v>0</v>
      </c>
      <c r="K82" s="11">
        <f>VLOOKUP($H82,output!$A$10:$AH$2201,K$1-$J$1+2)</f>
        <v>75.745999999999995</v>
      </c>
      <c r="L82" s="11">
        <f>VLOOKUP($H82,output!$A$10:$AH$2201,L$1-$J$1+2)</f>
        <v>60.488</v>
      </c>
      <c r="M82" s="11">
        <f>VLOOKUP($H82,output!$A$10:$AH$2201,M$1-$J$1+2)</f>
        <v>89.875</v>
      </c>
      <c r="N82" s="11">
        <f>VLOOKUP($H82,output!$A$10:$AH$2201,N$1-$J$1+2)</f>
        <v>75.798000000000002</v>
      </c>
      <c r="O82" s="11">
        <f>VLOOKUP($H82,output!$A$10:$AH$2201,O$1-$J$1+2)</f>
        <v>64.471999999999994</v>
      </c>
      <c r="P82" s="11">
        <f>VLOOKUP($H82,output!$A$10:$AH$2201,P$1-$J$1+2)</f>
        <v>55.584000000000003</v>
      </c>
      <c r="Q82" s="11">
        <f>VLOOKUP($H82,output!$A$10:$AH$2201,Q$1-$J$1+2)</f>
        <v>48.606000000000002</v>
      </c>
      <c r="R82" s="11">
        <f>VLOOKUP($H82,output!$A$10:$AH$2201,R$1-$J$1+2)</f>
        <v>235.9</v>
      </c>
      <c r="S82" s="11">
        <f>VLOOKUP($H82,output!$A$10:$AH$2201,S$1-$J$1+2)</f>
        <v>192.02699999999999</v>
      </c>
      <c r="T82" s="11">
        <f>VLOOKUP($H82,output!$A$10:$AH$2201,T$1-$J$1+2)</f>
        <v>156.03399999999999</v>
      </c>
      <c r="U82" s="11">
        <f>VLOOKUP($H82,output!$A$10:$AH$2201,U$1-$J$1+2)</f>
        <v>127.49</v>
      </c>
      <c r="V82" s="11">
        <f>VLOOKUP($H82,output!$A$10:$AH$2201,V$1-$J$1+2)</f>
        <v>104.876</v>
      </c>
      <c r="W82" s="11">
        <f>VLOOKUP($H82,output!$A$10:$AH$2201,W$1-$J$1+2)</f>
        <v>87.415999999999997</v>
      </c>
      <c r="X82" s="11">
        <f>VLOOKUP($H82,output!$A$10:$AH$2201,X$1-$J$1+2)</f>
        <v>413.80099999999999</v>
      </c>
      <c r="Y82" s="11">
        <f>VLOOKUP($H82,output!$A$10:$AH$2201,Y$1-$J$1+2)</f>
        <v>364.35</v>
      </c>
      <c r="Z82" s="11">
        <f>VLOOKUP($H82,output!$A$10:$AH$2201,Z$1-$J$1+2)</f>
        <v>322.45999999999998</v>
      </c>
      <c r="AA82" s="11">
        <f>VLOOKUP($H82,output!$A$10:$AH$2201,AA$1-$J$1+2)</f>
        <v>289.77800000000002</v>
      </c>
      <c r="AB82" s="11">
        <f>VLOOKUP($H82,output!$A$10:$AH$2201,AB$1-$J$1+2)</f>
        <v>250.38</v>
      </c>
      <c r="AC82" s="11">
        <f>VLOOKUP($H82,output!$A$10:$AH$2201,AC$1-$J$1+2)</f>
        <v>222.02500000000001</v>
      </c>
      <c r="AD82" s="11">
        <f>VLOOKUP($H82,output!$A$10:$AH$2201,AD$1-$J$1+2)</f>
        <v>197.137</v>
      </c>
      <c r="AE82" s="11">
        <f>VLOOKUP($H82,output!$A$10:$AH$2201,AE$1-$J$1+2)</f>
        <v>180.06700000000001</v>
      </c>
      <c r="AF82" s="11">
        <f>VLOOKUP($H82,output!$A$10:$AH$2201,AF$1-$J$1+2)</f>
        <v>164.357</v>
      </c>
      <c r="AG82" s="11">
        <f>VLOOKUP($H82,output!$A$10:$AH$2201,AG$1-$J$1+2)</f>
        <v>150.423</v>
      </c>
      <c r="AH82" s="11">
        <f>VLOOKUP($H82,output!$A$10:$AH$2201,AH$1-$J$1+2)</f>
        <v>137.97</v>
      </c>
      <c r="AI82" s="11">
        <f>VLOOKUP($H82,output!$A$10:$AH$2201,AI$1-$J$1+2)</f>
        <v>127.006</v>
      </c>
      <c r="AJ82" s="11">
        <f>VLOOKUP($H82,output!$A$10:$AH$2201,AJ$1-$J$1+2)</f>
        <v>117.372</v>
      </c>
      <c r="AK82" s="11">
        <f>VLOOKUP($H82,output!$A$10:$AH$2201,AK$1-$J$1+2)</f>
        <v>108.896</v>
      </c>
      <c r="AL82" s="11">
        <f>VLOOKUP($H82,output!$A$10:$AH$2201,AL$1-$J$1+2)</f>
        <v>0</v>
      </c>
      <c r="AM82" s="11">
        <f>VLOOKUP($H82,output!$A$10:$AH$2201,AM$1-$J$1+2)</f>
        <v>0</v>
      </c>
      <c r="AN82" s="11">
        <f>VLOOKUP($H82,output!$A$10:$AH$2201,AN$1-$J$1+2)</f>
        <v>0</v>
      </c>
      <c r="AO82" s="11">
        <f>VLOOKUP($H82,output!$A$10:$AH$2201,AO$1-$J$1+2)</f>
        <v>0</v>
      </c>
      <c r="AP82" s="11">
        <f>VLOOKUP($H82,output!$A$10:$AH$2201,AP$1-$J$1+2)</f>
        <v>0</v>
      </c>
    </row>
    <row r="83" spans="8:42" x14ac:dyDescent="0.25">
      <c r="H83" t="s">
        <v>50</v>
      </c>
      <c r="I83" t="s">
        <v>133</v>
      </c>
      <c r="J83" s="11">
        <f>VLOOKUP($H83,output!$A$10:$AH$2201,J$1-$J$1+2)</f>
        <v>0</v>
      </c>
      <c r="K83" s="11">
        <f>VLOOKUP($H83,output!$A$10:$AH$2201,K$1-$J$1+2)</f>
        <v>15.24</v>
      </c>
      <c r="L83" s="11">
        <f>VLOOKUP($H83,output!$A$10:$AH$2201,L$1-$J$1+2)</f>
        <v>61.817999999999998</v>
      </c>
      <c r="M83" s="11">
        <f>VLOOKUP($H83,output!$A$10:$AH$2201,M$1-$J$1+2)</f>
        <v>139.63300000000001</v>
      </c>
      <c r="N83" s="11">
        <f>VLOOKUP($H83,output!$A$10:$AH$2201,N$1-$J$1+2)</f>
        <v>181.31</v>
      </c>
      <c r="O83" s="11">
        <f>VLOOKUP($H83,output!$A$10:$AH$2201,O$1-$J$1+2)</f>
        <v>224.56700000000001</v>
      </c>
      <c r="P83" s="11">
        <f>VLOOKUP($H83,output!$A$10:$AH$2201,P$1-$J$1+2)</f>
        <v>234.96600000000001</v>
      </c>
      <c r="Q83" s="11">
        <f>VLOOKUP($H83,output!$A$10:$AH$2201,Q$1-$J$1+2)</f>
        <v>238.434</v>
      </c>
      <c r="R83" s="11">
        <f>VLOOKUP($H83,output!$A$10:$AH$2201,R$1-$J$1+2)</f>
        <v>253.65299999999999</v>
      </c>
      <c r="S83" s="11">
        <f>VLOOKUP($H83,output!$A$10:$AH$2201,S$1-$J$1+2)</f>
        <v>245.87799999999999</v>
      </c>
      <c r="T83" s="11">
        <f>VLOOKUP($H83,output!$A$10:$AH$2201,T$1-$J$1+2)</f>
        <v>265.50299999999999</v>
      </c>
      <c r="U83" s="11">
        <f>VLOOKUP($H83,output!$A$10:$AH$2201,U$1-$J$1+2)</f>
        <v>311.76100000000002</v>
      </c>
      <c r="V83" s="11">
        <f>VLOOKUP($H83,output!$A$10:$AH$2201,V$1-$J$1+2)</f>
        <v>325.79500000000002</v>
      </c>
      <c r="W83" s="11">
        <f>VLOOKUP($H83,output!$A$10:$AH$2201,W$1-$J$1+2)</f>
        <v>298.59800000000001</v>
      </c>
      <c r="X83" s="11">
        <f>VLOOKUP($H83,output!$A$10:$AH$2201,X$1-$J$1+2)</f>
        <v>256.43900000000002</v>
      </c>
      <c r="Y83" s="11">
        <f>VLOOKUP($H83,output!$A$10:$AH$2201,Y$1-$J$1+2)</f>
        <v>275.69400000000002</v>
      </c>
      <c r="Z83" s="11">
        <f>VLOOKUP($H83,output!$A$10:$AH$2201,Z$1-$J$1+2)</f>
        <v>321.87200000000001</v>
      </c>
      <c r="AA83" s="11">
        <f>VLOOKUP($H83,output!$A$10:$AH$2201,AA$1-$J$1+2)</f>
        <v>335.75700000000001</v>
      </c>
      <c r="AB83" s="11">
        <f>VLOOKUP($H83,output!$A$10:$AH$2201,AB$1-$J$1+2)</f>
        <v>336.935</v>
      </c>
      <c r="AC83" s="11">
        <f>VLOOKUP($H83,output!$A$10:$AH$2201,AC$1-$J$1+2)</f>
        <v>346.87099999999998</v>
      </c>
      <c r="AD83" s="11">
        <f>VLOOKUP($H83,output!$A$10:$AH$2201,AD$1-$J$1+2)</f>
        <v>310.096</v>
      </c>
      <c r="AE83" s="11">
        <f>VLOOKUP($H83,output!$A$10:$AH$2201,AE$1-$J$1+2)</f>
        <v>344.03</v>
      </c>
      <c r="AF83" s="11">
        <f>VLOOKUP($H83,output!$A$10:$AH$2201,AF$1-$J$1+2)</f>
        <v>327.65100000000001</v>
      </c>
      <c r="AG83" s="11">
        <f>VLOOKUP($H83,output!$A$10:$AH$2201,AG$1-$J$1+2)</f>
        <v>313.464</v>
      </c>
      <c r="AH83" s="11">
        <f>VLOOKUP($H83,output!$A$10:$AH$2201,AH$1-$J$1+2)</f>
        <v>299.41899999999998</v>
      </c>
      <c r="AI83" s="11">
        <f>VLOOKUP($H83,output!$A$10:$AH$2201,AI$1-$J$1+2)</f>
        <v>286.48099999999999</v>
      </c>
      <c r="AJ83" s="11">
        <f>VLOOKUP($H83,output!$A$10:$AH$2201,AJ$1-$J$1+2)</f>
        <v>274.02999999999997</v>
      </c>
      <c r="AK83" s="11">
        <f>VLOOKUP($H83,output!$A$10:$AH$2201,AK$1-$J$1+2)</f>
        <v>261.98399999999998</v>
      </c>
      <c r="AL83" s="11">
        <f>VLOOKUP($H83,output!$A$10:$AH$2201,AL$1-$J$1+2)</f>
        <v>0</v>
      </c>
      <c r="AM83" s="11">
        <f>VLOOKUP($H83,output!$A$10:$AH$2201,AM$1-$J$1+2)</f>
        <v>0</v>
      </c>
      <c r="AN83" s="11">
        <f>VLOOKUP($H83,output!$A$10:$AH$2201,AN$1-$J$1+2)</f>
        <v>0</v>
      </c>
      <c r="AO83" s="11">
        <f>VLOOKUP($H83,output!$A$10:$AH$2201,AO$1-$J$1+2)</f>
        <v>0</v>
      </c>
      <c r="AP83" s="11">
        <f>VLOOKUP($H83,output!$A$10:$AH$2201,AP$1-$J$1+2)</f>
        <v>0</v>
      </c>
    </row>
    <row r="84" spans="8:42" x14ac:dyDescent="0.25">
      <c r="H84" t="s">
        <v>51</v>
      </c>
      <c r="I84" t="s">
        <v>131</v>
      </c>
      <c r="J84" s="11">
        <f>VLOOKUP($H84,output!$A$10:$AH$2201,J$1-$J$1+2)</f>
        <v>0</v>
      </c>
      <c r="K84" s="11">
        <f>VLOOKUP($H84,output!$A$10:$AH$2201,K$1-$J$1+2)</f>
        <v>373.90800000000002</v>
      </c>
      <c r="L84" s="11">
        <f>VLOOKUP($H84,output!$A$10:$AH$2201,L$1-$J$1+2)</f>
        <v>194.506</v>
      </c>
      <c r="M84" s="11">
        <f>VLOOKUP($H84,output!$A$10:$AH$2201,M$1-$J$1+2)</f>
        <v>207.952</v>
      </c>
      <c r="N84" s="11">
        <f>VLOOKUP($H84,output!$A$10:$AH$2201,N$1-$J$1+2)</f>
        <v>230.08699999999999</v>
      </c>
      <c r="O84" s="11">
        <f>VLOOKUP($H84,output!$A$10:$AH$2201,O$1-$J$1+2)</f>
        <v>222.751</v>
      </c>
      <c r="P84" s="11">
        <f>VLOOKUP($H84,output!$A$10:$AH$2201,P$1-$J$1+2)</f>
        <v>216.001</v>
      </c>
      <c r="Q84" s="11">
        <f>VLOOKUP($H84,output!$A$10:$AH$2201,Q$1-$J$1+2)</f>
        <v>266.178</v>
      </c>
      <c r="R84" s="11">
        <f>VLOOKUP($H84,output!$A$10:$AH$2201,R$1-$J$1+2)</f>
        <v>254.64</v>
      </c>
      <c r="S84" s="11">
        <f>VLOOKUP($H84,output!$A$10:$AH$2201,S$1-$J$1+2)</f>
        <v>255.42400000000001</v>
      </c>
      <c r="T84" s="11">
        <f>VLOOKUP($H84,output!$A$10:$AH$2201,T$1-$J$1+2)</f>
        <v>242.626</v>
      </c>
      <c r="U84" s="11">
        <f>VLOOKUP($H84,output!$A$10:$AH$2201,U$1-$J$1+2)</f>
        <v>230.38900000000001</v>
      </c>
      <c r="V84" s="11">
        <f>VLOOKUP($H84,output!$A$10:$AH$2201,V$1-$J$1+2)</f>
        <v>218.739</v>
      </c>
      <c r="W84" s="11">
        <f>VLOOKUP($H84,output!$A$10:$AH$2201,W$1-$J$1+2)</f>
        <v>225.44300000000001</v>
      </c>
      <c r="X84" s="11">
        <f>VLOOKUP($H84,output!$A$10:$AH$2201,X$1-$J$1+2)</f>
        <v>215.86500000000001</v>
      </c>
      <c r="Y84" s="11">
        <f>VLOOKUP($H84,output!$A$10:$AH$2201,Y$1-$J$1+2)</f>
        <v>206.59899999999999</v>
      </c>
      <c r="Z84" s="11">
        <f>VLOOKUP($H84,output!$A$10:$AH$2201,Z$1-$J$1+2)</f>
        <v>198.05600000000001</v>
      </c>
      <c r="AA84" s="11">
        <f>VLOOKUP($H84,output!$A$10:$AH$2201,AA$1-$J$1+2)</f>
        <v>409.33600000000001</v>
      </c>
      <c r="AB84" s="11">
        <f>VLOOKUP($H84,output!$A$10:$AH$2201,AB$1-$J$1+2)</f>
        <v>345.072</v>
      </c>
      <c r="AC84" s="11">
        <f>VLOOKUP($H84,output!$A$10:$AH$2201,AC$1-$J$1+2)</f>
        <v>330.66</v>
      </c>
      <c r="AD84" s="11">
        <f>VLOOKUP($H84,output!$A$10:$AH$2201,AD$1-$J$1+2)</f>
        <v>317.29500000000002</v>
      </c>
      <c r="AE84" s="11">
        <f>VLOOKUP($H84,output!$A$10:$AH$2201,AE$1-$J$1+2)</f>
        <v>308.51400000000001</v>
      </c>
      <c r="AF84" s="11">
        <f>VLOOKUP($H84,output!$A$10:$AH$2201,AF$1-$J$1+2)</f>
        <v>300.96300000000002</v>
      </c>
      <c r="AG84" s="11">
        <f>VLOOKUP($H84,output!$A$10:$AH$2201,AG$1-$J$1+2)</f>
        <v>292.709</v>
      </c>
      <c r="AH84" s="11">
        <f>VLOOKUP($H84,output!$A$10:$AH$2201,AH$1-$J$1+2)</f>
        <v>285.11500000000001</v>
      </c>
      <c r="AI84" s="11">
        <f>VLOOKUP($H84,output!$A$10:$AH$2201,AI$1-$J$1+2)</f>
        <v>277.81700000000001</v>
      </c>
      <c r="AJ84" s="11">
        <f>VLOOKUP($H84,output!$A$10:$AH$2201,AJ$1-$J$1+2)</f>
        <v>270.64800000000002</v>
      </c>
      <c r="AK84" s="11">
        <f>VLOOKUP($H84,output!$A$10:$AH$2201,AK$1-$J$1+2)</f>
        <v>265.262</v>
      </c>
      <c r="AL84" s="11">
        <f>VLOOKUP($H84,output!$A$10:$AH$2201,AL$1-$J$1+2)</f>
        <v>0</v>
      </c>
      <c r="AM84" s="11">
        <f>VLOOKUP($H84,output!$A$10:$AH$2201,AM$1-$J$1+2)</f>
        <v>0</v>
      </c>
      <c r="AN84" s="11">
        <f>VLOOKUP($H84,output!$A$10:$AH$2201,AN$1-$J$1+2)</f>
        <v>0</v>
      </c>
      <c r="AO84" s="11">
        <f>VLOOKUP($H84,output!$A$10:$AH$2201,AO$1-$J$1+2)</f>
        <v>0</v>
      </c>
      <c r="AP84" s="11">
        <f>VLOOKUP($H84,output!$A$10:$AH$2201,AP$1-$J$1+2)</f>
        <v>0</v>
      </c>
    </row>
    <row r="85" spans="8:42" x14ac:dyDescent="0.25">
      <c r="H85" t="s">
        <v>52</v>
      </c>
      <c r="I85" t="s">
        <v>132</v>
      </c>
      <c r="J85" s="11">
        <f>VLOOKUP($H85,output!$A$10:$AH$2201,J$1-$J$1+2)</f>
        <v>0</v>
      </c>
      <c r="K85" s="11">
        <f>VLOOKUP($H85,output!$A$10:$AH$2201,K$1-$J$1+2)</f>
        <v>54.747</v>
      </c>
      <c r="L85" s="11">
        <f>VLOOKUP($H85,output!$A$10:$AH$2201,L$1-$J$1+2)</f>
        <v>37.575000000000003</v>
      </c>
      <c r="M85" s="11">
        <f>VLOOKUP($H85,output!$A$10:$AH$2201,M$1-$J$1+2)</f>
        <v>88.86</v>
      </c>
      <c r="N85" s="11">
        <f>VLOOKUP($H85,output!$A$10:$AH$2201,N$1-$J$1+2)</f>
        <v>71.555999999999997</v>
      </c>
      <c r="O85" s="11">
        <f>VLOOKUP($H85,output!$A$10:$AH$2201,O$1-$J$1+2)</f>
        <v>57.828000000000003</v>
      </c>
      <c r="P85" s="11">
        <f>VLOOKUP($H85,output!$A$10:$AH$2201,P$1-$J$1+2)</f>
        <v>47.110999999999997</v>
      </c>
      <c r="Q85" s="11">
        <f>VLOOKUP($H85,output!$A$10:$AH$2201,Q$1-$J$1+2)</f>
        <v>38.75</v>
      </c>
      <c r="R85" s="11">
        <f>VLOOKUP($H85,output!$A$10:$AH$2201,R$1-$J$1+2)</f>
        <v>66.132000000000005</v>
      </c>
      <c r="S85" s="11">
        <f>VLOOKUP($H85,output!$A$10:$AH$2201,S$1-$J$1+2)</f>
        <v>52.555999999999997</v>
      </c>
      <c r="T85" s="11">
        <f>VLOOKUP($H85,output!$A$10:$AH$2201,T$1-$J$1+2)</f>
        <v>41.511000000000003</v>
      </c>
      <c r="U85" s="11">
        <f>VLOOKUP($H85,output!$A$10:$AH$2201,U$1-$J$1+2)</f>
        <v>33.067</v>
      </c>
      <c r="V85" s="11">
        <f>VLOOKUP($H85,output!$A$10:$AH$2201,V$1-$J$1+2)</f>
        <v>26.641999999999999</v>
      </c>
      <c r="W85" s="11">
        <f>VLOOKUP($H85,output!$A$10:$AH$2201,W$1-$J$1+2)</f>
        <v>22.704000000000001</v>
      </c>
      <c r="X85" s="11">
        <f>VLOOKUP($H85,output!$A$10:$AH$2201,X$1-$J$1+2)</f>
        <v>184.874</v>
      </c>
      <c r="Y85" s="11">
        <f>VLOOKUP($H85,output!$A$10:$AH$2201,Y$1-$J$1+2)</f>
        <v>170.62299999999999</v>
      </c>
      <c r="Z85" s="11">
        <f>VLOOKUP($H85,output!$A$10:$AH$2201,Z$1-$J$1+2)</f>
        <v>157.56100000000001</v>
      </c>
      <c r="AA85" s="11">
        <f>VLOOKUP($H85,output!$A$10:$AH$2201,AA$1-$J$1+2)</f>
        <v>145.81800000000001</v>
      </c>
      <c r="AB85" s="11">
        <f>VLOOKUP($H85,output!$A$10:$AH$2201,AB$1-$J$1+2)</f>
        <v>131.06100000000001</v>
      </c>
      <c r="AC85" s="11">
        <f>VLOOKUP($H85,output!$A$10:$AH$2201,AC$1-$J$1+2)</f>
        <v>119.761</v>
      </c>
      <c r="AD85" s="11">
        <f>VLOOKUP($H85,output!$A$10:$AH$2201,AD$1-$J$1+2)</f>
        <v>109.343</v>
      </c>
      <c r="AE85" s="11">
        <f>VLOOKUP($H85,output!$A$10:$AH$2201,AE$1-$J$1+2)</f>
        <v>103.152</v>
      </c>
      <c r="AF85" s="11">
        <f>VLOOKUP($H85,output!$A$10:$AH$2201,AF$1-$J$1+2)</f>
        <v>97.028000000000006</v>
      </c>
      <c r="AG85" s="11">
        <f>VLOOKUP($H85,output!$A$10:$AH$2201,AG$1-$J$1+2)</f>
        <v>91.126999999999995</v>
      </c>
      <c r="AH85" s="11">
        <f>VLOOKUP($H85,output!$A$10:$AH$2201,AH$1-$J$1+2)</f>
        <v>85.679000000000002</v>
      </c>
      <c r="AI85" s="11">
        <f>VLOOKUP($H85,output!$A$10:$AH$2201,AI$1-$J$1+2)</f>
        <v>80.64</v>
      </c>
      <c r="AJ85" s="11">
        <f>VLOOKUP($H85,output!$A$10:$AH$2201,AJ$1-$J$1+2)</f>
        <v>76.004999999999995</v>
      </c>
      <c r="AK85" s="11">
        <f>VLOOKUP($H85,output!$A$10:$AH$2201,AK$1-$J$1+2)</f>
        <v>71.778999999999996</v>
      </c>
      <c r="AL85" s="11">
        <f>VLOOKUP($H85,output!$A$10:$AH$2201,AL$1-$J$1+2)</f>
        <v>0</v>
      </c>
      <c r="AM85" s="11">
        <f>VLOOKUP($H85,output!$A$10:$AH$2201,AM$1-$J$1+2)</f>
        <v>0</v>
      </c>
      <c r="AN85" s="11">
        <f>VLOOKUP($H85,output!$A$10:$AH$2201,AN$1-$J$1+2)</f>
        <v>0</v>
      </c>
      <c r="AO85" s="11">
        <f>VLOOKUP($H85,output!$A$10:$AH$2201,AO$1-$J$1+2)</f>
        <v>0</v>
      </c>
      <c r="AP85" s="11">
        <f>VLOOKUP($H85,output!$A$10:$AH$2201,AP$1-$J$1+2)</f>
        <v>0</v>
      </c>
    </row>
    <row r="86" spans="8:42" x14ac:dyDescent="0.25">
      <c r="H86" t="s">
        <v>53</v>
      </c>
      <c r="I86" t="s">
        <v>134</v>
      </c>
      <c r="J86" s="11">
        <f>VLOOKUP($H86,output!$A$10:$AH$2201,J$1-$J$1+2)</f>
        <v>0</v>
      </c>
      <c r="K86" s="11">
        <f>VLOOKUP($H86,output!$A$10:$AH$2201,K$1-$J$1+2)</f>
        <v>14.484</v>
      </c>
      <c r="L86" s="11">
        <f>VLOOKUP($H86,output!$A$10:$AH$2201,L$1-$J$1+2)</f>
        <v>29.827999999999999</v>
      </c>
      <c r="M86" s="11">
        <f>VLOOKUP($H86,output!$A$10:$AH$2201,M$1-$J$1+2)</f>
        <v>47.03</v>
      </c>
      <c r="N86" s="11">
        <f>VLOOKUP($H86,output!$A$10:$AH$2201,N$1-$J$1+2)</f>
        <v>59.106000000000002</v>
      </c>
      <c r="O86" s="11">
        <f>VLOOKUP($H86,output!$A$10:$AH$2201,O$1-$J$1+2)</f>
        <v>61.26</v>
      </c>
      <c r="P86" s="11">
        <f>VLOOKUP($H86,output!$A$10:$AH$2201,P$1-$J$1+2)</f>
        <v>56.506999999999998</v>
      </c>
      <c r="Q86" s="11">
        <f>VLOOKUP($H86,output!$A$10:$AH$2201,Q$1-$J$1+2)</f>
        <v>61.023000000000003</v>
      </c>
      <c r="R86" s="11">
        <f>VLOOKUP($H86,output!$A$10:$AH$2201,R$1-$J$1+2)</f>
        <v>68.090999999999994</v>
      </c>
      <c r="S86" s="11">
        <f>VLOOKUP($H86,output!$A$10:$AH$2201,S$1-$J$1+2)</f>
        <v>75.900000000000006</v>
      </c>
      <c r="T86" s="11">
        <f>VLOOKUP($H86,output!$A$10:$AH$2201,T$1-$J$1+2)</f>
        <v>89.632999999999996</v>
      </c>
      <c r="U86" s="11">
        <f>VLOOKUP($H86,output!$A$10:$AH$2201,U$1-$J$1+2)</f>
        <v>108.262</v>
      </c>
      <c r="V86" s="11">
        <f>VLOOKUP($H86,output!$A$10:$AH$2201,V$1-$J$1+2)</f>
        <v>100.738</v>
      </c>
      <c r="W86" s="11">
        <f>VLOOKUP($H86,output!$A$10:$AH$2201,W$1-$J$1+2)</f>
        <v>105.217</v>
      </c>
      <c r="X86" s="11">
        <f>VLOOKUP($H86,output!$A$10:$AH$2201,X$1-$J$1+2)</f>
        <v>94.891999999999996</v>
      </c>
      <c r="Y86" s="11">
        <f>VLOOKUP($H86,output!$A$10:$AH$2201,Y$1-$J$1+2)</f>
        <v>90.465999999999994</v>
      </c>
      <c r="Z86" s="11">
        <f>VLOOKUP($H86,output!$A$10:$AH$2201,Z$1-$J$1+2)</f>
        <v>89.046000000000006</v>
      </c>
      <c r="AA86" s="11">
        <f>VLOOKUP($H86,output!$A$10:$AH$2201,AA$1-$J$1+2)</f>
        <v>85.248999999999995</v>
      </c>
      <c r="AB86" s="11">
        <f>VLOOKUP($H86,output!$A$10:$AH$2201,AB$1-$J$1+2)</f>
        <v>78.483999999999995</v>
      </c>
      <c r="AC86" s="11">
        <f>VLOOKUP($H86,output!$A$10:$AH$2201,AC$1-$J$1+2)</f>
        <v>75.302000000000007</v>
      </c>
      <c r="AD86" s="11">
        <f>VLOOKUP($H86,output!$A$10:$AH$2201,AD$1-$J$1+2)</f>
        <v>35.494999999999997</v>
      </c>
      <c r="AE86" s="11">
        <f>VLOOKUP($H86,output!$A$10:$AH$2201,AE$1-$J$1+2)</f>
        <v>39.951999999999998</v>
      </c>
      <c r="AF86" s="11">
        <f>VLOOKUP($H86,output!$A$10:$AH$2201,AF$1-$J$1+2)</f>
        <v>38.637</v>
      </c>
      <c r="AG86" s="11">
        <f>VLOOKUP($H86,output!$A$10:$AH$2201,AG$1-$J$1+2)</f>
        <v>37.526000000000003</v>
      </c>
      <c r="AH86" s="11">
        <f>VLOOKUP($H86,output!$A$10:$AH$2201,AH$1-$J$1+2)</f>
        <v>36.261000000000003</v>
      </c>
      <c r="AI86" s="11">
        <f>VLOOKUP($H86,output!$A$10:$AH$2201,AI$1-$J$1+2)</f>
        <v>35.168999999999997</v>
      </c>
      <c r="AJ86" s="11">
        <f>VLOOKUP($H86,output!$A$10:$AH$2201,AJ$1-$J$1+2)</f>
        <v>34.057000000000002</v>
      </c>
      <c r="AK86" s="11">
        <f>VLOOKUP($H86,output!$A$10:$AH$2201,AK$1-$J$1+2)</f>
        <v>32.911999999999999</v>
      </c>
      <c r="AL86" s="11">
        <f>VLOOKUP($H86,output!$A$10:$AH$2201,AL$1-$J$1+2)</f>
        <v>0</v>
      </c>
      <c r="AM86" s="11">
        <f>VLOOKUP($H86,output!$A$10:$AH$2201,AM$1-$J$1+2)</f>
        <v>0</v>
      </c>
      <c r="AN86" s="11">
        <f>VLOOKUP($H86,output!$A$10:$AH$2201,AN$1-$J$1+2)</f>
        <v>0</v>
      </c>
      <c r="AO86" s="11">
        <f>VLOOKUP($H86,output!$A$10:$AH$2201,AO$1-$J$1+2)</f>
        <v>0</v>
      </c>
      <c r="AP86" s="11">
        <f>VLOOKUP($H86,output!$A$10:$AH$2201,AP$1-$J$1+2)</f>
        <v>0</v>
      </c>
    </row>
    <row r="87" spans="8:42" x14ac:dyDescent="0.25"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</row>
    <row r="88" spans="8:42" x14ac:dyDescent="0.25">
      <c r="H88" t="s">
        <v>187</v>
      </c>
      <c r="J88" s="11">
        <f>SUM(J81:J86)</f>
        <v>0</v>
      </c>
      <c r="K88" s="11">
        <f>SUM(K81:K86)</f>
        <v>600.98400000000004</v>
      </c>
      <c r="L88" s="11">
        <f t="shared" ref="L88:AP88" si="68">SUM(L81:L86)</f>
        <v>435.21499999999997</v>
      </c>
      <c r="M88" s="11">
        <f t="shared" si="68"/>
        <v>624.22199999999998</v>
      </c>
      <c r="N88" s="11">
        <f t="shared" si="68"/>
        <v>673.15200000000004</v>
      </c>
      <c r="O88" s="11">
        <f t="shared" si="68"/>
        <v>685.49299999999994</v>
      </c>
      <c r="P88" s="11">
        <f t="shared" si="68"/>
        <v>664.053</v>
      </c>
      <c r="Q88" s="11">
        <f t="shared" si="68"/>
        <v>710.43700000000001</v>
      </c>
      <c r="R88" s="11">
        <f t="shared" si="68"/>
        <v>934.53100000000006</v>
      </c>
      <c r="S88" s="11">
        <f t="shared" si="68"/>
        <v>880.69899999999996</v>
      </c>
      <c r="T88" s="11">
        <f t="shared" si="68"/>
        <v>852.71199999999999</v>
      </c>
      <c r="U88" s="11">
        <f t="shared" si="68"/>
        <v>866.88699999999994</v>
      </c>
      <c r="V88" s="11">
        <f t="shared" si="68"/>
        <v>831.27500000000009</v>
      </c>
      <c r="W88" s="11">
        <f t="shared" si="68"/>
        <v>828.06299999999999</v>
      </c>
      <c r="X88" s="11">
        <f t="shared" si="68"/>
        <v>1249.94</v>
      </c>
      <c r="Y88" s="11">
        <f t="shared" si="68"/>
        <v>1187.184</v>
      </c>
      <c r="Z88" s="11">
        <f t="shared" si="68"/>
        <v>1164.289</v>
      </c>
      <c r="AA88" s="11">
        <f t="shared" si="68"/>
        <v>1411.41</v>
      </c>
      <c r="AB88" s="11">
        <f t="shared" si="68"/>
        <v>1240.4829999999999</v>
      </c>
      <c r="AC88" s="11">
        <f t="shared" si="68"/>
        <v>1187.8</v>
      </c>
      <c r="AD88" s="11">
        <f t="shared" si="68"/>
        <v>1057.4970000000001</v>
      </c>
      <c r="AE88" s="11">
        <f t="shared" si="68"/>
        <v>1059.9279999999999</v>
      </c>
      <c r="AF88" s="11">
        <f t="shared" si="68"/>
        <v>1009.2139999999999</v>
      </c>
      <c r="AG88" s="11">
        <f t="shared" si="68"/>
        <v>962.01199999999983</v>
      </c>
      <c r="AH88" s="11">
        <f t="shared" si="68"/>
        <v>917.62599999999986</v>
      </c>
      <c r="AI88" s="11">
        <f t="shared" si="68"/>
        <v>876.84099999999989</v>
      </c>
      <c r="AJ88" s="11">
        <f t="shared" si="68"/>
        <v>838.50099999999998</v>
      </c>
      <c r="AK88" s="11">
        <f t="shared" si="68"/>
        <v>803.86300000000006</v>
      </c>
      <c r="AL88" s="11">
        <f t="shared" si="68"/>
        <v>0</v>
      </c>
      <c r="AM88" s="11">
        <f t="shared" si="68"/>
        <v>0</v>
      </c>
      <c r="AN88" s="11">
        <f t="shared" si="68"/>
        <v>0</v>
      </c>
      <c r="AO88" s="11">
        <f t="shared" si="68"/>
        <v>0</v>
      </c>
      <c r="AP88" s="11">
        <f t="shared" si="68"/>
        <v>0</v>
      </c>
    </row>
    <row r="89" spans="8:42" x14ac:dyDescent="0.25">
      <c r="H89" t="s">
        <v>199</v>
      </c>
      <c r="J89" s="11"/>
      <c r="K89" s="3">
        <f>(K84+K85)/K88</f>
        <v>0.71325526137135098</v>
      </c>
      <c r="L89" s="3">
        <f t="shared" ref="L89:V89" si="69">(L84+L85)/L88</f>
        <v>0.53325597693094229</v>
      </c>
      <c r="M89" s="3">
        <f t="shared" si="69"/>
        <v>0.4754910913104633</v>
      </c>
      <c r="N89" s="3">
        <f t="shared" si="69"/>
        <v>0.44810533133675595</v>
      </c>
      <c r="O89" s="3">
        <f t="shared" si="69"/>
        <v>0.4093097960154225</v>
      </c>
      <c r="P89" s="3">
        <f t="shared" si="69"/>
        <v>0.39622138594359191</v>
      </c>
      <c r="Q89" s="3">
        <f t="shared" si="69"/>
        <v>0.42921187944884626</v>
      </c>
      <c r="R89" s="3">
        <f t="shared" si="69"/>
        <v>0.34324383032772587</v>
      </c>
      <c r="S89" s="3">
        <f t="shared" si="69"/>
        <v>0.34969950005620537</v>
      </c>
      <c r="T89" s="3">
        <f t="shared" si="69"/>
        <v>0.3332156695343797</v>
      </c>
      <c r="U89" s="3">
        <f t="shared" si="69"/>
        <v>0.30391042892556935</v>
      </c>
      <c r="V89" s="3">
        <f t="shared" si="69"/>
        <v>0.29518631018615976</v>
      </c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</row>
    <row r="90" spans="8:42" x14ac:dyDescent="0.25">
      <c r="H90" t="s">
        <v>197</v>
      </c>
      <c r="J90" s="11"/>
      <c r="K90" s="3">
        <f>(K81+K82)/K88</f>
        <v>0.23728585120402537</v>
      </c>
      <c r="L90" s="3">
        <f t="shared" ref="L90:V90" si="70">(L81+L82)/L88</f>
        <v>0.25616764128074632</v>
      </c>
      <c r="M90" s="3">
        <f t="shared" si="70"/>
        <v>0.22547587236592112</v>
      </c>
      <c r="N90" s="3">
        <f t="shared" si="70"/>
        <v>0.19474502044114853</v>
      </c>
      <c r="O90" s="3">
        <f t="shared" si="70"/>
        <v>0.17372460404409673</v>
      </c>
      <c r="P90" s="3">
        <f t="shared" si="70"/>
        <v>0.16484828771197479</v>
      </c>
      <c r="Q90" s="3">
        <f t="shared" si="70"/>
        <v>0.14927713505912557</v>
      </c>
      <c r="R90" s="3">
        <f t="shared" si="70"/>
        <v>0.31247224543648094</v>
      </c>
      <c r="S90" s="3">
        <f t="shared" si="70"/>
        <v>0.28493389909605893</v>
      </c>
      <c r="T90" s="3">
        <f t="shared" si="70"/>
        <v>0.25030608224113182</v>
      </c>
      <c r="U90" s="3">
        <f t="shared" si="70"/>
        <v>0.21157082757037537</v>
      </c>
      <c r="V90" s="3">
        <f t="shared" si="70"/>
        <v>0.1917067155875011</v>
      </c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</row>
    <row r="91" spans="8:42" x14ac:dyDescent="0.25">
      <c r="H91" t="s">
        <v>198</v>
      </c>
      <c r="J91" s="11"/>
      <c r="K91" s="3">
        <f>(K83+K86)/K88</f>
        <v>4.9458887424623614E-2</v>
      </c>
      <c r="L91" s="3">
        <f t="shared" ref="L91:V91" si="71">(L83+L86)/L88</f>
        <v>0.21057638178831153</v>
      </c>
      <c r="M91" s="3">
        <f t="shared" si="71"/>
        <v>0.29903303632361566</v>
      </c>
      <c r="N91" s="3">
        <f t="shared" si="71"/>
        <v>0.35714964822209544</v>
      </c>
      <c r="O91" s="3">
        <f t="shared" si="71"/>
        <v>0.41696559994048082</v>
      </c>
      <c r="P91" s="3">
        <f t="shared" si="71"/>
        <v>0.43893032634443335</v>
      </c>
      <c r="Q91" s="3">
        <f t="shared" si="71"/>
        <v>0.42151098549202815</v>
      </c>
      <c r="R91" s="3">
        <f t="shared" si="71"/>
        <v>0.34428392423579307</v>
      </c>
      <c r="S91" s="3">
        <f t="shared" si="71"/>
        <v>0.36536660084773576</v>
      </c>
      <c r="T91" s="3">
        <f t="shared" si="71"/>
        <v>0.41647824822448842</v>
      </c>
      <c r="U91" s="3">
        <f t="shared" si="71"/>
        <v>0.48451874350405538</v>
      </c>
      <c r="V91" s="3">
        <f t="shared" si="71"/>
        <v>0.513106974226339</v>
      </c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</row>
    <row r="92" spans="8:42" x14ac:dyDescent="0.25"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</row>
    <row r="93" spans="8:42" x14ac:dyDescent="0.25">
      <c r="H93" t="s">
        <v>58</v>
      </c>
      <c r="J93" s="11">
        <f>VLOOKUP($H93,output!$A$10:$AH$2201,J$1-$J$1+2)</f>
        <v>0</v>
      </c>
      <c r="K93" s="11">
        <f>VLOOKUP($H93,output!$A$10:$AH$2201,K$1-$J$1+2)</f>
        <v>15.007</v>
      </c>
      <c r="L93" s="11">
        <f>VLOOKUP($H93,output!$A$10:$AH$2201,L$1-$J$1+2)</f>
        <v>14.005000000000001</v>
      </c>
      <c r="M93" s="11">
        <f>VLOOKUP($H93,output!$A$10:$AH$2201,M$1-$J$1+2)</f>
        <v>12.917999999999999</v>
      </c>
      <c r="N93" s="11">
        <f>VLOOKUP($H93,output!$A$10:$AH$2201,N$1-$J$1+2)</f>
        <v>13.324999999999999</v>
      </c>
      <c r="O93" s="11">
        <f>VLOOKUP($H93,output!$A$10:$AH$2201,O$1-$J$1+2)</f>
        <v>12.468999999999999</v>
      </c>
      <c r="P93" s="11">
        <f>VLOOKUP($H93,output!$A$10:$AH$2201,P$1-$J$1+2)</f>
        <v>11.518000000000001</v>
      </c>
      <c r="Q93" s="11">
        <f>VLOOKUP($H93,output!$A$10:$AH$2201,Q$1-$J$1+2)</f>
        <v>10.638</v>
      </c>
      <c r="R93" s="11">
        <f>VLOOKUP($H93,output!$A$10:$AH$2201,R$1-$J$1+2)</f>
        <v>11.907999999999999</v>
      </c>
      <c r="S93" s="11">
        <f>VLOOKUP($H93,output!$A$10:$AH$2201,S$1-$J$1+2)</f>
        <v>10.952</v>
      </c>
      <c r="T93" s="11">
        <f>VLOOKUP($H93,output!$A$10:$AH$2201,T$1-$J$1+2)</f>
        <v>11.246</v>
      </c>
      <c r="U93" s="11">
        <f>VLOOKUP($H93,output!$A$10:$AH$2201,U$1-$J$1+2)</f>
        <v>11.61</v>
      </c>
      <c r="V93" s="11">
        <f>VLOOKUP($H93,output!$A$10:$AH$2201,V$1-$J$1+2)</f>
        <v>11.923</v>
      </c>
      <c r="W93" s="11">
        <f>VLOOKUP($H93,output!$A$10:$AH$2201,W$1-$J$1+2)</f>
        <v>10.346</v>
      </c>
      <c r="X93" s="11">
        <f>VLOOKUP($H93,output!$A$10:$AH$2201,X$1-$J$1+2)</f>
        <v>10.871</v>
      </c>
      <c r="Y93" s="11">
        <f>VLOOKUP($H93,output!$A$10:$AH$2201,Y$1-$J$1+2)</f>
        <v>11.125</v>
      </c>
      <c r="Z93" s="11">
        <f>VLOOKUP($H93,output!$A$10:$AH$2201,Z$1-$J$1+2)</f>
        <v>10.119999999999999</v>
      </c>
      <c r="AA93" s="11">
        <f>VLOOKUP($H93,output!$A$10:$AH$2201,AA$1-$J$1+2)</f>
        <v>11.5</v>
      </c>
      <c r="AB93" s="11">
        <f>VLOOKUP($H93,output!$A$10:$AH$2201,AB$1-$J$1+2)</f>
        <v>10.351000000000001</v>
      </c>
      <c r="AC93" s="11">
        <f>VLOOKUP($H93,output!$A$10:$AH$2201,AC$1-$J$1+2)</f>
        <v>10.276999999999999</v>
      </c>
      <c r="AD93" s="11">
        <f>VLOOKUP($H93,output!$A$10:$AH$2201,AD$1-$J$1+2)</f>
        <v>9.5310000000000006</v>
      </c>
      <c r="AE93" s="11">
        <f>VLOOKUP($H93,output!$A$10:$AH$2201,AE$1-$J$1+2)</f>
        <v>12.353999999999999</v>
      </c>
      <c r="AF93" s="11">
        <f>VLOOKUP($H93,output!$A$10:$AH$2201,AF$1-$J$1+2)</f>
        <v>10.615</v>
      </c>
      <c r="AG93" s="11">
        <f>VLOOKUP($H93,output!$A$10:$AH$2201,AG$1-$J$1+2)</f>
        <v>11.259</v>
      </c>
      <c r="AH93" s="11">
        <f>VLOOKUP($H93,output!$A$10:$AH$2201,AH$1-$J$1+2)</f>
        <v>10.948</v>
      </c>
      <c r="AI93" s="11">
        <f>VLOOKUP($H93,output!$A$10:$AH$2201,AI$1-$J$1+2)</f>
        <v>10.923</v>
      </c>
      <c r="AJ93" s="11">
        <f>VLOOKUP($H93,output!$A$10:$AH$2201,AJ$1-$J$1+2)</f>
        <v>10.917999999999999</v>
      </c>
      <c r="AK93" s="11">
        <f>VLOOKUP($H93,output!$A$10:$AH$2201,AK$1-$J$1+2)</f>
        <v>10.879</v>
      </c>
      <c r="AL93" s="11">
        <f>VLOOKUP($H93,output!$A$10:$AH$2201,AL$1-$J$1+2)</f>
        <v>0</v>
      </c>
      <c r="AM93" s="11">
        <f>VLOOKUP($H93,output!$A$10:$AH$2201,AM$1-$J$1+2)</f>
        <v>0</v>
      </c>
      <c r="AN93" s="11">
        <f>VLOOKUP($H93,output!$A$10:$AH$2201,AN$1-$J$1+2)</f>
        <v>0</v>
      </c>
      <c r="AO93" s="11">
        <f>VLOOKUP($H93,output!$A$10:$AH$2201,AO$1-$J$1+2)</f>
        <v>0</v>
      </c>
      <c r="AP93" s="11">
        <f>VLOOKUP($H93,output!$A$10:$AH$2201,AP$1-$J$1+2)</f>
        <v>0</v>
      </c>
    </row>
    <row r="94" spans="8:42" x14ac:dyDescent="0.25">
      <c r="H94" t="s">
        <v>59</v>
      </c>
      <c r="J94" s="11">
        <f>VLOOKUP($H94,output!$A$10:$AH$2201,J$1-$J$1+2)</f>
        <v>0</v>
      </c>
      <c r="K94" s="11">
        <f>VLOOKUP($H94,output!$A$10:$AH$2201,K$1-$J$1+2)</f>
        <v>7.3760000000000003</v>
      </c>
      <c r="L94" s="11">
        <f>VLOOKUP($H94,output!$A$10:$AH$2201,L$1-$J$1+2)</f>
        <v>4.1319999999999997</v>
      </c>
      <c r="M94" s="11">
        <f>VLOOKUP($H94,output!$A$10:$AH$2201,M$1-$J$1+2)</f>
        <v>6.282</v>
      </c>
      <c r="N94" s="11">
        <f>VLOOKUP($H94,output!$A$10:$AH$2201,N$1-$J$1+2)</f>
        <v>6.8289999999999997</v>
      </c>
      <c r="O94" s="11">
        <f>VLOOKUP($H94,output!$A$10:$AH$2201,O$1-$J$1+2)</f>
        <v>6.3689999999999998</v>
      </c>
      <c r="P94" s="11">
        <f>VLOOKUP($H94,output!$A$10:$AH$2201,P$1-$J$1+2)</f>
        <v>5.806</v>
      </c>
      <c r="Q94" s="11">
        <f>VLOOKUP($H94,output!$A$10:$AH$2201,Q$1-$J$1+2)</f>
        <v>7.2480000000000002</v>
      </c>
      <c r="R94" s="11">
        <f>VLOOKUP($H94,output!$A$10:$AH$2201,R$1-$J$1+2)</f>
        <v>8.5500000000000007</v>
      </c>
      <c r="S94" s="11">
        <f>VLOOKUP($H94,output!$A$10:$AH$2201,S$1-$J$1+2)</f>
        <v>8.2110000000000003</v>
      </c>
      <c r="T94" s="11">
        <f>VLOOKUP($H94,output!$A$10:$AH$2201,T$1-$J$1+2)</f>
        <v>7.6509999999999998</v>
      </c>
      <c r="U94" s="11">
        <f>VLOOKUP($H94,output!$A$10:$AH$2201,U$1-$J$1+2)</f>
        <v>7.3339999999999996</v>
      </c>
      <c r="V94" s="11">
        <f>VLOOKUP($H94,output!$A$10:$AH$2201,V$1-$J$1+2)</f>
        <v>6.7160000000000002</v>
      </c>
      <c r="W94" s="11">
        <f>VLOOKUP($H94,output!$A$10:$AH$2201,W$1-$J$1+2)</f>
        <v>6.79</v>
      </c>
      <c r="X94" s="11">
        <f>VLOOKUP($H94,output!$A$10:$AH$2201,X$1-$J$1+2)</f>
        <v>9.032</v>
      </c>
      <c r="Y94" s="11">
        <f>VLOOKUP($H94,output!$A$10:$AH$2201,Y$1-$J$1+2)</f>
        <v>8.4559999999999995</v>
      </c>
      <c r="Z94" s="11">
        <f>VLOOKUP($H94,output!$A$10:$AH$2201,Z$1-$J$1+2)</f>
        <v>8.0990000000000002</v>
      </c>
      <c r="AA94" s="11">
        <f>VLOOKUP($H94,output!$A$10:$AH$2201,AA$1-$J$1+2)</f>
        <v>12.066000000000001</v>
      </c>
      <c r="AB94" s="11">
        <f>VLOOKUP($H94,output!$A$10:$AH$2201,AB$1-$J$1+2)</f>
        <v>8.8079999999999998</v>
      </c>
      <c r="AC94" s="11">
        <f>VLOOKUP($H94,output!$A$10:$AH$2201,AC$1-$J$1+2)</f>
        <v>8.36</v>
      </c>
      <c r="AD94" s="11">
        <f>VLOOKUP($H94,output!$A$10:$AH$2201,AD$1-$J$1+2)</f>
        <v>7.3739999999999997</v>
      </c>
      <c r="AE94" s="11">
        <f>VLOOKUP($H94,output!$A$10:$AH$2201,AE$1-$J$1+2)</f>
        <v>7.3040000000000003</v>
      </c>
      <c r="AF94" s="11">
        <f>VLOOKUP($H94,output!$A$10:$AH$2201,AF$1-$J$1+2)</f>
        <v>6.9850000000000003</v>
      </c>
      <c r="AG94" s="11">
        <f>VLOOKUP($H94,output!$A$10:$AH$2201,AG$1-$J$1+2)</f>
        <v>6.6719999999999997</v>
      </c>
      <c r="AH94" s="11">
        <f>VLOOKUP($H94,output!$A$10:$AH$2201,AH$1-$J$1+2)</f>
        <v>6.3840000000000003</v>
      </c>
      <c r="AI94" s="11">
        <f>VLOOKUP($H94,output!$A$10:$AH$2201,AI$1-$J$1+2)</f>
        <v>6.1159999999999997</v>
      </c>
      <c r="AJ94" s="11">
        <f>VLOOKUP($H94,output!$A$10:$AH$2201,AJ$1-$J$1+2)</f>
        <v>5.8620000000000001</v>
      </c>
      <c r="AK94" s="11">
        <f>VLOOKUP($H94,output!$A$10:$AH$2201,AK$1-$J$1+2)</f>
        <v>5.6459999999999999</v>
      </c>
      <c r="AL94" s="11">
        <f>VLOOKUP($H94,output!$A$10:$AH$2201,AL$1-$J$1+2)</f>
        <v>0</v>
      </c>
      <c r="AM94" s="11">
        <f>VLOOKUP($H94,output!$A$10:$AH$2201,AM$1-$J$1+2)</f>
        <v>0</v>
      </c>
      <c r="AN94" s="11">
        <f>VLOOKUP($H94,output!$A$10:$AH$2201,AN$1-$J$1+2)</f>
        <v>0</v>
      </c>
      <c r="AO94" s="11">
        <f>VLOOKUP($H94,output!$A$10:$AH$2201,AO$1-$J$1+2)</f>
        <v>0</v>
      </c>
      <c r="AP94" s="11">
        <f>VLOOKUP($H94,output!$A$10:$AH$2201,AP$1-$J$1+2)</f>
        <v>0</v>
      </c>
    </row>
    <row r="95" spans="8:42" x14ac:dyDescent="0.25"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</row>
    <row r="96" spans="8:42" x14ac:dyDescent="0.25"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</row>
    <row r="97" spans="8:42" x14ac:dyDescent="0.25"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</row>
    <row r="98" spans="8:42" x14ac:dyDescent="0.25"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</row>
    <row r="99" spans="8:42" x14ac:dyDescent="0.25"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</row>
    <row r="100" spans="8:42" x14ac:dyDescent="0.25">
      <c r="H100" t="s">
        <v>60</v>
      </c>
      <c r="I100" t="s">
        <v>139</v>
      </c>
      <c r="J100" s="11">
        <f>VLOOKUP($H100,output!$A$10:$AH$2201,J$1-$J$1+2)</f>
        <v>0</v>
      </c>
      <c r="K100" s="11">
        <f>VLOOKUP($H100,output!$A$10:$AH$2201,K$1-$J$1+2)</f>
        <v>22.382999999999999</v>
      </c>
      <c r="L100" s="11">
        <f>VLOOKUP($H100,output!$A$10:$AH$2201,L$1-$J$1+2)</f>
        <v>18.137</v>
      </c>
      <c r="M100" s="11">
        <f>VLOOKUP($H100,output!$A$10:$AH$2201,M$1-$J$1+2)</f>
        <v>19.199000000000002</v>
      </c>
      <c r="N100" s="11">
        <f>VLOOKUP($H100,output!$A$10:$AH$2201,N$1-$J$1+2)</f>
        <v>20.154</v>
      </c>
      <c r="O100" s="11">
        <f>VLOOKUP($H100,output!$A$10:$AH$2201,O$1-$J$1+2)</f>
        <v>18.838000000000001</v>
      </c>
      <c r="P100" s="11">
        <f>VLOOKUP($H100,output!$A$10:$AH$2201,P$1-$J$1+2)</f>
        <v>17.324000000000002</v>
      </c>
      <c r="Q100" s="11">
        <f>VLOOKUP($H100,output!$A$10:$AH$2201,Q$1-$J$1+2)</f>
        <v>17.885999999999999</v>
      </c>
      <c r="R100" s="11">
        <f>VLOOKUP($H100,output!$A$10:$AH$2201,R$1-$J$1+2)</f>
        <v>20.459</v>
      </c>
      <c r="S100" s="11">
        <f>VLOOKUP($H100,output!$A$10:$AH$2201,S$1-$J$1+2)</f>
        <v>19.163</v>
      </c>
      <c r="T100" s="11">
        <f>VLOOKUP($H100,output!$A$10:$AH$2201,T$1-$J$1+2)</f>
        <v>18.896999999999998</v>
      </c>
      <c r="U100" s="11">
        <f>VLOOKUP($H100,output!$A$10:$AH$2201,U$1-$J$1+2)</f>
        <v>18.943999999999999</v>
      </c>
      <c r="V100" s="11">
        <f>VLOOKUP($H100,output!$A$10:$AH$2201,V$1-$J$1+2)</f>
        <v>18.638999999999999</v>
      </c>
      <c r="W100" s="11">
        <f>VLOOKUP($H100,output!$A$10:$AH$2201,W$1-$J$1+2)</f>
        <v>17.137</v>
      </c>
      <c r="X100" s="11">
        <f>VLOOKUP($H100,output!$A$10:$AH$2201,X$1-$J$1+2)</f>
        <v>19.902999999999999</v>
      </c>
      <c r="Y100" s="11">
        <f>VLOOKUP($H100,output!$A$10:$AH$2201,Y$1-$J$1+2)</f>
        <v>19.579999999999998</v>
      </c>
      <c r="Z100" s="11">
        <f>VLOOKUP($H100,output!$A$10:$AH$2201,Z$1-$J$1+2)</f>
        <v>18.219000000000001</v>
      </c>
      <c r="AA100" s="11">
        <f>VLOOKUP($H100,output!$A$10:$AH$2201,AA$1-$J$1+2)</f>
        <v>23.565999999999999</v>
      </c>
      <c r="AB100" s="11">
        <f>VLOOKUP($H100,output!$A$10:$AH$2201,AB$1-$J$1+2)</f>
        <v>19.158999999999999</v>
      </c>
      <c r="AC100" s="11">
        <f>VLOOKUP($H100,output!$A$10:$AH$2201,AC$1-$J$1+2)</f>
        <v>18.637</v>
      </c>
      <c r="AD100" s="11">
        <f>VLOOKUP($H100,output!$A$10:$AH$2201,AD$1-$J$1+2)</f>
        <v>16.905000000000001</v>
      </c>
      <c r="AE100" s="11">
        <f>VLOOKUP($H100,output!$A$10:$AH$2201,AE$1-$J$1+2)</f>
        <v>19.658000000000001</v>
      </c>
      <c r="AF100" s="11">
        <f>VLOOKUP($H100,output!$A$10:$AH$2201,AF$1-$J$1+2)</f>
        <v>17.600000000000001</v>
      </c>
      <c r="AG100" s="11">
        <f>VLOOKUP($H100,output!$A$10:$AH$2201,AG$1-$J$1+2)</f>
        <v>17.931000000000001</v>
      </c>
      <c r="AH100" s="11">
        <f>VLOOKUP($H100,output!$A$10:$AH$2201,AH$1-$J$1+2)</f>
        <v>17.331</v>
      </c>
      <c r="AI100" s="11">
        <f>VLOOKUP($H100,output!$A$10:$AH$2201,AI$1-$J$1+2)</f>
        <v>17.039000000000001</v>
      </c>
      <c r="AJ100" s="11">
        <f>VLOOKUP($H100,output!$A$10:$AH$2201,AJ$1-$J$1+2)</f>
        <v>16.78</v>
      </c>
      <c r="AK100" s="11">
        <f>VLOOKUP($H100,output!$A$10:$AH$2201,AK$1-$J$1+2)</f>
        <v>16.524999999999999</v>
      </c>
      <c r="AL100" s="11">
        <f>VLOOKUP($H100,output!$A$10:$AH$2201,AL$1-$J$1+2)</f>
        <v>0</v>
      </c>
      <c r="AM100" s="11">
        <f>VLOOKUP($H100,output!$A$10:$AH$2201,AM$1-$J$1+2)</f>
        <v>0</v>
      </c>
      <c r="AN100" s="11">
        <f>VLOOKUP($H100,output!$A$10:$AH$2201,AN$1-$J$1+2)</f>
        <v>0</v>
      </c>
      <c r="AO100" s="11">
        <f>VLOOKUP($H100,output!$A$10:$AH$2201,AO$1-$J$1+2)</f>
        <v>0</v>
      </c>
      <c r="AP100" s="11">
        <f>VLOOKUP($H100,output!$A$10:$AH$2201,AP$1-$J$1+2)</f>
        <v>0</v>
      </c>
    </row>
    <row r="101" spans="8:42" x14ac:dyDescent="0.25">
      <c r="H101" t="s">
        <v>61</v>
      </c>
      <c r="J101" s="11">
        <f>VLOOKUP($H101,output!$A$10:$AH$2201,J$1-$J$1+2)</f>
        <v>0</v>
      </c>
      <c r="K101" s="11">
        <f>VLOOKUP($H101,output!$A$10:$AH$2201,K$1-$J$1+2)</f>
        <v>5.1879999999999997</v>
      </c>
      <c r="L101" s="11">
        <f>VLOOKUP($H101,output!$A$10:$AH$2201,L$1-$J$1+2)</f>
        <v>6.1059999999999999</v>
      </c>
      <c r="M101" s="11">
        <f>VLOOKUP($H101,output!$A$10:$AH$2201,M$1-$J$1+2)</f>
        <v>5.907</v>
      </c>
      <c r="N101" s="11">
        <f>VLOOKUP($H101,output!$A$10:$AH$2201,N$1-$J$1+2)</f>
        <v>6.2080000000000002</v>
      </c>
      <c r="O101" s="11">
        <f>VLOOKUP($H101,output!$A$10:$AH$2201,O$1-$J$1+2)</f>
        <v>5.7569999999999997</v>
      </c>
      <c r="P101" s="11">
        <f>VLOOKUP($H101,output!$A$10:$AH$2201,P$1-$J$1+2)</f>
        <v>5.282</v>
      </c>
      <c r="Q101" s="11">
        <f>VLOOKUP($H101,output!$A$10:$AH$2201,Q$1-$J$1+2)</f>
        <v>5.3029999999999999</v>
      </c>
      <c r="R101" s="11">
        <f>VLOOKUP($H101,output!$A$10:$AH$2201,R$1-$J$1+2)</f>
        <v>5.8</v>
      </c>
      <c r="S101" s="11">
        <f>VLOOKUP($H101,output!$A$10:$AH$2201,S$1-$J$1+2)</f>
        <v>5.3819999999999997</v>
      </c>
      <c r="T101" s="11">
        <f>VLOOKUP($H101,output!$A$10:$AH$2201,T$1-$J$1+2)</f>
        <v>5.3920000000000003</v>
      </c>
      <c r="U101" s="11">
        <f>VLOOKUP($H101,output!$A$10:$AH$2201,U$1-$J$1+2)</f>
        <v>5.4409999999999998</v>
      </c>
      <c r="V101" s="11">
        <f>VLOOKUP($H101,output!$A$10:$AH$2201,V$1-$J$1+2)</f>
        <v>5.4660000000000002</v>
      </c>
      <c r="W101" s="11">
        <f>VLOOKUP($H101,output!$A$10:$AH$2201,W$1-$J$1+2)</f>
        <v>4.8090000000000002</v>
      </c>
      <c r="X101" s="11">
        <f>VLOOKUP($H101,output!$A$10:$AH$2201,X$1-$J$1+2)</f>
        <v>5.0250000000000004</v>
      </c>
      <c r="Y101" s="11">
        <f>VLOOKUP($H101,output!$A$10:$AH$2201,Y$1-$J$1+2)</f>
        <v>5.0739999999999998</v>
      </c>
      <c r="Z101" s="11">
        <f>VLOOKUP($H101,output!$A$10:$AH$2201,Z$1-$J$1+2)</f>
        <v>4.625</v>
      </c>
      <c r="AA101" s="11">
        <f>VLOOKUP($H101,output!$A$10:$AH$2201,AA$1-$J$1+2)</f>
        <v>5.62</v>
      </c>
      <c r="AB101" s="11">
        <f>VLOOKUP($H101,output!$A$10:$AH$2201,AB$1-$J$1+2)</f>
        <v>4.7009999999999996</v>
      </c>
      <c r="AC101" s="11">
        <f>VLOOKUP($H101,output!$A$10:$AH$2201,AC$1-$J$1+2)</f>
        <v>4.641</v>
      </c>
      <c r="AD101" s="11">
        <f>VLOOKUP($H101,output!$A$10:$AH$2201,AD$1-$J$1+2)</f>
        <v>4.2949999999999999</v>
      </c>
      <c r="AE101" s="11">
        <f>VLOOKUP($H101,output!$A$10:$AH$2201,AE$1-$J$1+2)</f>
        <v>5.4589999999999996</v>
      </c>
      <c r="AF101" s="11">
        <f>VLOOKUP($H101,output!$A$10:$AH$2201,AF$1-$J$1+2)</f>
        <v>4.71</v>
      </c>
      <c r="AG101" s="11">
        <f>VLOOKUP($H101,output!$A$10:$AH$2201,AG$1-$J$1+2)</f>
        <v>4.9450000000000003</v>
      </c>
      <c r="AH101" s="11">
        <f>VLOOKUP($H101,output!$A$10:$AH$2201,AH$1-$J$1+2)</f>
        <v>4.8109999999999999</v>
      </c>
      <c r="AI101" s="11">
        <f>VLOOKUP($H101,output!$A$10:$AH$2201,AI$1-$J$1+2)</f>
        <v>4.7809999999999997</v>
      </c>
      <c r="AJ101" s="11">
        <f>VLOOKUP($H101,output!$A$10:$AH$2201,AJ$1-$J$1+2)</f>
        <v>4.7590000000000003</v>
      </c>
      <c r="AK101" s="11">
        <f>VLOOKUP($H101,output!$A$10:$AH$2201,AK$1-$J$1+2)</f>
        <v>4.7229999999999999</v>
      </c>
      <c r="AL101" s="11">
        <f>VLOOKUP($H101,output!$A$10:$AH$2201,AL$1-$J$1+2)</f>
        <v>0</v>
      </c>
      <c r="AM101" s="11">
        <f>VLOOKUP($H101,output!$A$10:$AH$2201,AM$1-$J$1+2)</f>
        <v>0</v>
      </c>
      <c r="AN101" s="11">
        <f>VLOOKUP($H101,output!$A$10:$AH$2201,AN$1-$J$1+2)</f>
        <v>0</v>
      </c>
      <c r="AO101" s="11">
        <f>VLOOKUP($H101,output!$A$10:$AH$2201,AO$1-$J$1+2)</f>
        <v>0</v>
      </c>
      <c r="AP101" s="11">
        <f>VLOOKUP($H101,output!$A$10:$AH$2201,AP$1-$J$1+2)</f>
        <v>0</v>
      </c>
    </row>
    <row r="102" spans="8:42" x14ac:dyDescent="0.25">
      <c r="H102" t="s">
        <v>62</v>
      </c>
      <c r="J102" s="11">
        <f>VLOOKUP($H102,output!$A$10:$AH$2201,J$1-$J$1+2)</f>
        <v>0</v>
      </c>
      <c r="K102" s="11">
        <f>VLOOKUP($H102,output!$A$10:$AH$2201,K$1-$J$1+2)</f>
        <v>5.71</v>
      </c>
      <c r="L102" s="11">
        <f>VLOOKUP($H102,output!$A$10:$AH$2201,L$1-$J$1+2)</f>
        <v>6.2889999999999997</v>
      </c>
      <c r="M102" s="11">
        <f>VLOOKUP($H102,output!$A$10:$AH$2201,M$1-$J$1+2)</f>
        <v>7.9489999999999998</v>
      </c>
      <c r="N102" s="11">
        <f>VLOOKUP($H102,output!$A$10:$AH$2201,N$1-$J$1+2)</f>
        <v>8.49</v>
      </c>
      <c r="O102" s="11">
        <f>VLOOKUP($H102,output!$A$10:$AH$2201,O$1-$J$1+2)</f>
        <v>8.0649999999999995</v>
      </c>
      <c r="P102" s="11">
        <f>VLOOKUP($H102,output!$A$10:$AH$2201,P$1-$J$1+2)</f>
        <v>7.52</v>
      </c>
      <c r="Q102" s="11">
        <f>VLOOKUP($H102,output!$A$10:$AH$2201,Q$1-$J$1+2)</f>
        <v>8.5389999999999997</v>
      </c>
      <c r="R102" s="11">
        <f>VLOOKUP($H102,output!$A$10:$AH$2201,R$1-$J$1+2)</f>
        <v>9.9339999999999993</v>
      </c>
      <c r="S102" s="11">
        <f>VLOOKUP($H102,output!$A$10:$AH$2201,S$1-$J$1+2)</f>
        <v>9.5150000000000006</v>
      </c>
      <c r="T102" s="11">
        <f>VLOOKUP($H102,output!$A$10:$AH$2201,T$1-$J$1+2)</f>
        <v>9.0960000000000001</v>
      </c>
      <c r="U102" s="11">
        <f>VLOOKUP($H102,output!$A$10:$AH$2201,U$1-$J$1+2)</f>
        <v>8.91</v>
      </c>
      <c r="V102" s="11">
        <f>VLOOKUP($H102,output!$A$10:$AH$2201,V$1-$J$1+2)</f>
        <v>8.4359999999999999</v>
      </c>
      <c r="W102" s="11">
        <f>VLOOKUP($H102,output!$A$10:$AH$2201,W$1-$J$1+2)</f>
        <v>8.1920000000000002</v>
      </c>
      <c r="X102" s="11">
        <f>VLOOKUP($H102,output!$A$10:$AH$2201,X$1-$J$1+2)</f>
        <v>10.458</v>
      </c>
      <c r="Y102" s="11">
        <f>VLOOKUP($H102,output!$A$10:$AH$2201,Y$1-$J$1+2)</f>
        <v>9.984</v>
      </c>
      <c r="Z102" s="11">
        <f>VLOOKUP($H102,output!$A$10:$AH$2201,Z$1-$J$1+2)</f>
        <v>9.548</v>
      </c>
      <c r="AA102" s="11">
        <f>VLOOKUP($H102,output!$A$10:$AH$2201,AA$1-$J$1+2)</f>
        <v>12.964</v>
      </c>
      <c r="AB102" s="11">
        <f>VLOOKUP($H102,output!$A$10:$AH$2201,AB$1-$J$1+2)</f>
        <v>10.304</v>
      </c>
      <c r="AC102" s="11">
        <f>VLOOKUP($H102,output!$A$10:$AH$2201,AC$1-$J$1+2)</f>
        <v>9.8859999999999992</v>
      </c>
      <c r="AD102" s="11">
        <f>VLOOKUP($H102,output!$A$10:$AH$2201,AD$1-$J$1+2)</f>
        <v>8.8770000000000007</v>
      </c>
      <c r="AE102" s="11">
        <f>VLOOKUP($H102,output!$A$10:$AH$2201,AE$1-$J$1+2)</f>
        <v>9.3740000000000006</v>
      </c>
      <c r="AF102" s="11">
        <f>VLOOKUP($H102,output!$A$10:$AH$2201,AF$1-$J$1+2)</f>
        <v>8.6790000000000003</v>
      </c>
      <c r="AG102" s="11">
        <f>VLOOKUP($H102,output!$A$10:$AH$2201,AG$1-$J$1+2)</f>
        <v>8.4320000000000004</v>
      </c>
      <c r="AH102" s="11">
        <f>VLOOKUP($H102,output!$A$10:$AH$2201,AH$1-$J$1+2)</f>
        <v>8.1430000000000007</v>
      </c>
      <c r="AI102" s="11">
        <f>VLOOKUP($H102,output!$A$10:$AH$2201,AI$1-$J$1+2)</f>
        <v>7.8550000000000004</v>
      </c>
      <c r="AJ102" s="11">
        <f>VLOOKUP($H102,output!$A$10:$AH$2201,AJ$1-$J$1+2)</f>
        <v>7.5780000000000003</v>
      </c>
      <c r="AK102" s="11">
        <f>VLOOKUP($H102,output!$A$10:$AH$2201,AK$1-$J$1+2)</f>
        <v>7.3339999999999996</v>
      </c>
      <c r="AL102" s="11">
        <f>VLOOKUP($H102,output!$A$10:$AH$2201,AL$1-$J$1+2)</f>
        <v>0</v>
      </c>
      <c r="AM102" s="11">
        <f>VLOOKUP($H102,output!$A$10:$AH$2201,AM$1-$J$1+2)</f>
        <v>0</v>
      </c>
      <c r="AN102" s="11">
        <f>VLOOKUP($H102,output!$A$10:$AH$2201,AN$1-$J$1+2)</f>
        <v>0</v>
      </c>
      <c r="AO102" s="11">
        <f>VLOOKUP($H102,output!$A$10:$AH$2201,AO$1-$J$1+2)</f>
        <v>0</v>
      </c>
      <c r="AP102" s="11">
        <f>VLOOKUP($H102,output!$A$10:$AH$2201,AP$1-$J$1+2)</f>
        <v>0</v>
      </c>
    </row>
    <row r="103" spans="8:42" x14ac:dyDescent="0.25">
      <c r="H103" t="s">
        <v>135</v>
      </c>
      <c r="I103" t="s">
        <v>135</v>
      </c>
      <c r="J103" s="11">
        <f t="shared" ref="J103:AP103" si="72">SUM(J141:J144)</f>
        <v>0</v>
      </c>
      <c r="K103" s="11">
        <f t="shared" si="72"/>
        <v>0</v>
      </c>
      <c r="L103" s="11">
        <f t="shared" si="72"/>
        <v>0</v>
      </c>
      <c r="M103" s="11">
        <f t="shared" si="72"/>
        <v>5.2</v>
      </c>
      <c r="N103" s="11">
        <f t="shared" si="72"/>
        <v>4.25</v>
      </c>
      <c r="O103" s="11">
        <f t="shared" si="72"/>
        <v>3.3968000000000003</v>
      </c>
      <c r="P103" s="11">
        <f t="shared" si="72"/>
        <v>0.29940000000000005</v>
      </c>
      <c r="Q103" s="11">
        <f t="shared" si="72"/>
        <v>0.38879999999999976</v>
      </c>
      <c r="R103" s="11">
        <f t="shared" si="72"/>
        <v>0.23820000000000013</v>
      </c>
      <c r="S103" s="11">
        <f t="shared" si="72"/>
        <v>0.34319999999999978</v>
      </c>
      <c r="T103" s="11">
        <f t="shared" si="72"/>
        <v>0.30360000000000015</v>
      </c>
      <c r="U103" s="11">
        <f t="shared" si="72"/>
        <v>0.25499999999999989</v>
      </c>
      <c r="V103" s="11">
        <f t="shared" si="72"/>
        <v>0.21300000000000024</v>
      </c>
      <c r="W103" s="11">
        <f t="shared" si="72"/>
        <v>0.1758000000000001</v>
      </c>
      <c r="X103" s="11">
        <f t="shared" si="72"/>
        <v>0.11579999999999975</v>
      </c>
      <c r="Y103" s="11">
        <f t="shared" si="72"/>
        <v>8.579999999999989E-2</v>
      </c>
      <c r="Z103" s="11">
        <f t="shared" si="72"/>
        <v>5.5200000000000318E-2</v>
      </c>
      <c r="AA103" s="11">
        <f t="shared" si="72"/>
        <v>5.9999999999966742E-4</v>
      </c>
      <c r="AB103" s="11">
        <f t="shared" si="72"/>
        <v>1.8600000000000349E-2</v>
      </c>
      <c r="AC103" s="11">
        <f t="shared" si="72"/>
        <v>1.7999999999999617E-2</v>
      </c>
      <c r="AD103" s="11">
        <f t="shared" si="72"/>
        <v>1.8000000000000148E-2</v>
      </c>
      <c r="AE103" s="11">
        <f t="shared" si="72"/>
        <v>1.739999999999995E-2</v>
      </c>
      <c r="AF103" s="11">
        <f t="shared" si="72"/>
        <v>1.739999999999995E-2</v>
      </c>
      <c r="AG103" s="11">
        <f t="shared" si="72"/>
        <v>1.680000000000028E-2</v>
      </c>
      <c r="AH103" s="11">
        <f t="shared" si="72"/>
        <v>1.6799999999999749E-2</v>
      </c>
      <c r="AI103" s="11">
        <f t="shared" si="72"/>
        <v>1.680000000000028E-2</v>
      </c>
      <c r="AJ103" s="11">
        <f t="shared" si="72"/>
        <v>1.6200000000000082E-2</v>
      </c>
      <c r="AK103" s="11">
        <f t="shared" si="72"/>
        <v>1.499999999999968E-2</v>
      </c>
      <c r="AL103" s="11">
        <f t="shared" si="72"/>
        <v>-4.0703999999999994</v>
      </c>
      <c r="AM103" s="11">
        <f t="shared" si="72"/>
        <v>0</v>
      </c>
      <c r="AN103" s="11">
        <f t="shared" si="72"/>
        <v>0</v>
      </c>
      <c r="AO103" s="11">
        <f t="shared" si="72"/>
        <v>0</v>
      </c>
      <c r="AP103" s="11">
        <f t="shared" si="72"/>
        <v>0</v>
      </c>
    </row>
    <row r="104" spans="8:42" x14ac:dyDescent="0.25">
      <c r="I104" t="s">
        <v>145</v>
      </c>
      <c r="J104" s="11"/>
      <c r="K104" s="12"/>
      <c r="L104" s="12"/>
      <c r="M104" s="12">
        <f t="shared" ref="M104:V104" si="73">M103/M100</f>
        <v>0.27084743997083183</v>
      </c>
      <c r="N104" s="12">
        <f t="shared" si="73"/>
        <v>0.21087625285303166</v>
      </c>
      <c r="O104" s="12">
        <f t="shared" si="73"/>
        <v>0.18031638178150547</v>
      </c>
      <c r="P104" s="12">
        <f t="shared" si="73"/>
        <v>1.7282382821519282E-2</v>
      </c>
      <c r="Q104" s="12">
        <f t="shared" si="73"/>
        <v>2.1737671922173754E-2</v>
      </c>
      <c r="R104" s="12">
        <f t="shared" si="73"/>
        <v>1.1642797790703365E-2</v>
      </c>
      <c r="S104" s="12">
        <f t="shared" si="73"/>
        <v>1.7909513124249845E-2</v>
      </c>
      <c r="T104" s="12">
        <f t="shared" si="73"/>
        <v>1.6066042228925236E-2</v>
      </c>
      <c r="U104" s="12">
        <f t="shared" si="73"/>
        <v>1.3460726351351347E-2</v>
      </c>
      <c r="V104" s="12">
        <f t="shared" si="73"/>
        <v>1.1427651698052484E-2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</row>
    <row r="105" spans="8:42" x14ac:dyDescent="0.25">
      <c r="I105" t="s">
        <v>146</v>
      </c>
      <c r="J105" s="11"/>
      <c r="K105" s="11"/>
      <c r="L105" s="11"/>
      <c r="M105" s="11">
        <f t="shared" ref="M105:V105" si="74">1-M104</f>
        <v>0.72915256002916817</v>
      </c>
      <c r="N105" s="11">
        <f t="shared" si="74"/>
        <v>0.78912374714696831</v>
      </c>
      <c r="O105" s="11">
        <f t="shared" si="74"/>
        <v>0.81968361821849456</v>
      </c>
      <c r="P105" s="11">
        <f t="shared" si="74"/>
        <v>0.98271761717848072</v>
      </c>
      <c r="Q105" s="11">
        <f t="shared" si="74"/>
        <v>0.9782623280778262</v>
      </c>
      <c r="R105" s="11">
        <f t="shared" si="74"/>
        <v>0.98835720220929668</v>
      </c>
      <c r="S105" s="11">
        <f t="shared" si="74"/>
        <v>0.98209048687575018</v>
      </c>
      <c r="T105" s="11">
        <f t="shared" si="74"/>
        <v>0.98393395777107473</v>
      </c>
      <c r="U105" s="11">
        <f t="shared" si="74"/>
        <v>0.98653927364864868</v>
      </c>
      <c r="V105" s="11">
        <f t="shared" si="74"/>
        <v>0.98857234830194751</v>
      </c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</row>
    <row r="106" spans="8:42" x14ac:dyDescent="0.25"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</row>
    <row r="107" spans="8:42" x14ac:dyDescent="0.25">
      <c r="H107" t="s">
        <v>147</v>
      </c>
      <c r="I107" t="s">
        <v>139</v>
      </c>
      <c r="J107" s="11"/>
      <c r="K107" s="11"/>
      <c r="L107" s="11"/>
      <c r="M107" s="11">
        <v>15</v>
      </c>
      <c r="N107" s="11">
        <v>17</v>
      </c>
      <c r="O107" s="11">
        <v>19</v>
      </c>
      <c r="P107" s="11">
        <f t="shared" ref="P107:V107" si="75">P100</f>
        <v>17.324000000000002</v>
      </c>
      <c r="Q107" s="11">
        <f t="shared" si="75"/>
        <v>17.885999999999999</v>
      </c>
      <c r="R107" s="11">
        <f t="shared" si="75"/>
        <v>20.459</v>
      </c>
      <c r="S107" s="11">
        <f t="shared" si="75"/>
        <v>19.163</v>
      </c>
      <c r="T107" s="11">
        <f t="shared" si="75"/>
        <v>18.896999999999998</v>
      </c>
      <c r="U107" s="11">
        <f t="shared" si="75"/>
        <v>18.943999999999999</v>
      </c>
      <c r="V107" s="11">
        <f t="shared" si="75"/>
        <v>18.638999999999999</v>
      </c>
      <c r="W107" s="11">
        <f t="shared" ref="W107:AP107" si="76">W100</f>
        <v>17.137</v>
      </c>
      <c r="X107" s="11">
        <f t="shared" si="76"/>
        <v>19.902999999999999</v>
      </c>
      <c r="Y107" s="11">
        <f t="shared" si="76"/>
        <v>19.579999999999998</v>
      </c>
      <c r="Z107" s="11">
        <f t="shared" si="76"/>
        <v>18.219000000000001</v>
      </c>
      <c r="AA107" s="11">
        <f t="shared" si="76"/>
        <v>23.565999999999999</v>
      </c>
      <c r="AB107" s="11">
        <f t="shared" si="76"/>
        <v>19.158999999999999</v>
      </c>
      <c r="AC107" s="11">
        <f t="shared" si="76"/>
        <v>18.637</v>
      </c>
      <c r="AD107" s="11">
        <f t="shared" si="76"/>
        <v>16.905000000000001</v>
      </c>
      <c r="AE107" s="11">
        <f t="shared" si="76"/>
        <v>19.658000000000001</v>
      </c>
      <c r="AF107" s="11">
        <f t="shared" si="76"/>
        <v>17.600000000000001</v>
      </c>
      <c r="AG107" s="11">
        <f t="shared" si="76"/>
        <v>17.931000000000001</v>
      </c>
      <c r="AH107" s="11">
        <f t="shared" si="76"/>
        <v>17.331</v>
      </c>
      <c r="AI107" s="11">
        <f t="shared" si="76"/>
        <v>17.039000000000001</v>
      </c>
      <c r="AJ107" s="11">
        <f t="shared" si="76"/>
        <v>16.78</v>
      </c>
      <c r="AK107" s="11">
        <f t="shared" si="76"/>
        <v>16.524999999999999</v>
      </c>
      <c r="AL107" s="11">
        <f t="shared" si="76"/>
        <v>0</v>
      </c>
      <c r="AM107" s="11">
        <f t="shared" si="76"/>
        <v>0</v>
      </c>
      <c r="AN107" s="11">
        <f t="shared" si="76"/>
        <v>0</v>
      </c>
      <c r="AO107" s="11">
        <f t="shared" si="76"/>
        <v>0</v>
      </c>
      <c r="AP107" s="11">
        <f t="shared" si="76"/>
        <v>0</v>
      </c>
    </row>
    <row r="108" spans="8:42" x14ac:dyDescent="0.25">
      <c r="I108" t="s">
        <v>135</v>
      </c>
      <c r="J108" s="11"/>
      <c r="K108" s="11"/>
      <c r="L108" s="11"/>
      <c r="M108" s="11">
        <v>4.8</v>
      </c>
      <c r="N108" s="11">
        <v>5.5</v>
      </c>
      <c r="O108" s="11">
        <v>6</v>
      </c>
      <c r="P108" s="11">
        <f t="shared" ref="P108:V108" si="77">P103</f>
        <v>0.29940000000000005</v>
      </c>
      <c r="Q108" s="11">
        <f t="shared" si="77"/>
        <v>0.38879999999999976</v>
      </c>
      <c r="R108" s="11">
        <f t="shared" si="77"/>
        <v>0.23820000000000013</v>
      </c>
      <c r="S108" s="11">
        <f t="shared" si="77"/>
        <v>0.34319999999999978</v>
      </c>
      <c r="T108" s="11">
        <f t="shared" si="77"/>
        <v>0.30360000000000015</v>
      </c>
      <c r="U108" s="11">
        <f t="shared" si="77"/>
        <v>0.25499999999999989</v>
      </c>
      <c r="V108" s="11">
        <f t="shared" si="77"/>
        <v>0.21300000000000024</v>
      </c>
      <c r="W108" s="11">
        <f t="shared" ref="W108:AP108" si="78">W103</f>
        <v>0.1758000000000001</v>
      </c>
      <c r="X108" s="11">
        <f t="shared" si="78"/>
        <v>0.11579999999999975</v>
      </c>
      <c r="Y108" s="11">
        <f t="shared" si="78"/>
        <v>8.579999999999989E-2</v>
      </c>
      <c r="Z108" s="11">
        <f t="shared" si="78"/>
        <v>5.5200000000000318E-2</v>
      </c>
      <c r="AA108" s="11">
        <f t="shared" si="78"/>
        <v>5.9999999999966742E-4</v>
      </c>
      <c r="AB108" s="11">
        <f t="shared" si="78"/>
        <v>1.8600000000000349E-2</v>
      </c>
      <c r="AC108" s="11">
        <f t="shared" si="78"/>
        <v>1.7999999999999617E-2</v>
      </c>
      <c r="AD108" s="11">
        <f t="shared" si="78"/>
        <v>1.8000000000000148E-2</v>
      </c>
      <c r="AE108" s="11">
        <f t="shared" si="78"/>
        <v>1.739999999999995E-2</v>
      </c>
      <c r="AF108" s="11">
        <f t="shared" si="78"/>
        <v>1.739999999999995E-2</v>
      </c>
      <c r="AG108" s="11">
        <f t="shared" si="78"/>
        <v>1.680000000000028E-2</v>
      </c>
      <c r="AH108" s="11">
        <f t="shared" si="78"/>
        <v>1.6799999999999749E-2</v>
      </c>
      <c r="AI108" s="11">
        <f t="shared" si="78"/>
        <v>1.680000000000028E-2</v>
      </c>
      <c r="AJ108" s="11">
        <f t="shared" si="78"/>
        <v>1.6200000000000082E-2</v>
      </c>
      <c r="AK108" s="11">
        <f t="shared" si="78"/>
        <v>1.499999999999968E-2</v>
      </c>
      <c r="AL108" s="11">
        <f t="shared" si="78"/>
        <v>-4.0703999999999994</v>
      </c>
      <c r="AM108" s="11">
        <f t="shared" si="78"/>
        <v>0</v>
      </c>
      <c r="AN108" s="11">
        <f t="shared" si="78"/>
        <v>0</v>
      </c>
      <c r="AO108" s="11">
        <f t="shared" si="78"/>
        <v>0</v>
      </c>
      <c r="AP108" s="11">
        <f t="shared" si="78"/>
        <v>0</v>
      </c>
    </row>
    <row r="109" spans="8:42" x14ac:dyDescent="0.25">
      <c r="J109" s="11"/>
      <c r="K109" s="11"/>
      <c r="L109" s="11"/>
      <c r="M109" s="12">
        <f>M108/M107</f>
        <v>0.32</v>
      </c>
      <c r="N109" s="12">
        <f t="shared" ref="N109:AP109" si="79">N108/N107</f>
        <v>0.3235294117647059</v>
      </c>
      <c r="O109" s="12">
        <f t="shared" si="79"/>
        <v>0.31578947368421051</v>
      </c>
      <c r="P109" s="12">
        <f t="shared" si="79"/>
        <v>1.7282382821519282E-2</v>
      </c>
      <c r="Q109" s="12">
        <f t="shared" si="79"/>
        <v>2.1737671922173754E-2</v>
      </c>
      <c r="R109" s="12">
        <f t="shared" si="79"/>
        <v>1.1642797790703365E-2</v>
      </c>
      <c r="S109" s="12">
        <f t="shared" si="79"/>
        <v>1.7909513124249845E-2</v>
      </c>
      <c r="T109" s="12">
        <f t="shared" si="79"/>
        <v>1.6066042228925236E-2</v>
      </c>
      <c r="U109" s="12">
        <f t="shared" si="79"/>
        <v>1.3460726351351347E-2</v>
      </c>
      <c r="V109" s="12">
        <f t="shared" si="79"/>
        <v>1.1427651698052484E-2</v>
      </c>
      <c r="W109" s="12">
        <f t="shared" si="79"/>
        <v>1.025850498920465E-2</v>
      </c>
      <c r="X109" s="12">
        <f t="shared" si="79"/>
        <v>5.8182183590413383E-3</v>
      </c>
      <c r="Y109" s="12">
        <f t="shared" si="79"/>
        <v>4.3820224719101075E-3</v>
      </c>
      <c r="Z109" s="12">
        <f t="shared" si="79"/>
        <v>3.0298040507163023E-3</v>
      </c>
      <c r="AA109" s="12">
        <f t="shared" si="79"/>
        <v>2.5460409063891515E-5</v>
      </c>
      <c r="AB109" s="12">
        <f t="shared" si="79"/>
        <v>9.7082311185345532E-4</v>
      </c>
      <c r="AC109" s="12">
        <f t="shared" si="79"/>
        <v>9.6582067929385721E-4</v>
      </c>
      <c r="AD109" s="12">
        <f t="shared" si="79"/>
        <v>1.0647737355811977E-3</v>
      </c>
      <c r="AE109" s="12">
        <f t="shared" si="79"/>
        <v>8.8513582256587392E-4</v>
      </c>
      <c r="AF109" s="12">
        <f t="shared" si="79"/>
        <v>9.8863636363636081E-4</v>
      </c>
      <c r="AG109" s="12">
        <f t="shared" si="79"/>
        <v>9.3692487870170537E-4</v>
      </c>
      <c r="AH109" s="12">
        <f t="shared" si="79"/>
        <v>9.6936126016962376E-4</v>
      </c>
      <c r="AI109" s="12">
        <f t="shared" si="79"/>
        <v>9.8597335524386862E-4</v>
      </c>
      <c r="AJ109" s="12">
        <f t="shared" si="79"/>
        <v>9.6543504171633379E-4</v>
      </c>
      <c r="AK109" s="12">
        <f t="shared" si="79"/>
        <v>9.0771558245081275E-4</v>
      </c>
      <c r="AL109" s="12" t="e">
        <f t="shared" si="79"/>
        <v>#DIV/0!</v>
      </c>
      <c r="AM109" s="12" t="e">
        <f t="shared" si="79"/>
        <v>#DIV/0!</v>
      </c>
      <c r="AN109" s="12" t="e">
        <f t="shared" si="79"/>
        <v>#DIV/0!</v>
      </c>
      <c r="AO109" s="12" t="e">
        <f t="shared" si="79"/>
        <v>#DIV/0!</v>
      </c>
      <c r="AP109" s="12" t="e">
        <f t="shared" si="79"/>
        <v>#DIV/0!</v>
      </c>
    </row>
    <row r="110" spans="8:42" x14ac:dyDescent="0.25"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</row>
    <row r="111" spans="8:42" x14ac:dyDescent="0.25">
      <c r="H111" t="s">
        <v>63</v>
      </c>
      <c r="J111" s="11">
        <f>VLOOKUP($H111,output!$A$10:$AH$2201,J$1-$J$1+2)</f>
        <v>0</v>
      </c>
      <c r="K111" s="11">
        <f>VLOOKUP($H111,output!$A$10:$AH$2201,K$1-$J$1+2)</f>
        <v>2.6230000000000002</v>
      </c>
      <c r="L111" s="11">
        <f>VLOOKUP($H111,output!$A$10:$AH$2201,L$1-$J$1+2)</f>
        <v>1.589</v>
      </c>
      <c r="M111" s="11">
        <f>VLOOKUP($H111,output!$A$10:$AH$2201,M$1-$J$1+2)</f>
        <v>2.347</v>
      </c>
      <c r="N111" s="11">
        <f>VLOOKUP($H111,output!$A$10:$AH$2201,N$1-$J$1+2)</f>
        <v>2.5430000000000001</v>
      </c>
      <c r="O111" s="11">
        <f>VLOOKUP($H111,output!$A$10:$AH$2201,O$1-$J$1+2)</f>
        <v>2.4590000000000001</v>
      </c>
      <c r="P111" s="11">
        <f>VLOOKUP($H111,output!$A$10:$AH$2201,P$1-$J$1+2)</f>
        <v>2.3010000000000002</v>
      </c>
      <c r="Q111" s="11">
        <f>VLOOKUP($H111,output!$A$10:$AH$2201,Q$1-$J$1+2)</f>
        <v>2.6640000000000001</v>
      </c>
      <c r="R111" s="11">
        <f>VLOOKUP($H111,output!$A$10:$AH$2201,R$1-$J$1+2)</f>
        <v>3.3149999999999999</v>
      </c>
      <c r="S111" s="11">
        <f>VLOOKUP($H111,output!$A$10:$AH$2201,S$1-$J$1+2)</f>
        <v>3.1659999999999999</v>
      </c>
      <c r="T111" s="11">
        <f>VLOOKUP($H111,output!$A$10:$AH$2201,T$1-$J$1+2)</f>
        <v>2.99</v>
      </c>
      <c r="U111" s="11">
        <f>VLOOKUP($H111,output!$A$10:$AH$2201,U$1-$J$1+2)</f>
        <v>2.93</v>
      </c>
      <c r="V111" s="11">
        <f>VLOOKUP($H111,output!$A$10:$AH$2201,V$1-$J$1+2)</f>
        <v>2.7410000000000001</v>
      </c>
      <c r="W111" s="11">
        <f>VLOOKUP($H111,output!$A$10:$AH$2201,W$1-$J$1+2)</f>
        <v>2.7730000000000001</v>
      </c>
      <c r="X111" s="11">
        <f>VLOOKUP($H111,output!$A$10:$AH$2201,X$1-$J$1+2)</f>
        <v>3.8029999999999999</v>
      </c>
      <c r="Y111" s="11">
        <f>VLOOKUP($H111,output!$A$10:$AH$2201,Y$1-$J$1+2)</f>
        <v>3.5859999999999999</v>
      </c>
      <c r="Z111" s="11">
        <f>VLOOKUP($H111,output!$A$10:$AH$2201,Z$1-$J$1+2)</f>
        <v>3.4790000000000001</v>
      </c>
      <c r="AA111" s="11">
        <f>VLOOKUP($H111,output!$A$10:$AH$2201,AA$1-$J$1+2)</f>
        <v>4.8040000000000003</v>
      </c>
      <c r="AB111" s="11">
        <f>VLOOKUP($H111,output!$A$10:$AH$2201,AB$1-$J$1+2)</f>
        <v>3.7469999999999999</v>
      </c>
      <c r="AC111" s="11">
        <f>VLOOKUP($H111,output!$A$10:$AH$2201,AC$1-$J$1+2)</f>
        <v>3.5739999999999998</v>
      </c>
      <c r="AD111" s="11">
        <f>VLOOKUP($H111,output!$A$10:$AH$2201,AD$1-$J$1+2)</f>
        <v>3.173</v>
      </c>
      <c r="AE111" s="11">
        <f>VLOOKUP($H111,output!$A$10:$AH$2201,AE$1-$J$1+2)</f>
        <v>3.1640000000000001</v>
      </c>
      <c r="AF111" s="11">
        <f>VLOOKUP($H111,output!$A$10:$AH$2201,AF$1-$J$1+2)</f>
        <v>3.0179999999999998</v>
      </c>
      <c r="AG111" s="11">
        <f>VLOOKUP($H111,output!$A$10:$AH$2201,AG$1-$J$1+2)</f>
        <v>2.879</v>
      </c>
      <c r="AH111" s="11">
        <f>VLOOKUP($H111,output!$A$10:$AH$2201,AH$1-$J$1+2)</f>
        <v>2.7490000000000001</v>
      </c>
      <c r="AI111" s="11">
        <f>VLOOKUP($H111,output!$A$10:$AH$2201,AI$1-$J$1+2)</f>
        <v>2.629</v>
      </c>
      <c r="AJ111" s="11">
        <f>VLOOKUP($H111,output!$A$10:$AH$2201,AJ$1-$J$1+2)</f>
        <v>2.516</v>
      </c>
      <c r="AK111" s="11">
        <f>VLOOKUP($H111,output!$A$10:$AH$2201,AK$1-$J$1+2)</f>
        <v>2.415</v>
      </c>
      <c r="AL111" s="11">
        <f>VLOOKUP($H111,output!$A$10:$AH$2201,AL$1-$J$1+2)</f>
        <v>0</v>
      </c>
      <c r="AM111" s="11">
        <f>VLOOKUP($H111,output!$A$10:$AH$2201,AM$1-$J$1+2)</f>
        <v>0</v>
      </c>
      <c r="AN111" s="11">
        <f>VLOOKUP($H111,output!$A$10:$AH$2201,AN$1-$J$1+2)</f>
        <v>0</v>
      </c>
      <c r="AO111" s="11">
        <f>VLOOKUP($H111,output!$A$10:$AH$2201,AO$1-$J$1+2)</f>
        <v>0</v>
      </c>
      <c r="AP111" s="11">
        <f>VLOOKUP($H111,output!$A$10:$AH$2201,AP$1-$J$1+2)</f>
        <v>0</v>
      </c>
    </row>
    <row r="112" spans="8:42" x14ac:dyDescent="0.25">
      <c r="H112" t="s">
        <v>64</v>
      </c>
      <c r="J112" s="11">
        <f>VLOOKUP($H112,output!$A$10:$AH$2201,J$1-$J$1+2)</f>
        <v>0</v>
      </c>
      <c r="K112" s="11">
        <f>VLOOKUP($H112,output!$A$10:$AH$2201,K$1-$J$1+2)</f>
        <v>11.736000000000001</v>
      </c>
      <c r="L112" s="11">
        <f>VLOOKUP($H112,output!$A$10:$AH$2201,L$1-$J$1+2)</f>
        <v>14.01</v>
      </c>
      <c r="M112" s="11">
        <f>VLOOKUP($H112,output!$A$10:$AH$2201,M$1-$J$1+2)</f>
        <v>14.01</v>
      </c>
      <c r="N112" s="11">
        <f>VLOOKUP($H112,output!$A$10:$AH$2201,N$1-$J$1+2)</f>
        <v>14.01</v>
      </c>
      <c r="O112" s="11">
        <f>VLOOKUP($H112,output!$A$10:$AH$2201,O$1-$J$1+2)</f>
        <v>14.01</v>
      </c>
      <c r="P112" s="11">
        <f>VLOOKUP($H112,output!$A$10:$AH$2201,P$1-$J$1+2)</f>
        <v>14.01</v>
      </c>
      <c r="Q112" s="11">
        <f>VLOOKUP($H112,output!$A$10:$AH$2201,Q$1-$J$1+2)</f>
        <v>9.6289999999999996</v>
      </c>
      <c r="R112" s="11">
        <f>VLOOKUP($H112,output!$A$10:$AH$2201,R$1-$J$1+2)</f>
        <v>9.6289999999999996</v>
      </c>
      <c r="S112" s="11">
        <f>VLOOKUP($H112,output!$A$10:$AH$2201,S$1-$J$1+2)</f>
        <v>9.6289999999999996</v>
      </c>
      <c r="T112" s="11">
        <f>VLOOKUP($H112,output!$A$10:$AH$2201,T$1-$J$1+2)</f>
        <v>9.6289999999999996</v>
      </c>
      <c r="U112" s="11">
        <f>VLOOKUP($H112,output!$A$10:$AH$2201,U$1-$J$1+2)</f>
        <v>9.6289999999999996</v>
      </c>
      <c r="V112" s="11">
        <f>VLOOKUP($H112,output!$A$10:$AH$2201,V$1-$J$1+2)</f>
        <v>9.6289999999999996</v>
      </c>
      <c r="W112" s="11">
        <f>VLOOKUP($H112,output!$A$10:$AH$2201,W$1-$J$1+2)</f>
        <v>9.6289999999999996</v>
      </c>
      <c r="X112" s="11">
        <f>VLOOKUP($H112,output!$A$10:$AH$2201,X$1-$J$1+2)</f>
        <v>9.6289999999999996</v>
      </c>
      <c r="Y112" s="11">
        <f>VLOOKUP($H112,output!$A$10:$AH$2201,Y$1-$J$1+2)</f>
        <v>9.6289999999999996</v>
      </c>
      <c r="Z112" s="11">
        <f>VLOOKUP($H112,output!$A$10:$AH$2201,Z$1-$J$1+2)</f>
        <v>9.6289999999999996</v>
      </c>
      <c r="AA112" s="11">
        <f>VLOOKUP($H112,output!$A$10:$AH$2201,AA$1-$J$1+2)</f>
        <v>4.3659999999999997</v>
      </c>
      <c r="AB112" s="11">
        <f>VLOOKUP($H112,output!$A$10:$AH$2201,AB$1-$J$1+2)</f>
        <v>4.3659999999999997</v>
      </c>
      <c r="AC112" s="11">
        <f>VLOOKUP($H112,output!$A$10:$AH$2201,AC$1-$J$1+2)</f>
        <v>4.3659999999999997</v>
      </c>
      <c r="AD112" s="11">
        <f>VLOOKUP($H112,output!$A$10:$AH$2201,AD$1-$J$1+2)</f>
        <v>4.3659999999999997</v>
      </c>
      <c r="AE112" s="11">
        <f>VLOOKUP($H112,output!$A$10:$AH$2201,AE$1-$J$1+2)</f>
        <v>4.3659999999999997</v>
      </c>
      <c r="AF112" s="11">
        <f>VLOOKUP($H112,output!$A$10:$AH$2201,AF$1-$J$1+2)</f>
        <v>4.3659999999999997</v>
      </c>
      <c r="AG112" s="11">
        <f>VLOOKUP($H112,output!$A$10:$AH$2201,AG$1-$J$1+2)</f>
        <v>4.3659999999999997</v>
      </c>
      <c r="AH112" s="11">
        <f>VLOOKUP($H112,output!$A$10:$AH$2201,AH$1-$J$1+2)</f>
        <v>4.3659999999999997</v>
      </c>
      <c r="AI112" s="11">
        <f>VLOOKUP($H112,output!$A$10:$AH$2201,AI$1-$J$1+2)</f>
        <v>4.3659999999999997</v>
      </c>
      <c r="AJ112" s="11">
        <f>VLOOKUP($H112,output!$A$10:$AH$2201,AJ$1-$J$1+2)</f>
        <v>4.3659999999999997</v>
      </c>
      <c r="AK112" s="11">
        <f>VLOOKUP($H112,output!$A$10:$AH$2201,AK$1-$J$1+2)</f>
        <v>4.1470000000000002</v>
      </c>
      <c r="AL112" s="11">
        <f>VLOOKUP($H112,output!$A$10:$AH$2201,AL$1-$J$1+2)</f>
        <v>0</v>
      </c>
      <c r="AM112" s="11">
        <f>VLOOKUP($H112,output!$A$10:$AH$2201,AM$1-$J$1+2)</f>
        <v>0</v>
      </c>
      <c r="AN112" s="11">
        <f>VLOOKUP($H112,output!$A$10:$AH$2201,AN$1-$J$1+2)</f>
        <v>0</v>
      </c>
      <c r="AO112" s="11">
        <f>VLOOKUP($H112,output!$A$10:$AH$2201,AO$1-$J$1+2)</f>
        <v>0</v>
      </c>
      <c r="AP112" s="11">
        <f>VLOOKUP($H112,output!$A$10:$AH$2201,AP$1-$J$1+2)</f>
        <v>0</v>
      </c>
    </row>
    <row r="113" spans="8:42" x14ac:dyDescent="0.25">
      <c r="H113" t="s">
        <v>7</v>
      </c>
      <c r="J113" s="11">
        <f>VLOOKUP($H113,output!$A$10:$AH$2201,J$1-$J$1+2)</f>
        <v>20.02</v>
      </c>
      <c r="K113" s="11">
        <f>VLOOKUP($H113,output!$A$10:$AH$2201,K$1-$J$1+2)</f>
        <v>19.600999999999999</v>
      </c>
      <c r="L113" s="11">
        <f>VLOOKUP($H113,output!$A$10:$AH$2201,L$1-$J$1+2)</f>
        <v>19.574999999999999</v>
      </c>
      <c r="M113" s="11">
        <f>VLOOKUP($H113,output!$A$10:$AH$2201,M$1-$J$1+2)</f>
        <v>19.088000000000001</v>
      </c>
      <c r="N113" s="11">
        <f>VLOOKUP($H113,output!$A$10:$AH$2201,N$1-$J$1+2)</f>
        <v>18.257000000000001</v>
      </c>
      <c r="O113" s="11">
        <f>VLOOKUP($H113,output!$A$10:$AH$2201,O$1-$J$1+2)</f>
        <v>17.594000000000001</v>
      </c>
      <c r="P113" s="11">
        <f>VLOOKUP($H113,output!$A$10:$AH$2201,P$1-$J$1+2)</f>
        <v>16.811</v>
      </c>
      <c r="Q113" s="11">
        <f>VLOOKUP($H113,output!$A$10:$AH$2201,Q$1-$J$1+2)</f>
        <v>15.885999999999999</v>
      </c>
      <c r="R113" s="11">
        <f>VLOOKUP($H113,output!$A$10:$AH$2201,R$1-$J$1+2)</f>
        <v>15.006</v>
      </c>
      <c r="S113" s="11">
        <f>VLOOKUP($H113,output!$A$10:$AH$2201,S$1-$J$1+2)</f>
        <v>14.026999999999999</v>
      </c>
      <c r="T113" s="11">
        <f>VLOOKUP($H113,output!$A$10:$AH$2201,T$1-$J$1+2)</f>
        <v>13.111000000000001</v>
      </c>
      <c r="U113" s="11">
        <f>VLOOKUP($H113,output!$A$10:$AH$2201,U$1-$J$1+2)</f>
        <v>12.26</v>
      </c>
      <c r="V113" s="11">
        <f>VLOOKUP($H113,output!$A$10:$AH$2201,V$1-$J$1+2)</f>
        <v>11.457000000000001</v>
      </c>
      <c r="W113" s="11">
        <f>VLOOKUP($H113,output!$A$10:$AH$2201,W$1-$J$1+2)</f>
        <v>10.59</v>
      </c>
      <c r="X113" s="11">
        <f>VLOOKUP($H113,output!$A$10:$AH$2201,X$1-$J$1+2)</f>
        <v>9.7620000000000005</v>
      </c>
      <c r="Y113" s="11">
        <f>VLOOKUP($H113,output!$A$10:$AH$2201,Y$1-$J$1+2)</f>
        <v>8.9920000000000009</v>
      </c>
      <c r="Z113" s="11">
        <f>VLOOKUP($H113,output!$A$10:$AH$2201,Z$1-$J$1+2)</f>
        <v>8.3919999999999995</v>
      </c>
      <c r="AA113" s="11">
        <f>VLOOKUP($H113,output!$A$10:$AH$2201,AA$1-$J$1+2)</f>
        <v>6.6680000000000001</v>
      </c>
      <c r="AB113" s="11">
        <f>VLOOKUP($H113,output!$A$10:$AH$2201,AB$1-$J$1+2)</f>
        <v>7.024</v>
      </c>
      <c r="AC113" s="11">
        <f>VLOOKUP($H113,output!$A$10:$AH$2201,AC$1-$J$1+2)</f>
        <v>6.516</v>
      </c>
      <c r="AD113" s="11">
        <f>VLOOKUP($H113,output!$A$10:$AH$2201,AD$1-$J$1+2)</f>
        <v>6.0880000000000001</v>
      </c>
      <c r="AE113" s="11">
        <f>VLOOKUP($H113,output!$A$10:$AH$2201,AE$1-$J$1+2)</f>
        <v>5.7320000000000002</v>
      </c>
      <c r="AF113" s="11">
        <f>VLOOKUP($H113,output!$A$10:$AH$2201,AF$1-$J$1+2)</f>
        <v>5.444</v>
      </c>
      <c r="AG113" s="11">
        <f>VLOOKUP($H113,output!$A$10:$AH$2201,AG$1-$J$1+2)</f>
        <v>5.1050000000000004</v>
      </c>
      <c r="AH113" s="11">
        <f>VLOOKUP($H113,output!$A$10:$AH$2201,AH$1-$J$1+2)</f>
        <v>4.8369999999999997</v>
      </c>
      <c r="AI113" s="11">
        <f>VLOOKUP($H113,output!$A$10:$AH$2201,AI$1-$J$1+2)</f>
        <v>4.5640000000000001</v>
      </c>
      <c r="AJ113" s="11">
        <f>VLOOKUP($H113,output!$A$10:$AH$2201,AJ$1-$J$1+2)</f>
        <v>4.282</v>
      </c>
      <c r="AK113" s="11">
        <f>VLOOKUP($H113,output!$A$10:$AH$2201,AK$1-$J$1+2)</f>
        <v>3.9950000000000001</v>
      </c>
      <c r="AL113" s="11">
        <f>VLOOKUP($H113,output!$A$10:$AH$2201,AL$1-$J$1+2)</f>
        <v>0</v>
      </c>
      <c r="AM113" s="11">
        <f>VLOOKUP($H113,output!$A$10:$AH$2201,AM$1-$J$1+2)</f>
        <v>0</v>
      </c>
      <c r="AN113" s="11">
        <f>VLOOKUP($H113,output!$A$10:$AH$2201,AN$1-$J$1+2)</f>
        <v>0</v>
      </c>
      <c r="AO113" s="11">
        <f>VLOOKUP($H113,output!$A$10:$AH$2201,AO$1-$J$1+2)</f>
        <v>0</v>
      </c>
      <c r="AP113" s="11">
        <f>VLOOKUP($H113,output!$A$10:$AH$2201,AP$1-$J$1+2)</f>
        <v>0</v>
      </c>
    </row>
    <row r="114" spans="8:42" x14ac:dyDescent="0.25">
      <c r="H114" t="s">
        <v>8</v>
      </c>
      <c r="J114" s="11">
        <f>VLOOKUP($H114,output!$A$10:$AH$2201,J$1-$J$1+2)</f>
        <v>10.044</v>
      </c>
      <c r="K114" s="11">
        <f>VLOOKUP($H114,output!$A$10:$AH$2201,K$1-$J$1+2)</f>
        <v>9.0399999999999991</v>
      </c>
      <c r="L114" s="11">
        <f>VLOOKUP($H114,output!$A$10:$AH$2201,L$1-$J$1+2)</f>
        <v>8.1820000000000004</v>
      </c>
      <c r="M114" s="11">
        <f>VLOOKUP($H114,output!$A$10:$AH$2201,M$1-$J$1+2)</f>
        <v>7.23</v>
      </c>
      <c r="N114" s="11">
        <f>VLOOKUP($H114,output!$A$10:$AH$2201,N$1-$J$1+2)</f>
        <v>6.14</v>
      </c>
      <c r="O114" s="11">
        <f>VLOOKUP($H114,output!$A$10:$AH$2201,O$1-$J$1+2)</f>
        <v>5.2370000000000001</v>
      </c>
      <c r="P114" s="11">
        <f>VLOOKUP($H114,output!$A$10:$AH$2201,P$1-$J$1+2)</f>
        <v>4.3789999999999996</v>
      </c>
      <c r="Q114" s="11">
        <f>VLOOKUP($H114,output!$A$10:$AH$2201,Q$1-$J$1+2)</f>
        <v>3.5590000000000002</v>
      </c>
      <c r="R114" s="11">
        <f>VLOOKUP($H114,output!$A$10:$AH$2201,R$1-$J$1+2)</f>
        <v>2.7570000000000001</v>
      </c>
      <c r="S114" s="11">
        <f>VLOOKUP($H114,output!$A$10:$AH$2201,S$1-$J$1+2)</f>
        <v>1.996</v>
      </c>
      <c r="T114" s="11">
        <f>VLOOKUP($H114,output!$A$10:$AH$2201,T$1-$J$1+2)</f>
        <v>1.2849999999999999</v>
      </c>
      <c r="U114" s="11">
        <f>VLOOKUP($H114,output!$A$10:$AH$2201,U$1-$J$1+2)</f>
        <v>0.622</v>
      </c>
      <c r="V114" s="11">
        <f>VLOOKUP($H114,output!$A$10:$AH$2201,V$1-$J$1+2)</f>
        <v>0</v>
      </c>
      <c r="W114" s="11">
        <f>VLOOKUP($H114,output!$A$10:$AH$2201,W$1-$J$1+2)</f>
        <v>0</v>
      </c>
      <c r="X114" s="11">
        <f>VLOOKUP($H114,output!$A$10:$AH$2201,X$1-$J$1+2)</f>
        <v>0</v>
      </c>
      <c r="Y114" s="11">
        <f>VLOOKUP($H114,output!$A$10:$AH$2201,Y$1-$J$1+2)</f>
        <v>0</v>
      </c>
      <c r="Z114" s="11">
        <f>VLOOKUP($H114,output!$A$10:$AH$2201,Z$1-$J$1+2)</f>
        <v>0</v>
      </c>
      <c r="AA114" s="11">
        <f>VLOOKUP($H114,output!$A$10:$AH$2201,AA$1-$J$1+2)</f>
        <v>0</v>
      </c>
      <c r="AB114" s="11">
        <f>VLOOKUP($H114,output!$A$10:$AH$2201,AB$1-$J$1+2)</f>
        <v>0</v>
      </c>
      <c r="AC114" s="11">
        <f>VLOOKUP($H114,output!$A$10:$AH$2201,AC$1-$J$1+2)</f>
        <v>0</v>
      </c>
      <c r="AD114" s="11">
        <f>VLOOKUP($H114,output!$A$10:$AH$2201,AD$1-$J$1+2)</f>
        <v>0</v>
      </c>
      <c r="AE114" s="11">
        <f>VLOOKUP($H114,output!$A$10:$AH$2201,AE$1-$J$1+2)</f>
        <v>0</v>
      </c>
      <c r="AF114" s="11">
        <f>VLOOKUP($H114,output!$A$10:$AH$2201,AF$1-$J$1+2)</f>
        <v>0</v>
      </c>
      <c r="AG114" s="11">
        <f>VLOOKUP($H114,output!$A$10:$AH$2201,AG$1-$J$1+2)</f>
        <v>0</v>
      </c>
      <c r="AH114" s="11">
        <f>VLOOKUP($H114,output!$A$10:$AH$2201,AH$1-$J$1+2)</f>
        <v>0</v>
      </c>
      <c r="AI114" s="11">
        <f>VLOOKUP($H114,output!$A$10:$AH$2201,AI$1-$J$1+2)</f>
        <v>0</v>
      </c>
      <c r="AJ114" s="11">
        <f>VLOOKUP($H114,output!$A$10:$AH$2201,AJ$1-$J$1+2)</f>
        <v>0</v>
      </c>
      <c r="AK114" s="11">
        <f>VLOOKUP($H114,output!$A$10:$AH$2201,AK$1-$J$1+2)</f>
        <v>0</v>
      </c>
      <c r="AL114" s="11">
        <f>VLOOKUP($H114,output!$A$10:$AH$2201,AL$1-$J$1+2)</f>
        <v>0</v>
      </c>
      <c r="AM114" s="11">
        <f>VLOOKUP($H114,output!$A$10:$AH$2201,AM$1-$J$1+2)</f>
        <v>0</v>
      </c>
      <c r="AN114" s="11">
        <f>VLOOKUP($H114,output!$A$10:$AH$2201,AN$1-$J$1+2)</f>
        <v>0</v>
      </c>
      <c r="AO114" s="11">
        <f>VLOOKUP($H114,output!$A$10:$AH$2201,AO$1-$J$1+2)</f>
        <v>0</v>
      </c>
      <c r="AP114" s="11">
        <f>VLOOKUP($H114,output!$A$10:$AH$2201,AP$1-$J$1+2)</f>
        <v>0</v>
      </c>
    </row>
    <row r="115" spans="8:42" x14ac:dyDescent="0.25">
      <c r="H115" t="s">
        <v>6</v>
      </c>
      <c r="J115" s="11">
        <f>VLOOKUP($H115,output!$A$10:$AH$2201,J$1-$J$1+2)</f>
        <v>4.0209999999999999</v>
      </c>
      <c r="K115" s="11">
        <f>VLOOKUP($H115,output!$A$10:$AH$2201,K$1-$J$1+2)</f>
        <v>3.9380000000000002</v>
      </c>
      <c r="L115" s="11">
        <f>VLOOKUP($H115,output!$A$10:$AH$2201,L$1-$J$1+2)</f>
        <v>3.923</v>
      </c>
      <c r="M115" s="11">
        <f>VLOOKUP($H115,output!$A$10:$AH$2201,M$1-$J$1+2)</f>
        <v>3.9079999999999999</v>
      </c>
      <c r="N115" s="11">
        <f>VLOOKUP($H115,output!$A$10:$AH$2201,N$1-$J$1+2)</f>
        <v>3.915</v>
      </c>
      <c r="O115" s="11">
        <f>VLOOKUP($H115,output!$A$10:$AH$2201,O$1-$J$1+2)</f>
        <v>3.9169999999999998</v>
      </c>
      <c r="P115" s="11">
        <f>VLOOKUP($H115,output!$A$10:$AH$2201,P$1-$J$1+2)</f>
        <v>3.915</v>
      </c>
      <c r="Q115" s="11">
        <f>VLOOKUP($H115,output!$A$10:$AH$2201,Q$1-$J$1+2)</f>
        <v>3.8889999999999998</v>
      </c>
      <c r="R115" s="11">
        <f>VLOOKUP($H115,output!$A$10:$AH$2201,R$1-$J$1+2)</f>
        <v>3.8849999999999998</v>
      </c>
      <c r="S115" s="11">
        <f>VLOOKUP($H115,output!$A$10:$AH$2201,S$1-$J$1+2)</f>
        <v>3.8730000000000002</v>
      </c>
      <c r="T115" s="11">
        <f>VLOOKUP($H115,output!$A$10:$AH$2201,T$1-$J$1+2)</f>
        <v>3.871</v>
      </c>
      <c r="U115" s="11">
        <f>VLOOKUP($H115,output!$A$10:$AH$2201,U$1-$J$1+2)</f>
        <v>3.8809999999999998</v>
      </c>
      <c r="V115" s="11">
        <f>VLOOKUP($H115,output!$A$10:$AH$2201,V$1-$J$1+2)</f>
        <v>3.9009999999999998</v>
      </c>
      <c r="W115" s="11">
        <f>VLOOKUP($H115,output!$A$10:$AH$2201,W$1-$J$1+2)</f>
        <v>3.8809999999999998</v>
      </c>
      <c r="X115" s="11">
        <f>VLOOKUP($H115,output!$A$10:$AH$2201,X$1-$J$1+2)</f>
        <v>3.8620000000000001</v>
      </c>
      <c r="Y115" s="11">
        <f>VLOOKUP($H115,output!$A$10:$AH$2201,Y$1-$J$1+2)</f>
        <v>3.855</v>
      </c>
      <c r="Z115" s="11">
        <f>VLOOKUP($H115,output!$A$10:$AH$2201,Z$1-$J$1+2)</f>
        <v>3.8370000000000002</v>
      </c>
      <c r="AA115" s="11">
        <f>VLOOKUP($H115,output!$A$10:$AH$2201,AA$1-$J$1+2)</f>
        <v>3.8279999999999998</v>
      </c>
      <c r="AB115" s="11">
        <f>VLOOKUP($H115,output!$A$10:$AH$2201,AB$1-$J$1+2)</f>
        <v>3.8029999999999999</v>
      </c>
      <c r="AC115" s="11">
        <f>VLOOKUP($H115,output!$A$10:$AH$2201,AC$1-$J$1+2)</f>
        <v>3.782</v>
      </c>
      <c r="AD115" s="11">
        <f>VLOOKUP($H115,output!$A$10:$AH$2201,AD$1-$J$1+2)</f>
        <v>3.7549999999999999</v>
      </c>
      <c r="AE115" s="11">
        <f>VLOOKUP($H115,output!$A$10:$AH$2201,AE$1-$J$1+2)</f>
        <v>3.7559999999999998</v>
      </c>
      <c r="AF115" s="11">
        <f>VLOOKUP($H115,output!$A$10:$AH$2201,AF$1-$J$1+2)</f>
        <v>3.7429999999999999</v>
      </c>
      <c r="AG115" s="11">
        <f>VLOOKUP($H115,output!$A$10:$AH$2201,AG$1-$J$1+2)</f>
        <v>3.7440000000000002</v>
      </c>
      <c r="AH115" s="11">
        <f>VLOOKUP($H115,output!$A$10:$AH$2201,AH$1-$J$1+2)</f>
        <v>3.7370000000000001</v>
      </c>
      <c r="AI115" s="11">
        <f>VLOOKUP($H115,output!$A$10:$AH$2201,AI$1-$J$1+2)</f>
        <v>3.7330000000000001</v>
      </c>
      <c r="AJ115" s="11">
        <f>VLOOKUP($H115,output!$A$10:$AH$2201,AJ$1-$J$1+2)</f>
        <v>3.7349999999999999</v>
      </c>
      <c r="AK115" s="11">
        <f>VLOOKUP($H115,output!$A$10:$AH$2201,AK$1-$J$1+2)</f>
        <v>3.74</v>
      </c>
      <c r="AL115" s="11">
        <f>VLOOKUP($H115,output!$A$10:$AH$2201,AL$1-$J$1+2)</f>
        <v>0</v>
      </c>
      <c r="AM115" s="11">
        <f>VLOOKUP($H115,output!$A$10:$AH$2201,AM$1-$J$1+2)</f>
        <v>0</v>
      </c>
      <c r="AN115" s="11">
        <f>VLOOKUP($H115,output!$A$10:$AH$2201,AN$1-$J$1+2)</f>
        <v>0</v>
      </c>
      <c r="AO115" s="11">
        <f>VLOOKUP($H115,output!$A$10:$AH$2201,AO$1-$J$1+2)</f>
        <v>0</v>
      </c>
      <c r="AP115" s="11">
        <f>VLOOKUP($H115,output!$A$10:$AH$2201,AP$1-$J$1+2)</f>
        <v>0</v>
      </c>
    </row>
    <row r="116" spans="8:42" x14ac:dyDescent="0.25"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</row>
    <row r="117" spans="8:42" x14ac:dyDescent="0.25"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</row>
    <row r="118" spans="8:42" x14ac:dyDescent="0.25"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</row>
    <row r="119" spans="8:42" x14ac:dyDescent="0.25">
      <c r="H119" s="2" t="s">
        <v>169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</row>
    <row r="120" spans="8:42" x14ac:dyDescent="0.25">
      <c r="H120" t="s">
        <v>68</v>
      </c>
      <c r="J120" s="11">
        <f>VLOOKUP($H120,output!$A$10:$AH$2201,J$1-$J$1+2)</f>
        <v>0</v>
      </c>
      <c r="K120" s="11">
        <f>VLOOKUP($H120,output!$A$10:$AH$2201,K$1-$J$1+2)</f>
        <v>3.097</v>
      </c>
      <c r="L120" s="11">
        <f>VLOOKUP($H120,output!$A$10:$AH$2201,L$1-$J$1+2)</f>
        <v>0</v>
      </c>
      <c r="M120" s="11">
        <f>VLOOKUP($H120,output!$A$10:$AH$2201,M$1-$J$1+2)</f>
        <v>0</v>
      </c>
      <c r="N120" s="11">
        <f>VLOOKUP($H120,output!$A$10:$AH$2201,N$1-$J$1+2)</f>
        <v>0</v>
      </c>
      <c r="O120" s="11">
        <f>VLOOKUP($H120,output!$A$10:$AH$2201,O$1-$J$1+2)</f>
        <v>0</v>
      </c>
      <c r="P120" s="11">
        <f>VLOOKUP($H120,output!$A$10:$AH$2201,P$1-$J$1+2)</f>
        <v>0</v>
      </c>
      <c r="Q120" s="11">
        <f>VLOOKUP($H120,output!$A$10:$AH$2201,Q$1-$J$1+2)</f>
        <v>0</v>
      </c>
      <c r="R120" s="11">
        <f>VLOOKUP($H120,output!$A$10:$AH$2201,R$1-$J$1+2)</f>
        <v>0</v>
      </c>
      <c r="S120" s="11">
        <f>VLOOKUP($H120,output!$A$10:$AH$2201,S$1-$J$1+2)</f>
        <v>0</v>
      </c>
      <c r="T120" s="11">
        <f>VLOOKUP($H120,output!$A$10:$AH$2201,T$1-$J$1+2)</f>
        <v>0</v>
      </c>
      <c r="U120" s="11">
        <f>VLOOKUP($H120,output!$A$10:$AH$2201,U$1-$J$1+2)</f>
        <v>0</v>
      </c>
      <c r="V120" s="11">
        <f>VLOOKUP($H120,output!$A$10:$AH$2201,V$1-$J$1+2)</f>
        <v>0</v>
      </c>
      <c r="W120" s="11">
        <f>VLOOKUP($H120,output!$A$10:$AH$2201,W$1-$J$1+2)</f>
        <v>0</v>
      </c>
      <c r="X120" s="11">
        <f>VLOOKUP($H120,output!$A$10:$AH$2201,X$1-$J$1+2)</f>
        <v>0</v>
      </c>
      <c r="Y120" s="11">
        <f>VLOOKUP($H120,output!$A$10:$AH$2201,Y$1-$J$1+2)</f>
        <v>0</v>
      </c>
      <c r="Z120" s="11">
        <f>VLOOKUP($H120,output!$A$10:$AH$2201,Z$1-$J$1+2)</f>
        <v>0</v>
      </c>
      <c r="AA120" s="11">
        <f>VLOOKUP($H120,output!$A$10:$AH$2201,AA$1-$J$1+2)</f>
        <v>0</v>
      </c>
      <c r="AB120" s="11">
        <f>VLOOKUP($H120,output!$A$10:$AH$2201,AB$1-$J$1+2)</f>
        <v>0</v>
      </c>
      <c r="AC120" s="11">
        <f>VLOOKUP($H120,output!$A$10:$AH$2201,AC$1-$J$1+2)</f>
        <v>0</v>
      </c>
      <c r="AD120" s="11">
        <f>VLOOKUP($H120,output!$A$10:$AH$2201,AD$1-$J$1+2)</f>
        <v>0</v>
      </c>
      <c r="AE120" s="11">
        <f>VLOOKUP($H120,output!$A$10:$AH$2201,AE$1-$J$1+2)</f>
        <v>0</v>
      </c>
      <c r="AF120" s="11">
        <f>VLOOKUP($H120,output!$A$10:$AH$2201,AF$1-$J$1+2)</f>
        <v>0</v>
      </c>
      <c r="AG120" s="11">
        <f>VLOOKUP($H120,output!$A$10:$AH$2201,AG$1-$J$1+2)</f>
        <v>0</v>
      </c>
      <c r="AH120" s="11">
        <f>VLOOKUP($H120,output!$A$10:$AH$2201,AH$1-$J$1+2)</f>
        <v>0</v>
      </c>
      <c r="AI120" s="11">
        <f>VLOOKUP($H120,output!$A$10:$AH$2201,AI$1-$J$1+2)</f>
        <v>0</v>
      </c>
      <c r="AJ120" s="11">
        <f>VLOOKUP($H120,output!$A$10:$AH$2201,AJ$1-$J$1+2)</f>
        <v>0</v>
      </c>
      <c r="AK120" s="11">
        <f>VLOOKUP($H120,output!$A$10:$AH$2201,AK$1-$J$1+2)</f>
        <v>0</v>
      </c>
      <c r="AL120" s="11">
        <f>VLOOKUP($H120,output!$A$10:$AH$2201,AL$1-$J$1+2)</f>
        <v>0</v>
      </c>
      <c r="AM120" s="11">
        <f>VLOOKUP($H120,output!$A$10:$AH$2201,AM$1-$J$1+2)</f>
        <v>0</v>
      </c>
      <c r="AN120" s="11">
        <f>VLOOKUP($H120,output!$A$10:$AH$2201,AN$1-$J$1+2)</f>
        <v>0</v>
      </c>
      <c r="AO120" s="11">
        <f>VLOOKUP($H120,output!$A$10:$AH$2201,AO$1-$J$1+2)</f>
        <v>0</v>
      </c>
      <c r="AP120" s="11">
        <f>VLOOKUP($H120,output!$A$10:$AH$2201,AP$1-$J$1+2)</f>
        <v>0</v>
      </c>
    </row>
    <row r="121" spans="8:42" x14ac:dyDescent="0.25">
      <c r="H121" t="s">
        <v>99</v>
      </c>
      <c r="J121" s="11">
        <f>VLOOKUP($H121,output!$A$10:$AH$2201,J$1-$J$1+2)</f>
        <v>0</v>
      </c>
      <c r="K121" s="11">
        <f>VLOOKUP($H121,output!$A$10:$AH$2201,K$1-$J$1+2)</f>
        <v>1.607</v>
      </c>
      <c r="L121" s="11">
        <f>VLOOKUP($H121,output!$A$10:$AH$2201,L$1-$J$1+2)</f>
        <v>0</v>
      </c>
      <c r="M121" s="11">
        <f>VLOOKUP($H121,output!$A$10:$AH$2201,M$1-$J$1+2)</f>
        <v>0</v>
      </c>
      <c r="N121" s="11">
        <f>VLOOKUP($H121,output!$A$10:$AH$2201,N$1-$J$1+2)</f>
        <v>0</v>
      </c>
      <c r="O121" s="11">
        <f>VLOOKUP($H121,output!$A$10:$AH$2201,O$1-$J$1+2)</f>
        <v>0</v>
      </c>
      <c r="P121" s="11">
        <f>VLOOKUP($H121,output!$A$10:$AH$2201,P$1-$J$1+2)</f>
        <v>0</v>
      </c>
      <c r="Q121" s="11">
        <f>VLOOKUP($H121,output!$A$10:$AH$2201,Q$1-$J$1+2)</f>
        <v>0</v>
      </c>
      <c r="R121" s="11">
        <f>VLOOKUP($H121,output!$A$10:$AH$2201,R$1-$J$1+2)</f>
        <v>0</v>
      </c>
      <c r="S121" s="11">
        <f>VLOOKUP($H121,output!$A$10:$AH$2201,S$1-$J$1+2)</f>
        <v>0</v>
      </c>
      <c r="T121" s="11">
        <f>VLOOKUP($H121,output!$A$10:$AH$2201,T$1-$J$1+2)</f>
        <v>0</v>
      </c>
      <c r="U121" s="11">
        <f>VLOOKUP($H121,output!$A$10:$AH$2201,U$1-$J$1+2)</f>
        <v>0</v>
      </c>
      <c r="V121" s="11">
        <f>VLOOKUP($H121,output!$A$10:$AH$2201,V$1-$J$1+2)</f>
        <v>0</v>
      </c>
      <c r="W121" s="11">
        <f>VLOOKUP($H121,output!$A$10:$AH$2201,W$1-$J$1+2)</f>
        <v>0</v>
      </c>
      <c r="X121" s="11">
        <f>VLOOKUP($H121,output!$A$10:$AH$2201,X$1-$J$1+2)</f>
        <v>0</v>
      </c>
      <c r="Y121" s="11">
        <f>VLOOKUP($H121,output!$A$10:$AH$2201,Y$1-$J$1+2)</f>
        <v>0</v>
      </c>
      <c r="Z121" s="11">
        <f>VLOOKUP($H121,output!$A$10:$AH$2201,Z$1-$J$1+2)</f>
        <v>0</v>
      </c>
      <c r="AA121" s="11">
        <f>VLOOKUP($H121,output!$A$10:$AH$2201,AA$1-$J$1+2)</f>
        <v>0</v>
      </c>
      <c r="AB121" s="11">
        <f>VLOOKUP($H121,output!$A$10:$AH$2201,AB$1-$J$1+2)</f>
        <v>0</v>
      </c>
      <c r="AC121" s="11">
        <f>VLOOKUP($H121,output!$A$10:$AH$2201,AC$1-$J$1+2)</f>
        <v>0</v>
      </c>
      <c r="AD121" s="11">
        <f>VLOOKUP($H121,output!$A$10:$AH$2201,AD$1-$J$1+2)</f>
        <v>0</v>
      </c>
      <c r="AE121" s="11">
        <f>VLOOKUP($H121,output!$A$10:$AH$2201,AE$1-$J$1+2)</f>
        <v>0</v>
      </c>
      <c r="AF121" s="11">
        <f>VLOOKUP($H121,output!$A$10:$AH$2201,AF$1-$J$1+2)</f>
        <v>0</v>
      </c>
      <c r="AG121" s="11">
        <f>VLOOKUP($H121,output!$A$10:$AH$2201,AG$1-$J$1+2)</f>
        <v>0</v>
      </c>
      <c r="AH121" s="11">
        <f>VLOOKUP($H121,output!$A$10:$AH$2201,AH$1-$J$1+2)</f>
        <v>0</v>
      </c>
      <c r="AI121" s="11">
        <f>VLOOKUP($H121,output!$A$10:$AH$2201,AI$1-$J$1+2)</f>
        <v>0</v>
      </c>
      <c r="AJ121" s="11">
        <f>VLOOKUP($H121,output!$A$10:$AH$2201,AJ$1-$J$1+2)</f>
        <v>0</v>
      </c>
      <c r="AK121" s="11">
        <f>VLOOKUP($H121,output!$A$10:$AH$2201,AK$1-$J$1+2)</f>
        <v>0</v>
      </c>
      <c r="AL121" s="11">
        <f>VLOOKUP($H121,output!$A$10:$AH$2201,AL$1-$J$1+2)</f>
        <v>0</v>
      </c>
      <c r="AM121" s="11">
        <f>VLOOKUP($H121,output!$A$10:$AH$2201,AM$1-$J$1+2)</f>
        <v>0</v>
      </c>
      <c r="AN121" s="11">
        <f>VLOOKUP($H121,output!$A$10:$AH$2201,AN$1-$J$1+2)</f>
        <v>0</v>
      </c>
      <c r="AO121" s="11">
        <f>VLOOKUP($H121,output!$A$10:$AH$2201,AO$1-$J$1+2)</f>
        <v>0</v>
      </c>
      <c r="AP121" s="11">
        <f>VLOOKUP($H121,output!$A$10:$AH$2201,AP$1-$J$1+2)</f>
        <v>0</v>
      </c>
    </row>
    <row r="122" spans="8:42" x14ac:dyDescent="0.25">
      <c r="H122" t="s">
        <v>72</v>
      </c>
      <c r="J122" s="11">
        <f>VLOOKUP($H122,output!$A$10:$AH$2201,J$1-$J$1+2)</f>
        <v>0</v>
      </c>
      <c r="K122" s="11">
        <f>VLOOKUP($H122,output!$A$10:$AH$2201,K$1-$J$1+2)</f>
        <v>0.23799999999999999</v>
      </c>
      <c r="L122" s="11">
        <f>VLOOKUP($H122,output!$A$10:$AH$2201,L$1-$J$1+2)</f>
        <v>0</v>
      </c>
      <c r="M122" s="11">
        <f>VLOOKUP($H122,output!$A$10:$AH$2201,M$1-$J$1+2)</f>
        <v>0</v>
      </c>
      <c r="N122" s="11">
        <f>VLOOKUP($H122,output!$A$10:$AH$2201,N$1-$J$1+2)</f>
        <v>0</v>
      </c>
      <c r="O122" s="11">
        <f>VLOOKUP($H122,output!$A$10:$AH$2201,O$1-$J$1+2)</f>
        <v>0</v>
      </c>
      <c r="P122" s="11">
        <f>VLOOKUP($H122,output!$A$10:$AH$2201,P$1-$J$1+2)</f>
        <v>0</v>
      </c>
      <c r="Q122" s="11">
        <f>VLOOKUP($H122,output!$A$10:$AH$2201,Q$1-$J$1+2)</f>
        <v>0</v>
      </c>
      <c r="R122" s="11">
        <f>VLOOKUP($H122,output!$A$10:$AH$2201,R$1-$J$1+2)</f>
        <v>0</v>
      </c>
      <c r="S122" s="11">
        <f>VLOOKUP($H122,output!$A$10:$AH$2201,S$1-$J$1+2)</f>
        <v>0</v>
      </c>
      <c r="T122" s="11">
        <f>VLOOKUP($H122,output!$A$10:$AH$2201,T$1-$J$1+2)</f>
        <v>0</v>
      </c>
      <c r="U122" s="11">
        <f>VLOOKUP($H122,output!$A$10:$AH$2201,U$1-$J$1+2)</f>
        <v>0</v>
      </c>
      <c r="V122" s="11">
        <f>VLOOKUP($H122,output!$A$10:$AH$2201,V$1-$J$1+2)</f>
        <v>0</v>
      </c>
      <c r="W122" s="11">
        <f>VLOOKUP($H122,output!$A$10:$AH$2201,W$1-$J$1+2)</f>
        <v>0</v>
      </c>
      <c r="X122" s="11">
        <f>VLOOKUP($H122,output!$A$10:$AH$2201,X$1-$J$1+2)</f>
        <v>0</v>
      </c>
      <c r="Y122" s="11">
        <f>VLOOKUP($H122,output!$A$10:$AH$2201,Y$1-$J$1+2)</f>
        <v>0</v>
      </c>
      <c r="Z122" s="11">
        <f>VLOOKUP($H122,output!$A$10:$AH$2201,Z$1-$J$1+2)</f>
        <v>0</v>
      </c>
      <c r="AA122" s="11">
        <f>VLOOKUP($H122,output!$A$10:$AH$2201,AA$1-$J$1+2)</f>
        <v>0</v>
      </c>
      <c r="AB122" s="11">
        <f>VLOOKUP($H122,output!$A$10:$AH$2201,AB$1-$J$1+2)</f>
        <v>0</v>
      </c>
      <c r="AC122" s="11">
        <f>VLOOKUP($H122,output!$A$10:$AH$2201,AC$1-$J$1+2)</f>
        <v>0</v>
      </c>
      <c r="AD122" s="11">
        <f>VLOOKUP($H122,output!$A$10:$AH$2201,AD$1-$J$1+2)</f>
        <v>0</v>
      </c>
      <c r="AE122" s="11">
        <f>VLOOKUP($H122,output!$A$10:$AH$2201,AE$1-$J$1+2)</f>
        <v>0</v>
      </c>
      <c r="AF122" s="11">
        <f>VLOOKUP($H122,output!$A$10:$AH$2201,AF$1-$J$1+2)</f>
        <v>0</v>
      </c>
      <c r="AG122" s="11">
        <f>VLOOKUP($H122,output!$A$10:$AH$2201,AG$1-$J$1+2)</f>
        <v>0</v>
      </c>
      <c r="AH122" s="11">
        <f>VLOOKUP($H122,output!$A$10:$AH$2201,AH$1-$J$1+2)</f>
        <v>0</v>
      </c>
      <c r="AI122" s="11">
        <f>VLOOKUP($H122,output!$A$10:$AH$2201,AI$1-$J$1+2)</f>
        <v>0</v>
      </c>
      <c r="AJ122" s="11">
        <f>VLOOKUP($H122,output!$A$10:$AH$2201,AJ$1-$J$1+2)</f>
        <v>0</v>
      </c>
      <c r="AK122" s="11">
        <f>VLOOKUP($H122,output!$A$10:$AH$2201,AK$1-$J$1+2)</f>
        <v>0</v>
      </c>
      <c r="AL122" s="11">
        <f>VLOOKUP($H122,output!$A$10:$AH$2201,AL$1-$J$1+2)</f>
        <v>0</v>
      </c>
      <c r="AM122" s="11">
        <f>VLOOKUP($H122,output!$A$10:$AH$2201,AM$1-$J$1+2)</f>
        <v>0</v>
      </c>
      <c r="AN122" s="11">
        <f>VLOOKUP($H122,output!$A$10:$AH$2201,AN$1-$J$1+2)</f>
        <v>0</v>
      </c>
      <c r="AO122" s="11">
        <f>VLOOKUP($H122,output!$A$10:$AH$2201,AO$1-$J$1+2)</f>
        <v>0</v>
      </c>
      <c r="AP122" s="11">
        <f>VLOOKUP($H122,output!$A$10:$AH$2201,AP$1-$J$1+2)</f>
        <v>0</v>
      </c>
    </row>
    <row r="123" spans="8:42" x14ac:dyDescent="0.25">
      <c r="H123" t="s">
        <v>200</v>
      </c>
      <c r="J123" s="11">
        <f>VLOOKUP($H123,output!$A$10:$AH$2201,J$1-$J$1+2)</f>
        <v>0</v>
      </c>
      <c r="K123" s="11">
        <f>VLOOKUP($H123,output!$A$10:$AH$2201,K$1-$J$1+2)</f>
        <v>7.0000000000000001E-3</v>
      </c>
      <c r="L123" s="11">
        <f>VLOOKUP($H123,output!$A$10:$AH$2201,L$1-$J$1+2)</f>
        <v>0</v>
      </c>
      <c r="M123" s="11">
        <f>VLOOKUP($H123,output!$A$10:$AH$2201,M$1-$J$1+2)</f>
        <v>0</v>
      </c>
      <c r="N123" s="11">
        <f>VLOOKUP($H123,output!$A$10:$AH$2201,N$1-$J$1+2)</f>
        <v>0</v>
      </c>
      <c r="O123" s="11">
        <f>VLOOKUP($H123,output!$A$10:$AH$2201,O$1-$J$1+2)</f>
        <v>0</v>
      </c>
      <c r="P123" s="11">
        <f>VLOOKUP($H123,output!$A$10:$AH$2201,P$1-$J$1+2)</f>
        <v>0</v>
      </c>
      <c r="Q123" s="11">
        <f>VLOOKUP($H123,output!$A$10:$AH$2201,Q$1-$J$1+2)</f>
        <v>0</v>
      </c>
      <c r="R123" s="11">
        <f>VLOOKUP($H123,output!$A$10:$AH$2201,R$1-$J$1+2)</f>
        <v>0</v>
      </c>
      <c r="S123" s="11">
        <f>VLOOKUP($H123,output!$A$10:$AH$2201,S$1-$J$1+2)</f>
        <v>0</v>
      </c>
      <c r="T123" s="11">
        <f>VLOOKUP($H123,output!$A$10:$AH$2201,T$1-$J$1+2)</f>
        <v>0</v>
      </c>
      <c r="U123" s="11">
        <f>VLOOKUP($H123,output!$A$10:$AH$2201,U$1-$J$1+2)</f>
        <v>0</v>
      </c>
      <c r="V123" s="11">
        <f>VLOOKUP($H123,output!$A$10:$AH$2201,V$1-$J$1+2)</f>
        <v>0</v>
      </c>
      <c r="W123" s="11">
        <f>VLOOKUP($H123,output!$A$10:$AH$2201,W$1-$J$1+2)</f>
        <v>0</v>
      </c>
      <c r="X123" s="11">
        <f>VLOOKUP($H123,output!$A$10:$AH$2201,X$1-$J$1+2)</f>
        <v>0</v>
      </c>
      <c r="Y123" s="11">
        <f>VLOOKUP($H123,output!$A$10:$AH$2201,Y$1-$J$1+2)</f>
        <v>0</v>
      </c>
      <c r="Z123" s="11">
        <f>VLOOKUP($H123,output!$A$10:$AH$2201,Z$1-$J$1+2)</f>
        <v>0</v>
      </c>
      <c r="AA123" s="11">
        <f>VLOOKUP($H123,output!$A$10:$AH$2201,AA$1-$J$1+2)</f>
        <v>0</v>
      </c>
      <c r="AB123" s="11">
        <f>VLOOKUP($H123,output!$A$10:$AH$2201,AB$1-$J$1+2)</f>
        <v>0</v>
      </c>
      <c r="AC123" s="11">
        <f>VLOOKUP($H123,output!$A$10:$AH$2201,AC$1-$J$1+2)</f>
        <v>0</v>
      </c>
      <c r="AD123" s="11">
        <f>VLOOKUP($H123,output!$A$10:$AH$2201,AD$1-$J$1+2)</f>
        <v>0</v>
      </c>
      <c r="AE123" s="11">
        <f>VLOOKUP($H123,output!$A$10:$AH$2201,AE$1-$J$1+2)</f>
        <v>0</v>
      </c>
      <c r="AF123" s="11">
        <f>VLOOKUP($H123,output!$A$10:$AH$2201,AF$1-$J$1+2)</f>
        <v>0</v>
      </c>
      <c r="AG123" s="11">
        <f>VLOOKUP($H123,output!$A$10:$AH$2201,AG$1-$J$1+2)</f>
        <v>0</v>
      </c>
      <c r="AH123" s="11">
        <f>VLOOKUP($H123,output!$A$10:$AH$2201,AH$1-$J$1+2)</f>
        <v>0</v>
      </c>
      <c r="AI123" s="11">
        <f>VLOOKUP($H123,output!$A$10:$AH$2201,AI$1-$J$1+2)</f>
        <v>0</v>
      </c>
      <c r="AJ123" s="11">
        <f>VLOOKUP($H123,output!$A$10:$AH$2201,AJ$1-$J$1+2)</f>
        <v>0</v>
      </c>
      <c r="AK123" s="11">
        <f>VLOOKUP($H123,output!$A$10:$AH$2201,AK$1-$J$1+2)</f>
        <v>0</v>
      </c>
      <c r="AL123" s="11">
        <f>VLOOKUP($H123,output!$A$10:$AH$2201,AL$1-$J$1+2)</f>
        <v>0</v>
      </c>
      <c r="AM123" s="11">
        <f>VLOOKUP($H123,output!$A$10:$AH$2201,AM$1-$J$1+2)</f>
        <v>0</v>
      </c>
      <c r="AN123" s="11">
        <f>VLOOKUP($H123,output!$A$10:$AH$2201,AN$1-$J$1+2)</f>
        <v>0</v>
      </c>
      <c r="AO123" s="11">
        <f>VLOOKUP($H123,output!$A$10:$AH$2201,AO$1-$J$1+2)</f>
        <v>0</v>
      </c>
      <c r="AP123" s="11">
        <f>VLOOKUP($H123,output!$A$10:$AH$2201,AP$1-$J$1+2)</f>
        <v>0</v>
      </c>
    </row>
    <row r="124" spans="8:42" x14ac:dyDescent="0.25">
      <c r="H124" t="s">
        <v>202</v>
      </c>
      <c r="J124" s="11">
        <f>VLOOKUP($H124,output!$A$10:$AH$2201,J$1-$J$1+2)</f>
        <v>0</v>
      </c>
      <c r="K124" s="11">
        <f>VLOOKUP($H124,output!$A$10:$AH$2201,K$1-$J$1+2)</f>
        <v>0</v>
      </c>
      <c r="L124" s="11">
        <f>VLOOKUP($H124,output!$A$10:$AH$2201,L$1-$J$1+2)</f>
        <v>0</v>
      </c>
      <c r="M124" s="11">
        <f>VLOOKUP($H124,output!$A$10:$AH$2201,M$1-$J$1+2)</f>
        <v>0</v>
      </c>
      <c r="N124" s="11">
        <f>VLOOKUP($H124,output!$A$10:$AH$2201,N$1-$J$1+2)</f>
        <v>0</v>
      </c>
      <c r="O124" s="11">
        <f>VLOOKUP($H124,output!$A$10:$AH$2201,O$1-$J$1+2)</f>
        <v>0</v>
      </c>
      <c r="P124" s="11">
        <f>VLOOKUP($H124,output!$A$10:$AH$2201,P$1-$J$1+2)</f>
        <v>0</v>
      </c>
      <c r="Q124" s="11">
        <f>VLOOKUP($H124,output!$A$10:$AH$2201,Q$1-$J$1+2)</f>
        <v>0</v>
      </c>
      <c r="R124" s="11">
        <f>VLOOKUP($H124,output!$A$10:$AH$2201,R$1-$J$1+2)</f>
        <v>0</v>
      </c>
      <c r="S124" s="11">
        <f>VLOOKUP($H124,output!$A$10:$AH$2201,S$1-$J$1+2)</f>
        <v>0</v>
      </c>
      <c r="T124" s="11">
        <f>VLOOKUP($H124,output!$A$10:$AH$2201,T$1-$J$1+2)</f>
        <v>0</v>
      </c>
      <c r="U124" s="11">
        <f>VLOOKUP($H124,output!$A$10:$AH$2201,U$1-$J$1+2)</f>
        <v>0</v>
      </c>
      <c r="V124" s="11">
        <f>VLOOKUP($H124,output!$A$10:$AH$2201,V$1-$J$1+2)</f>
        <v>0</v>
      </c>
      <c r="W124" s="11">
        <f>VLOOKUP($H124,output!$A$10:$AH$2201,W$1-$J$1+2)</f>
        <v>0</v>
      </c>
      <c r="X124" s="11">
        <f>VLOOKUP($H124,output!$A$10:$AH$2201,X$1-$J$1+2)</f>
        <v>0</v>
      </c>
      <c r="Y124" s="11">
        <f>VLOOKUP($H124,output!$A$10:$AH$2201,Y$1-$J$1+2)</f>
        <v>0</v>
      </c>
      <c r="Z124" s="11">
        <f>VLOOKUP($H124,output!$A$10:$AH$2201,Z$1-$J$1+2)</f>
        <v>0</v>
      </c>
      <c r="AA124" s="11">
        <f>VLOOKUP($H124,output!$A$10:$AH$2201,AA$1-$J$1+2)</f>
        <v>0</v>
      </c>
      <c r="AB124" s="11">
        <f>VLOOKUP($H124,output!$A$10:$AH$2201,AB$1-$J$1+2)</f>
        <v>0</v>
      </c>
      <c r="AC124" s="11">
        <f>VLOOKUP($H124,output!$A$10:$AH$2201,AC$1-$J$1+2)</f>
        <v>0</v>
      </c>
      <c r="AD124" s="11">
        <f>VLOOKUP($H124,output!$A$10:$AH$2201,AD$1-$J$1+2)</f>
        <v>0</v>
      </c>
      <c r="AE124" s="11">
        <f>VLOOKUP($H124,output!$A$10:$AH$2201,AE$1-$J$1+2)</f>
        <v>0</v>
      </c>
      <c r="AF124" s="11">
        <f>VLOOKUP($H124,output!$A$10:$AH$2201,AF$1-$J$1+2)</f>
        <v>0</v>
      </c>
      <c r="AG124" s="11">
        <f>VLOOKUP($H124,output!$A$10:$AH$2201,AG$1-$J$1+2)</f>
        <v>0</v>
      </c>
      <c r="AH124" s="11">
        <f>VLOOKUP($H124,output!$A$10:$AH$2201,AH$1-$J$1+2)</f>
        <v>0</v>
      </c>
      <c r="AI124" s="11">
        <f>VLOOKUP($H124,output!$A$10:$AH$2201,AI$1-$J$1+2)</f>
        <v>0</v>
      </c>
      <c r="AJ124" s="11">
        <f>VLOOKUP($H124,output!$A$10:$AH$2201,AJ$1-$J$1+2)</f>
        <v>0</v>
      </c>
      <c r="AK124" s="11">
        <f>VLOOKUP($H124,output!$A$10:$AH$2201,AK$1-$J$1+2)</f>
        <v>0</v>
      </c>
      <c r="AL124" s="11">
        <f>VLOOKUP($H124,output!$A$10:$AH$2201,AL$1-$J$1+2)</f>
        <v>0</v>
      </c>
      <c r="AM124" s="11">
        <f>VLOOKUP($H124,output!$A$10:$AH$2201,AM$1-$J$1+2)</f>
        <v>0</v>
      </c>
      <c r="AN124" s="11">
        <f>VLOOKUP($H124,output!$A$10:$AH$2201,AN$1-$J$1+2)</f>
        <v>0</v>
      </c>
      <c r="AO124" s="11">
        <f>VLOOKUP($H124,output!$A$10:$AH$2201,AO$1-$J$1+2)</f>
        <v>0</v>
      </c>
      <c r="AP124" s="11">
        <f>VLOOKUP($H124,output!$A$10:$AH$2201,AP$1-$J$1+2)</f>
        <v>0</v>
      </c>
    </row>
    <row r="125" spans="8:42" x14ac:dyDescent="0.25">
      <c r="H125" t="s">
        <v>75</v>
      </c>
      <c r="J125" s="11">
        <f>VLOOKUP($H125,output!$A$10:$AH$2201,J$1-$J$1+2)</f>
        <v>0</v>
      </c>
      <c r="K125" s="11">
        <f>VLOOKUP($H125,output!$A$10:$AH$2201,K$1-$J$1+2)</f>
        <v>0</v>
      </c>
      <c r="L125" s="11">
        <f>VLOOKUP($H125,output!$A$10:$AH$2201,L$1-$J$1+2)</f>
        <v>0</v>
      </c>
      <c r="M125" s="11">
        <f>VLOOKUP($H125,output!$A$10:$AH$2201,M$1-$J$1+2)</f>
        <v>0</v>
      </c>
      <c r="N125" s="11">
        <f>VLOOKUP($H125,output!$A$10:$AH$2201,N$1-$J$1+2)</f>
        <v>0</v>
      </c>
      <c r="O125" s="11">
        <f>VLOOKUP($H125,output!$A$10:$AH$2201,O$1-$J$1+2)</f>
        <v>0</v>
      </c>
      <c r="P125" s="11">
        <f>VLOOKUP($H125,output!$A$10:$AH$2201,P$1-$J$1+2)</f>
        <v>0</v>
      </c>
      <c r="Q125" s="11">
        <f>VLOOKUP($H125,output!$A$10:$AH$2201,Q$1-$J$1+2)</f>
        <v>0</v>
      </c>
      <c r="R125" s="11">
        <f>VLOOKUP($H125,output!$A$10:$AH$2201,R$1-$J$1+2)</f>
        <v>0</v>
      </c>
      <c r="S125" s="11">
        <f>VLOOKUP($H125,output!$A$10:$AH$2201,S$1-$J$1+2)</f>
        <v>0</v>
      </c>
      <c r="T125" s="11">
        <f>VLOOKUP($H125,output!$A$10:$AH$2201,T$1-$J$1+2)</f>
        <v>0</v>
      </c>
      <c r="U125" s="11">
        <f>VLOOKUP($H125,output!$A$10:$AH$2201,U$1-$J$1+2)</f>
        <v>0</v>
      </c>
      <c r="V125" s="11">
        <f>VLOOKUP($H125,output!$A$10:$AH$2201,V$1-$J$1+2)</f>
        <v>0</v>
      </c>
      <c r="W125" s="11">
        <f>VLOOKUP($H125,output!$A$10:$AH$2201,W$1-$J$1+2)</f>
        <v>0</v>
      </c>
      <c r="X125" s="11">
        <f>VLOOKUP($H125,output!$A$10:$AH$2201,X$1-$J$1+2)</f>
        <v>0</v>
      </c>
      <c r="Y125" s="11">
        <f>VLOOKUP($H125,output!$A$10:$AH$2201,Y$1-$J$1+2)</f>
        <v>0</v>
      </c>
      <c r="Z125" s="11">
        <f>VLOOKUP($H125,output!$A$10:$AH$2201,Z$1-$J$1+2)</f>
        <v>0</v>
      </c>
      <c r="AA125" s="11">
        <f>VLOOKUP($H125,output!$A$10:$AH$2201,AA$1-$J$1+2)</f>
        <v>0</v>
      </c>
      <c r="AB125" s="11">
        <f>VLOOKUP($H125,output!$A$10:$AH$2201,AB$1-$J$1+2)</f>
        <v>0</v>
      </c>
      <c r="AC125" s="11">
        <f>VLOOKUP($H125,output!$A$10:$AH$2201,AC$1-$J$1+2)</f>
        <v>0</v>
      </c>
      <c r="AD125" s="11">
        <f>VLOOKUP($H125,output!$A$10:$AH$2201,AD$1-$J$1+2)</f>
        <v>0</v>
      </c>
      <c r="AE125" s="11">
        <f>VLOOKUP($H125,output!$A$10:$AH$2201,AE$1-$J$1+2)</f>
        <v>0</v>
      </c>
      <c r="AF125" s="11">
        <f>VLOOKUP($H125,output!$A$10:$AH$2201,AF$1-$J$1+2)</f>
        <v>0</v>
      </c>
      <c r="AG125" s="11">
        <f>VLOOKUP($H125,output!$A$10:$AH$2201,AG$1-$J$1+2)</f>
        <v>0</v>
      </c>
      <c r="AH125" s="11">
        <f>VLOOKUP($H125,output!$A$10:$AH$2201,AH$1-$J$1+2)</f>
        <v>0</v>
      </c>
      <c r="AI125" s="11">
        <f>VLOOKUP($H125,output!$A$10:$AH$2201,AI$1-$J$1+2)</f>
        <v>0</v>
      </c>
      <c r="AJ125" s="11">
        <f>VLOOKUP($H125,output!$A$10:$AH$2201,AJ$1-$J$1+2)</f>
        <v>0</v>
      </c>
      <c r="AK125" s="11">
        <f>VLOOKUP($H125,output!$A$10:$AH$2201,AK$1-$J$1+2)</f>
        <v>0</v>
      </c>
      <c r="AL125" s="11">
        <f>VLOOKUP($H125,output!$A$10:$AH$2201,AL$1-$J$1+2)</f>
        <v>0</v>
      </c>
      <c r="AM125" s="11">
        <f>VLOOKUP($H125,output!$A$10:$AH$2201,AM$1-$J$1+2)</f>
        <v>0</v>
      </c>
      <c r="AN125" s="11">
        <f>VLOOKUP($H125,output!$A$10:$AH$2201,AN$1-$J$1+2)</f>
        <v>0</v>
      </c>
      <c r="AO125" s="11">
        <f>VLOOKUP($H125,output!$A$10:$AH$2201,AO$1-$J$1+2)</f>
        <v>0</v>
      </c>
      <c r="AP125" s="11">
        <f>VLOOKUP($H125,output!$A$10:$AH$2201,AP$1-$J$1+2)</f>
        <v>0</v>
      </c>
    </row>
    <row r="126" spans="8:42" x14ac:dyDescent="0.25">
      <c r="H126" t="s">
        <v>205</v>
      </c>
      <c r="J126" s="11">
        <f>J122/4</f>
        <v>0</v>
      </c>
      <c r="K126" s="11">
        <f t="shared" ref="K126:AP126" si="80">K122/4</f>
        <v>5.9499999999999997E-2</v>
      </c>
      <c r="L126" s="11">
        <f t="shared" si="80"/>
        <v>0</v>
      </c>
      <c r="M126" s="11">
        <f t="shared" si="80"/>
        <v>0</v>
      </c>
      <c r="N126" s="11">
        <f t="shared" si="80"/>
        <v>0</v>
      </c>
      <c r="O126" s="11">
        <f t="shared" si="80"/>
        <v>0</v>
      </c>
      <c r="P126" s="11">
        <f t="shared" si="80"/>
        <v>0</v>
      </c>
      <c r="Q126" s="11">
        <f t="shared" si="80"/>
        <v>0</v>
      </c>
      <c r="R126" s="11">
        <f t="shared" si="80"/>
        <v>0</v>
      </c>
      <c r="S126" s="11">
        <f t="shared" si="80"/>
        <v>0</v>
      </c>
      <c r="T126" s="11">
        <f t="shared" si="80"/>
        <v>0</v>
      </c>
      <c r="U126" s="11">
        <f t="shared" si="80"/>
        <v>0</v>
      </c>
      <c r="V126" s="11">
        <f t="shared" si="80"/>
        <v>0</v>
      </c>
      <c r="W126" s="11">
        <f t="shared" si="80"/>
        <v>0</v>
      </c>
      <c r="X126" s="11">
        <f t="shared" si="80"/>
        <v>0</v>
      </c>
      <c r="Y126" s="11">
        <f t="shared" si="80"/>
        <v>0</v>
      </c>
      <c r="Z126" s="11">
        <f t="shared" si="80"/>
        <v>0</v>
      </c>
      <c r="AA126" s="11">
        <f t="shared" si="80"/>
        <v>0</v>
      </c>
      <c r="AB126" s="11">
        <f t="shared" si="80"/>
        <v>0</v>
      </c>
      <c r="AC126" s="11">
        <f t="shared" si="80"/>
        <v>0</v>
      </c>
      <c r="AD126" s="11">
        <f t="shared" si="80"/>
        <v>0</v>
      </c>
      <c r="AE126" s="11">
        <f t="shared" si="80"/>
        <v>0</v>
      </c>
      <c r="AF126" s="11">
        <f t="shared" si="80"/>
        <v>0</v>
      </c>
      <c r="AG126" s="11">
        <f t="shared" si="80"/>
        <v>0</v>
      </c>
      <c r="AH126" s="11">
        <f t="shared" si="80"/>
        <v>0</v>
      </c>
      <c r="AI126" s="11">
        <f t="shared" si="80"/>
        <v>0</v>
      </c>
      <c r="AJ126" s="11">
        <f t="shared" si="80"/>
        <v>0</v>
      </c>
      <c r="AK126" s="11">
        <f t="shared" si="80"/>
        <v>0</v>
      </c>
      <c r="AL126" s="11">
        <f t="shared" si="80"/>
        <v>0</v>
      </c>
      <c r="AM126" s="11">
        <f t="shared" si="80"/>
        <v>0</v>
      </c>
      <c r="AN126" s="11">
        <f t="shared" si="80"/>
        <v>0</v>
      </c>
      <c r="AO126" s="11">
        <f t="shared" si="80"/>
        <v>0</v>
      </c>
      <c r="AP126" s="11">
        <f t="shared" si="80"/>
        <v>0</v>
      </c>
    </row>
    <row r="127" spans="8:42" x14ac:dyDescent="0.25">
      <c r="H127" t="s">
        <v>206</v>
      </c>
      <c r="J127" s="11">
        <f>J124/4</f>
        <v>0</v>
      </c>
      <c r="K127" s="11">
        <f t="shared" ref="K127:AP127" si="81">K124/4</f>
        <v>0</v>
      </c>
      <c r="L127" s="11">
        <f t="shared" si="81"/>
        <v>0</v>
      </c>
      <c r="M127" s="11">
        <f t="shared" si="81"/>
        <v>0</v>
      </c>
      <c r="N127" s="11">
        <f t="shared" si="81"/>
        <v>0</v>
      </c>
      <c r="O127" s="11">
        <f t="shared" si="81"/>
        <v>0</v>
      </c>
      <c r="P127" s="11">
        <f t="shared" si="81"/>
        <v>0</v>
      </c>
      <c r="Q127" s="11">
        <f t="shared" si="81"/>
        <v>0</v>
      </c>
      <c r="R127" s="11">
        <f t="shared" si="81"/>
        <v>0</v>
      </c>
      <c r="S127" s="11">
        <f t="shared" si="81"/>
        <v>0</v>
      </c>
      <c r="T127" s="11">
        <f t="shared" si="81"/>
        <v>0</v>
      </c>
      <c r="U127" s="11">
        <f t="shared" si="81"/>
        <v>0</v>
      </c>
      <c r="V127" s="11">
        <f t="shared" si="81"/>
        <v>0</v>
      </c>
      <c r="W127" s="11">
        <f t="shared" si="81"/>
        <v>0</v>
      </c>
      <c r="X127" s="11">
        <f t="shared" si="81"/>
        <v>0</v>
      </c>
      <c r="Y127" s="11">
        <f t="shared" si="81"/>
        <v>0</v>
      </c>
      <c r="Z127" s="11">
        <f t="shared" si="81"/>
        <v>0</v>
      </c>
      <c r="AA127" s="11">
        <f t="shared" si="81"/>
        <v>0</v>
      </c>
      <c r="AB127" s="11">
        <f t="shared" si="81"/>
        <v>0</v>
      </c>
      <c r="AC127" s="11">
        <f t="shared" si="81"/>
        <v>0</v>
      </c>
      <c r="AD127" s="11">
        <f t="shared" si="81"/>
        <v>0</v>
      </c>
      <c r="AE127" s="11">
        <f t="shared" si="81"/>
        <v>0</v>
      </c>
      <c r="AF127" s="11">
        <f t="shared" si="81"/>
        <v>0</v>
      </c>
      <c r="AG127" s="11">
        <f t="shared" si="81"/>
        <v>0</v>
      </c>
      <c r="AH127" s="11">
        <f t="shared" si="81"/>
        <v>0</v>
      </c>
      <c r="AI127" s="11">
        <f t="shared" si="81"/>
        <v>0</v>
      </c>
      <c r="AJ127" s="11">
        <f t="shared" si="81"/>
        <v>0</v>
      </c>
      <c r="AK127" s="11">
        <f t="shared" si="81"/>
        <v>0</v>
      </c>
      <c r="AL127" s="11">
        <f t="shared" si="81"/>
        <v>0</v>
      </c>
      <c r="AM127" s="11">
        <f t="shared" si="81"/>
        <v>0</v>
      </c>
      <c r="AN127" s="11">
        <f t="shared" si="81"/>
        <v>0</v>
      </c>
      <c r="AO127" s="11">
        <f t="shared" si="81"/>
        <v>0</v>
      </c>
      <c r="AP127" s="11">
        <f t="shared" si="81"/>
        <v>0</v>
      </c>
    </row>
    <row r="128" spans="8:42" x14ac:dyDescent="0.25">
      <c r="H128" t="s">
        <v>208</v>
      </c>
      <c r="J128" s="11"/>
      <c r="K128" s="11"/>
      <c r="L128" s="11"/>
      <c r="M128" s="11"/>
      <c r="N128" s="11"/>
      <c r="O128" s="11"/>
      <c r="P128" s="11"/>
      <c r="Q128" s="11">
        <f>Q179*Q183*0.6/1000</f>
        <v>0</v>
      </c>
      <c r="R128" s="11">
        <f t="shared" ref="R128:AP128" si="82">R179*R183*0.6/1000</f>
        <v>0</v>
      </c>
      <c r="S128" s="11">
        <f t="shared" si="82"/>
        <v>0</v>
      </c>
      <c r="T128" s="11">
        <f t="shared" si="82"/>
        <v>0</v>
      </c>
      <c r="U128" s="11">
        <f t="shared" si="82"/>
        <v>0</v>
      </c>
      <c r="V128" s="11">
        <f t="shared" si="82"/>
        <v>0</v>
      </c>
      <c r="W128" s="11">
        <f t="shared" si="82"/>
        <v>0</v>
      </c>
      <c r="X128" s="11">
        <f t="shared" si="82"/>
        <v>0</v>
      </c>
      <c r="Y128" s="11">
        <f t="shared" si="82"/>
        <v>0</v>
      </c>
      <c r="Z128" s="11">
        <f t="shared" si="82"/>
        <v>0</v>
      </c>
      <c r="AA128" s="11">
        <f t="shared" si="82"/>
        <v>0</v>
      </c>
      <c r="AB128" s="11">
        <f t="shared" si="82"/>
        <v>0</v>
      </c>
      <c r="AC128" s="11">
        <f t="shared" si="82"/>
        <v>0</v>
      </c>
      <c r="AD128" s="11">
        <f t="shared" si="82"/>
        <v>0</v>
      </c>
      <c r="AE128" s="11">
        <f t="shared" si="82"/>
        <v>0</v>
      </c>
      <c r="AF128" s="11">
        <f t="shared" si="82"/>
        <v>0</v>
      </c>
      <c r="AG128" s="11">
        <f t="shared" si="82"/>
        <v>0</v>
      </c>
      <c r="AH128" s="11">
        <f t="shared" si="82"/>
        <v>0</v>
      </c>
      <c r="AI128" s="11">
        <f t="shared" si="82"/>
        <v>0</v>
      </c>
      <c r="AJ128" s="11">
        <f t="shared" si="82"/>
        <v>0</v>
      </c>
      <c r="AK128" s="11">
        <f t="shared" si="82"/>
        <v>0</v>
      </c>
      <c r="AL128" s="11">
        <f t="shared" si="82"/>
        <v>0</v>
      </c>
      <c r="AM128" s="11">
        <f t="shared" si="82"/>
        <v>0</v>
      </c>
      <c r="AN128" s="11">
        <f t="shared" si="82"/>
        <v>0</v>
      </c>
      <c r="AO128" s="11">
        <f t="shared" si="82"/>
        <v>0</v>
      </c>
      <c r="AP128" s="11">
        <f t="shared" si="82"/>
        <v>0</v>
      </c>
    </row>
    <row r="129" spans="8:44" x14ac:dyDescent="0.25">
      <c r="H129" t="s">
        <v>209</v>
      </c>
      <c r="J129" s="11"/>
      <c r="K129" s="11"/>
      <c r="L129" s="11"/>
      <c r="M129" s="11"/>
      <c r="N129" s="11"/>
      <c r="O129" s="11"/>
      <c r="P129" s="11"/>
      <c r="Q129" s="11">
        <f>Q180*Q183*0.6/1000</f>
        <v>0</v>
      </c>
      <c r="R129" s="11">
        <f t="shared" ref="R129:AP129" si="83">R180*R183*0.6/1000</f>
        <v>0</v>
      </c>
      <c r="S129" s="11">
        <f t="shared" si="83"/>
        <v>0</v>
      </c>
      <c r="T129" s="11">
        <f t="shared" si="83"/>
        <v>0</v>
      </c>
      <c r="U129" s="11">
        <f t="shared" si="83"/>
        <v>0</v>
      </c>
      <c r="V129" s="11">
        <f t="shared" si="83"/>
        <v>0</v>
      </c>
      <c r="W129" s="11">
        <f t="shared" si="83"/>
        <v>0</v>
      </c>
      <c r="X129" s="11">
        <f t="shared" si="83"/>
        <v>0</v>
      </c>
      <c r="Y129" s="11">
        <f t="shared" si="83"/>
        <v>0</v>
      </c>
      <c r="Z129" s="11">
        <f t="shared" si="83"/>
        <v>0</v>
      </c>
      <c r="AA129" s="11">
        <f t="shared" si="83"/>
        <v>0</v>
      </c>
      <c r="AB129" s="11">
        <f t="shared" si="83"/>
        <v>0</v>
      </c>
      <c r="AC129" s="11">
        <f t="shared" si="83"/>
        <v>0</v>
      </c>
      <c r="AD129" s="11">
        <f t="shared" si="83"/>
        <v>0</v>
      </c>
      <c r="AE129" s="11">
        <f t="shared" si="83"/>
        <v>0</v>
      </c>
      <c r="AF129" s="11">
        <f t="shared" si="83"/>
        <v>0</v>
      </c>
      <c r="AG129" s="11">
        <f t="shared" si="83"/>
        <v>0</v>
      </c>
      <c r="AH129" s="11">
        <f t="shared" si="83"/>
        <v>0</v>
      </c>
      <c r="AI129" s="11">
        <f t="shared" si="83"/>
        <v>0</v>
      </c>
      <c r="AJ129" s="11">
        <f t="shared" si="83"/>
        <v>0</v>
      </c>
      <c r="AK129" s="11">
        <f t="shared" si="83"/>
        <v>0</v>
      </c>
      <c r="AL129" s="11">
        <f t="shared" si="83"/>
        <v>0</v>
      </c>
      <c r="AM129" s="11">
        <f t="shared" si="83"/>
        <v>0</v>
      </c>
      <c r="AN129" s="11">
        <f t="shared" si="83"/>
        <v>0</v>
      </c>
      <c r="AO129" s="11">
        <f t="shared" si="83"/>
        <v>0</v>
      </c>
      <c r="AP129" s="11">
        <f t="shared" si="83"/>
        <v>0</v>
      </c>
    </row>
    <row r="130" spans="8:44" x14ac:dyDescent="0.25"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</row>
    <row r="131" spans="8:44" x14ac:dyDescent="0.25">
      <c r="H131" t="s">
        <v>97</v>
      </c>
      <c r="J131" s="11">
        <f>VLOOKUP($H131,output!$A$10:$AH$2201,J$1-$J$1+2)</f>
        <v>0</v>
      </c>
      <c r="K131" s="11">
        <f>VLOOKUP($H131,output!$A$10:$AH$2201,K$1-$J$1+2)</f>
        <v>0.91200000000000003</v>
      </c>
      <c r="L131" s="11">
        <f>VLOOKUP($H131,output!$A$10:$AH$2201,L$1-$J$1+2)</f>
        <v>0</v>
      </c>
      <c r="M131" s="11">
        <f>VLOOKUP($H131,output!$A$10:$AH$2201,M$1-$J$1+2)</f>
        <v>0</v>
      </c>
      <c r="N131" s="11">
        <f>VLOOKUP($H131,output!$A$10:$AH$2201,N$1-$J$1+2)</f>
        <v>0</v>
      </c>
      <c r="O131" s="11">
        <f>VLOOKUP($H131,output!$A$10:$AH$2201,O$1-$J$1+2)</f>
        <v>0</v>
      </c>
      <c r="P131" s="11">
        <f>VLOOKUP($H131,output!$A$10:$AH$2201,P$1-$J$1+2)</f>
        <v>0</v>
      </c>
      <c r="Q131" s="11">
        <f>VLOOKUP($H131,output!$A$10:$AH$2201,Q$1-$J$1+2)</f>
        <v>0</v>
      </c>
      <c r="R131" s="11">
        <f>VLOOKUP($H131,output!$A$10:$AH$2201,R$1-$J$1+2)</f>
        <v>0</v>
      </c>
      <c r="S131" s="11">
        <f>VLOOKUP($H131,output!$A$10:$AH$2201,S$1-$J$1+2)</f>
        <v>0</v>
      </c>
      <c r="T131" s="11">
        <f>VLOOKUP($H131,output!$A$10:$AH$2201,T$1-$J$1+2)</f>
        <v>0</v>
      </c>
      <c r="U131" s="11">
        <f>VLOOKUP($H131,output!$A$10:$AH$2201,U$1-$J$1+2)</f>
        <v>0</v>
      </c>
      <c r="V131" s="11">
        <f>VLOOKUP($H131,output!$A$10:$AH$2201,V$1-$J$1+2)</f>
        <v>0</v>
      </c>
      <c r="W131" s="11">
        <f>VLOOKUP($H131,output!$A$10:$AH$2201,W$1-$J$1+2)</f>
        <v>0</v>
      </c>
      <c r="X131" s="11">
        <f>VLOOKUP($H131,output!$A$10:$AH$2201,X$1-$J$1+2)</f>
        <v>0</v>
      </c>
      <c r="Y131" s="11">
        <f>VLOOKUP($H131,output!$A$10:$AH$2201,Y$1-$J$1+2)</f>
        <v>0</v>
      </c>
      <c r="Z131" s="11">
        <f>VLOOKUP($H131,output!$A$10:$AH$2201,Z$1-$J$1+2)</f>
        <v>0</v>
      </c>
      <c r="AA131" s="11">
        <f>VLOOKUP($H131,output!$A$10:$AH$2201,AA$1-$J$1+2)</f>
        <v>0</v>
      </c>
      <c r="AB131" s="11">
        <f>VLOOKUP($H131,output!$A$10:$AH$2201,AB$1-$J$1+2)</f>
        <v>0</v>
      </c>
      <c r="AC131" s="11">
        <f>VLOOKUP($H131,output!$A$10:$AH$2201,AC$1-$J$1+2)</f>
        <v>0</v>
      </c>
      <c r="AD131" s="11">
        <f>VLOOKUP($H131,output!$A$10:$AH$2201,AD$1-$J$1+2)</f>
        <v>0</v>
      </c>
      <c r="AE131" s="11">
        <f>VLOOKUP($H131,output!$A$10:$AH$2201,AE$1-$J$1+2)</f>
        <v>0</v>
      </c>
      <c r="AF131" s="11">
        <f>VLOOKUP($H131,output!$A$10:$AH$2201,AF$1-$J$1+2)</f>
        <v>0</v>
      </c>
      <c r="AG131" s="11">
        <f>VLOOKUP($H131,output!$A$10:$AH$2201,AG$1-$J$1+2)</f>
        <v>0</v>
      </c>
      <c r="AH131" s="11">
        <f>VLOOKUP($H131,output!$A$10:$AH$2201,AH$1-$J$1+2)</f>
        <v>0</v>
      </c>
      <c r="AI131" s="11">
        <f>VLOOKUP($H131,output!$A$10:$AH$2201,AI$1-$J$1+2)</f>
        <v>0</v>
      </c>
      <c r="AJ131" s="11">
        <f>VLOOKUP($H131,output!$A$10:$AH$2201,AJ$1-$J$1+2)</f>
        <v>0</v>
      </c>
      <c r="AK131" s="11">
        <f>VLOOKUP($H131,output!$A$10:$AH$2201,AK$1-$J$1+2)</f>
        <v>0</v>
      </c>
      <c r="AL131" s="11">
        <f>VLOOKUP($H131,output!$A$10:$AH$2201,AL$1-$J$1+2)</f>
        <v>0</v>
      </c>
      <c r="AM131" s="11">
        <f>VLOOKUP($H131,output!$A$10:$AH$2201,AM$1-$J$1+2)</f>
        <v>0</v>
      </c>
      <c r="AN131" s="11">
        <f>VLOOKUP($H131,output!$A$10:$AH$2201,AN$1-$J$1+2)</f>
        <v>0</v>
      </c>
      <c r="AO131" s="11">
        <f>VLOOKUP($H131,output!$A$10:$AH$2201,AO$1-$J$1+2)</f>
        <v>0</v>
      </c>
      <c r="AP131" s="11">
        <f>VLOOKUP($H131,output!$A$10:$AH$2201,AP$1-$J$1+2)</f>
        <v>0</v>
      </c>
    </row>
    <row r="132" spans="8:44" x14ac:dyDescent="0.25"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</row>
    <row r="133" spans="8:44" x14ac:dyDescent="0.25"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</row>
    <row r="134" spans="8:44" x14ac:dyDescent="0.25">
      <c r="H134" t="s">
        <v>195</v>
      </c>
      <c r="J134" s="11"/>
      <c r="K134" s="11"/>
      <c r="L134" s="11"/>
      <c r="M134" s="11"/>
      <c r="N134" s="11"/>
      <c r="O134" s="11">
        <f>O64*0.6/1000</f>
        <v>0.19679999999999989</v>
      </c>
      <c r="P134" s="11">
        <f t="shared" ref="P134:AP134" si="84">P64*0.6/1000</f>
        <v>0.29940000000000005</v>
      </c>
      <c r="Q134" s="11">
        <f t="shared" si="84"/>
        <v>0.38879999999999976</v>
      </c>
      <c r="R134" s="11">
        <f t="shared" si="84"/>
        <v>0.23820000000000013</v>
      </c>
      <c r="S134" s="11">
        <f t="shared" si="84"/>
        <v>0.34319999999999978</v>
      </c>
      <c r="T134" s="11">
        <f t="shared" si="84"/>
        <v>0.30360000000000015</v>
      </c>
      <c r="U134" s="11">
        <f t="shared" si="84"/>
        <v>0.25499999999999989</v>
      </c>
      <c r="V134" s="11">
        <f t="shared" si="84"/>
        <v>0.21300000000000024</v>
      </c>
      <c r="W134" s="11">
        <f t="shared" si="84"/>
        <v>0.1758000000000001</v>
      </c>
      <c r="X134" s="11">
        <f t="shared" si="84"/>
        <v>0.11579999999999975</v>
      </c>
      <c r="Y134" s="11">
        <f>Y64*0.6/1000</f>
        <v>8.579999999999989E-2</v>
      </c>
      <c r="Z134" s="11">
        <f t="shared" si="84"/>
        <v>5.5200000000000318E-2</v>
      </c>
      <c r="AA134" s="11">
        <f t="shared" si="84"/>
        <v>5.9999999999966742E-4</v>
      </c>
      <c r="AB134" s="11">
        <f t="shared" si="84"/>
        <v>1.8600000000000349E-2</v>
      </c>
      <c r="AC134" s="11">
        <f t="shared" si="84"/>
        <v>1.7999999999999617E-2</v>
      </c>
      <c r="AD134" s="11">
        <f t="shared" si="84"/>
        <v>1.8000000000000148E-2</v>
      </c>
      <c r="AE134" s="11">
        <f t="shared" si="84"/>
        <v>1.739999999999995E-2</v>
      </c>
      <c r="AF134" s="11">
        <f t="shared" si="84"/>
        <v>1.739999999999995E-2</v>
      </c>
      <c r="AG134" s="11">
        <f t="shared" si="84"/>
        <v>1.680000000000028E-2</v>
      </c>
      <c r="AH134" s="11">
        <f t="shared" si="84"/>
        <v>1.6799999999999749E-2</v>
      </c>
      <c r="AI134" s="11">
        <f t="shared" si="84"/>
        <v>1.680000000000028E-2</v>
      </c>
      <c r="AJ134" s="11">
        <f t="shared" si="84"/>
        <v>1.6200000000000082E-2</v>
      </c>
      <c r="AK134" s="11">
        <f t="shared" si="84"/>
        <v>1.499999999999968E-2</v>
      </c>
      <c r="AL134" s="11">
        <f t="shared" si="84"/>
        <v>-4.0703999999999994</v>
      </c>
      <c r="AM134" s="11">
        <f t="shared" si="84"/>
        <v>0</v>
      </c>
      <c r="AN134" s="11">
        <f t="shared" si="84"/>
        <v>0</v>
      </c>
      <c r="AO134" s="11">
        <f t="shared" si="84"/>
        <v>0</v>
      </c>
      <c r="AP134" s="11">
        <f t="shared" si="84"/>
        <v>0</v>
      </c>
    </row>
    <row r="135" spans="8:44" x14ac:dyDescent="0.25"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</row>
    <row r="136" spans="8:44" x14ac:dyDescent="0.25"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</row>
    <row r="137" spans="8:44" x14ac:dyDescent="0.25"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</row>
    <row r="138" spans="8:44" x14ac:dyDescent="0.25"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</row>
    <row r="139" spans="8:44" x14ac:dyDescent="0.25"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</row>
    <row r="140" spans="8:44" x14ac:dyDescent="0.25">
      <c r="H140" s="2" t="s">
        <v>170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R140" t="s">
        <v>172</v>
      </c>
    </row>
    <row r="141" spans="8:44" x14ac:dyDescent="0.25">
      <c r="H141" t="s">
        <v>104</v>
      </c>
      <c r="J141" s="11"/>
      <c r="K141" s="11"/>
      <c r="L141" s="11"/>
      <c r="M141" s="11">
        <v>2.8</v>
      </c>
      <c r="N141" s="11">
        <v>1.3</v>
      </c>
      <c r="O141" s="11">
        <v>2.6</v>
      </c>
      <c r="P141" s="11">
        <f>P120+P126+P127</f>
        <v>0</v>
      </c>
      <c r="Q141" s="11">
        <f t="shared" ref="Q141:AP141" si="85">Q120+Q126+Q127</f>
        <v>0</v>
      </c>
      <c r="R141" s="11">
        <f t="shared" si="85"/>
        <v>0</v>
      </c>
      <c r="S141" s="11">
        <f t="shared" si="85"/>
        <v>0</v>
      </c>
      <c r="T141" s="11">
        <f t="shared" si="85"/>
        <v>0</v>
      </c>
      <c r="U141" s="11">
        <f t="shared" si="85"/>
        <v>0</v>
      </c>
      <c r="V141" s="11">
        <f t="shared" si="85"/>
        <v>0</v>
      </c>
      <c r="W141" s="11">
        <f t="shared" si="85"/>
        <v>0</v>
      </c>
      <c r="X141" s="11">
        <f t="shared" si="85"/>
        <v>0</v>
      </c>
      <c r="Y141" s="11">
        <f t="shared" si="85"/>
        <v>0</v>
      </c>
      <c r="Z141" s="11">
        <f t="shared" si="85"/>
        <v>0</v>
      </c>
      <c r="AA141" s="11">
        <f t="shared" si="85"/>
        <v>0</v>
      </c>
      <c r="AB141" s="11">
        <f t="shared" si="85"/>
        <v>0</v>
      </c>
      <c r="AC141" s="11">
        <f t="shared" si="85"/>
        <v>0</v>
      </c>
      <c r="AD141" s="11">
        <f t="shared" si="85"/>
        <v>0</v>
      </c>
      <c r="AE141" s="11">
        <f t="shared" si="85"/>
        <v>0</v>
      </c>
      <c r="AF141" s="11">
        <f t="shared" si="85"/>
        <v>0</v>
      </c>
      <c r="AG141" s="11">
        <f t="shared" si="85"/>
        <v>0</v>
      </c>
      <c r="AH141" s="11">
        <f t="shared" si="85"/>
        <v>0</v>
      </c>
      <c r="AI141" s="11">
        <f t="shared" si="85"/>
        <v>0</v>
      </c>
      <c r="AJ141" s="11">
        <f t="shared" si="85"/>
        <v>0</v>
      </c>
      <c r="AK141" s="11">
        <f t="shared" si="85"/>
        <v>0</v>
      </c>
      <c r="AL141" s="11">
        <f t="shared" si="85"/>
        <v>0</v>
      </c>
      <c r="AM141" s="11">
        <f t="shared" si="85"/>
        <v>0</v>
      </c>
      <c r="AN141" s="11">
        <f t="shared" si="85"/>
        <v>0</v>
      </c>
      <c r="AO141" s="11">
        <f t="shared" si="85"/>
        <v>0</v>
      </c>
      <c r="AP141" s="11">
        <f t="shared" si="85"/>
        <v>0</v>
      </c>
      <c r="AR141" s="1">
        <f>AVERAGE(P141:V141)</f>
        <v>0</v>
      </c>
    </row>
    <row r="142" spans="8:44" x14ac:dyDescent="0.25">
      <c r="H142" t="s">
        <v>140</v>
      </c>
      <c r="J142" s="11"/>
      <c r="K142" s="11"/>
      <c r="L142" s="11"/>
      <c r="M142" s="11">
        <v>2</v>
      </c>
      <c r="N142" s="11">
        <v>2.4500000000000002</v>
      </c>
      <c r="O142" s="11">
        <f>O121+O134</f>
        <v>0.19679999999999989</v>
      </c>
      <c r="P142" s="11">
        <f t="shared" ref="P142" si="86">P121+P134</f>
        <v>0.29940000000000005</v>
      </c>
      <c r="Q142" s="11">
        <f>Q121+Q134-Q128-Q129</f>
        <v>0.38879999999999976</v>
      </c>
      <c r="R142" s="11">
        <f t="shared" ref="R142:AP142" si="87">R121+R134-R128-R129</f>
        <v>0.23820000000000013</v>
      </c>
      <c r="S142" s="11">
        <f t="shared" si="87"/>
        <v>0.34319999999999978</v>
      </c>
      <c r="T142" s="11">
        <f t="shared" si="87"/>
        <v>0.30360000000000015</v>
      </c>
      <c r="U142" s="11">
        <f t="shared" si="87"/>
        <v>0.25499999999999989</v>
      </c>
      <c r="V142" s="11">
        <f>V121+V134-V128-V129</f>
        <v>0.21300000000000024</v>
      </c>
      <c r="W142" s="11">
        <f t="shared" si="87"/>
        <v>0.1758000000000001</v>
      </c>
      <c r="X142" s="11">
        <f t="shared" si="87"/>
        <v>0.11579999999999975</v>
      </c>
      <c r="Y142" s="11">
        <f t="shared" si="87"/>
        <v>8.579999999999989E-2</v>
      </c>
      <c r="Z142" s="11">
        <f t="shared" si="87"/>
        <v>5.5200000000000318E-2</v>
      </c>
      <c r="AA142" s="11">
        <f t="shared" si="87"/>
        <v>5.9999999999966742E-4</v>
      </c>
      <c r="AB142" s="11">
        <f t="shared" si="87"/>
        <v>1.8600000000000349E-2</v>
      </c>
      <c r="AC142" s="11">
        <f t="shared" si="87"/>
        <v>1.7999999999999617E-2</v>
      </c>
      <c r="AD142" s="11">
        <f t="shared" si="87"/>
        <v>1.8000000000000148E-2</v>
      </c>
      <c r="AE142" s="11">
        <f t="shared" si="87"/>
        <v>1.739999999999995E-2</v>
      </c>
      <c r="AF142" s="11">
        <f t="shared" si="87"/>
        <v>1.739999999999995E-2</v>
      </c>
      <c r="AG142" s="11">
        <f t="shared" si="87"/>
        <v>1.680000000000028E-2</v>
      </c>
      <c r="AH142" s="11">
        <f t="shared" si="87"/>
        <v>1.6799999999999749E-2</v>
      </c>
      <c r="AI142" s="11">
        <f t="shared" si="87"/>
        <v>1.680000000000028E-2</v>
      </c>
      <c r="AJ142" s="11">
        <f t="shared" si="87"/>
        <v>1.6200000000000082E-2</v>
      </c>
      <c r="AK142" s="11">
        <f t="shared" si="87"/>
        <v>1.499999999999968E-2</v>
      </c>
      <c r="AL142" s="11">
        <f t="shared" si="87"/>
        <v>-4.0703999999999994</v>
      </c>
      <c r="AM142" s="11">
        <f t="shared" si="87"/>
        <v>0</v>
      </c>
      <c r="AN142" s="11">
        <f t="shared" si="87"/>
        <v>0</v>
      </c>
      <c r="AO142" s="11">
        <f t="shared" si="87"/>
        <v>0</v>
      </c>
      <c r="AP142" s="11">
        <f t="shared" si="87"/>
        <v>0</v>
      </c>
      <c r="AR142" s="1">
        <f t="shared" ref="AR142:AR149" si="88">AVERAGE(P142:V142)</f>
        <v>0.29159999999999997</v>
      </c>
    </row>
    <row r="143" spans="8:44" x14ac:dyDescent="0.25">
      <c r="H143" t="s">
        <v>105</v>
      </c>
      <c r="J143" s="11"/>
      <c r="K143" s="11"/>
      <c r="L143" s="11"/>
      <c r="M143" s="11">
        <f>M122+M133</f>
        <v>0</v>
      </c>
      <c r="N143" s="11">
        <f>N122+N133</f>
        <v>0</v>
      </c>
      <c r="O143" s="11">
        <f>O122-O126</f>
        <v>0</v>
      </c>
      <c r="P143" s="11">
        <f t="shared" ref="P143" si="89">P122-P126</f>
        <v>0</v>
      </c>
      <c r="Q143" s="11">
        <f>Q122-Q126+Q129</f>
        <v>0</v>
      </c>
      <c r="R143" s="11">
        <f t="shared" ref="R143:AP143" si="90">R122-R126+R129</f>
        <v>0</v>
      </c>
      <c r="S143" s="11">
        <f t="shared" si="90"/>
        <v>0</v>
      </c>
      <c r="T143" s="11">
        <f t="shared" si="90"/>
        <v>0</v>
      </c>
      <c r="U143" s="11">
        <f t="shared" si="90"/>
        <v>0</v>
      </c>
      <c r="V143" s="11">
        <f>V122-V126+V129</f>
        <v>0</v>
      </c>
      <c r="W143" s="11">
        <f t="shared" si="90"/>
        <v>0</v>
      </c>
      <c r="X143" s="11">
        <f t="shared" si="90"/>
        <v>0</v>
      </c>
      <c r="Y143" s="11">
        <f t="shared" si="90"/>
        <v>0</v>
      </c>
      <c r="Z143" s="11">
        <f t="shared" si="90"/>
        <v>0</v>
      </c>
      <c r="AA143" s="11">
        <f t="shared" si="90"/>
        <v>0</v>
      </c>
      <c r="AB143" s="11">
        <f t="shared" si="90"/>
        <v>0</v>
      </c>
      <c r="AC143" s="11">
        <f t="shared" si="90"/>
        <v>0</v>
      </c>
      <c r="AD143" s="11">
        <f t="shared" si="90"/>
        <v>0</v>
      </c>
      <c r="AE143" s="11">
        <f t="shared" si="90"/>
        <v>0</v>
      </c>
      <c r="AF143" s="11">
        <f t="shared" si="90"/>
        <v>0</v>
      </c>
      <c r="AG143" s="11">
        <f t="shared" si="90"/>
        <v>0</v>
      </c>
      <c r="AH143" s="11">
        <f t="shared" si="90"/>
        <v>0</v>
      </c>
      <c r="AI143" s="11">
        <f t="shared" si="90"/>
        <v>0</v>
      </c>
      <c r="AJ143" s="11">
        <f t="shared" si="90"/>
        <v>0</v>
      </c>
      <c r="AK143" s="11">
        <f t="shared" si="90"/>
        <v>0</v>
      </c>
      <c r="AL143" s="11">
        <f t="shared" si="90"/>
        <v>0</v>
      </c>
      <c r="AM143" s="11">
        <f t="shared" si="90"/>
        <v>0</v>
      </c>
      <c r="AN143" s="11">
        <f t="shared" si="90"/>
        <v>0</v>
      </c>
      <c r="AO143" s="11">
        <f t="shared" si="90"/>
        <v>0</v>
      </c>
      <c r="AP143" s="11">
        <f t="shared" si="90"/>
        <v>0</v>
      </c>
      <c r="AR143" s="1">
        <f t="shared" si="88"/>
        <v>0</v>
      </c>
    </row>
    <row r="144" spans="8:44" x14ac:dyDescent="0.25">
      <c r="H144" t="s">
        <v>141</v>
      </c>
      <c r="J144" s="11"/>
      <c r="K144" s="11"/>
      <c r="L144" s="11"/>
      <c r="M144" s="11">
        <v>0.4</v>
      </c>
      <c r="N144" s="11">
        <v>0.5</v>
      </c>
      <c r="O144" s="11">
        <v>0.6</v>
      </c>
      <c r="P144" s="11">
        <f t="shared" ref="P144:AP144" si="91">P124-P127+P128</f>
        <v>0</v>
      </c>
      <c r="Q144" s="11">
        <f t="shared" si="91"/>
        <v>0</v>
      </c>
      <c r="R144" s="11">
        <f t="shared" si="91"/>
        <v>0</v>
      </c>
      <c r="S144" s="11">
        <f t="shared" si="91"/>
        <v>0</v>
      </c>
      <c r="T144" s="11">
        <f t="shared" si="91"/>
        <v>0</v>
      </c>
      <c r="U144" s="11">
        <f t="shared" si="91"/>
        <v>0</v>
      </c>
      <c r="V144" s="11">
        <f>V124-V127+V128</f>
        <v>0</v>
      </c>
      <c r="W144" s="11">
        <f t="shared" si="91"/>
        <v>0</v>
      </c>
      <c r="X144" s="11">
        <f t="shared" si="91"/>
        <v>0</v>
      </c>
      <c r="Y144" s="11">
        <f t="shared" si="91"/>
        <v>0</v>
      </c>
      <c r="Z144" s="11">
        <f t="shared" si="91"/>
        <v>0</v>
      </c>
      <c r="AA144" s="11">
        <f t="shared" si="91"/>
        <v>0</v>
      </c>
      <c r="AB144" s="11">
        <f t="shared" si="91"/>
        <v>0</v>
      </c>
      <c r="AC144" s="11">
        <f t="shared" si="91"/>
        <v>0</v>
      </c>
      <c r="AD144" s="11">
        <f t="shared" si="91"/>
        <v>0</v>
      </c>
      <c r="AE144" s="11">
        <f t="shared" si="91"/>
        <v>0</v>
      </c>
      <c r="AF144" s="11">
        <f t="shared" si="91"/>
        <v>0</v>
      </c>
      <c r="AG144" s="11">
        <f t="shared" si="91"/>
        <v>0</v>
      </c>
      <c r="AH144" s="11">
        <f t="shared" si="91"/>
        <v>0</v>
      </c>
      <c r="AI144" s="11">
        <f t="shared" si="91"/>
        <v>0</v>
      </c>
      <c r="AJ144" s="11">
        <f t="shared" si="91"/>
        <v>0</v>
      </c>
      <c r="AK144" s="11">
        <f t="shared" si="91"/>
        <v>0</v>
      </c>
      <c r="AL144" s="11">
        <f t="shared" si="91"/>
        <v>0</v>
      </c>
      <c r="AM144" s="11">
        <f t="shared" si="91"/>
        <v>0</v>
      </c>
      <c r="AN144" s="11">
        <f t="shared" si="91"/>
        <v>0</v>
      </c>
      <c r="AO144" s="11">
        <f t="shared" si="91"/>
        <v>0</v>
      </c>
      <c r="AP144" s="11">
        <f t="shared" si="91"/>
        <v>0</v>
      </c>
      <c r="AR144" s="1">
        <f t="shared" si="88"/>
        <v>0</v>
      </c>
    </row>
    <row r="145" spans="8:44" x14ac:dyDescent="0.25">
      <c r="H145" t="s">
        <v>106</v>
      </c>
      <c r="J145" s="11"/>
      <c r="K145" s="11"/>
      <c r="L145" s="11"/>
      <c r="M145" s="11">
        <f t="shared" ref="M145:AP145" si="92">M125</f>
        <v>0</v>
      </c>
      <c r="N145" s="11">
        <f t="shared" si="92"/>
        <v>0</v>
      </c>
      <c r="O145" s="11">
        <f t="shared" si="92"/>
        <v>0</v>
      </c>
      <c r="P145" s="11">
        <f t="shared" si="92"/>
        <v>0</v>
      </c>
      <c r="Q145" s="11">
        <f t="shared" si="92"/>
        <v>0</v>
      </c>
      <c r="R145" s="11">
        <f t="shared" si="92"/>
        <v>0</v>
      </c>
      <c r="S145" s="11">
        <f t="shared" si="92"/>
        <v>0</v>
      </c>
      <c r="T145" s="11">
        <f t="shared" si="92"/>
        <v>0</v>
      </c>
      <c r="U145" s="11">
        <f t="shared" si="92"/>
        <v>0</v>
      </c>
      <c r="V145" s="11">
        <f t="shared" si="92"/>
        <v>0</v>
      </c>
      <c r="W145" s="11">
        <f t="shared" si="92"/>
        <v>0</v>
      </c>
      <c r="X145" s="11">
        <f t="shared" si="92"/>
        <v>0</v>
      </c>
      <c r="Y145" s="11">
        <f t="shared" si="92"/>
        <v>0</v>
      </c>
      <c r="Z145" s="11">
        <f t="shared" si="92"/>
        <v>0</v>
      </c>
      <c r="AA145" s="11">
        <f t="shared" si="92"/>
        <v>0</v>
      </c>
      <c r="AB145" s="11">
        <f t="shared" si="92"/>
        <v>0</v>
      </c>
      <c r="AC145" s="11">
        <f t="shared" si="92"/>
        <v>0</v>
      </c>
      <c r="AD145" s="11">
        <f t="shared" si="92"/>
        <v>0</v>
      </c>
      <c r="AE145" s="11">
        <f t="shared" si="92"/>
        <v>0</v>
      </c>
      <c r="AF145" s="11">
        <f t="shared" si="92"/>
        <v>0</v>
      </c>
      <c r="AG145" s="11">
        <f t="shared" si="92"/>
        <v>0</v>
      </c>
      <c r="AH145" s="11">
        <f t="shared" si="92"/>
        <v>0</v>
      </c>
      <c r="AI145" s="11">
        <f t="shared" si="92"/>
        <v>0</v>
      </c>
      <c r="AJ145" s="11">
        <f t="shared" si="92"/>
        <v>0</v>
      </c>
      <c r="AK145" s="11">
        <f t="shared" si="92"/>
        <v>0</v>
      </c>
      <c r="AL145" s="11">
        <f t="shared" si="92"/>
        <v>0</v>
      </c>
      <c r="AM145" s="11">
        <f t="shared" si="92"/>
        <v>0</v>
      </c>
      <c r="AN145" s="11">
        <f t="shared" si="92"/>
        <v>0</v>
      </c>
      <c r="AO145" s="11">
        <f t="shared" si="92"/>
        <v>0</v>
      </c>
      <c r="AP145" s="11">
        <f t="shared" si="92"/>
        <v>0</v>
      </c>
      <c r="AR145" s="1">
        <f t="shared" si="88"/>
        <v>0</v>
      </c>
    </row>
    <row r="146" spans="8:44" x14ac:dyDescent="0.25"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R146" s="1"/>
    </row>
    <row r="147" spans="8:44" x14ac:dyDescent="0.25">
      <c r="H147" t="s">
        <v>143</v>
      </c>
      <c r="J147" s="11"/>
      <c r="K147" s="11">
        <f>K142+K143+K144</f>
        <v>0</v>
      </c>
      <c r="L147" s="11">
        <f t="shared" ref="L147:U147" si="93">L142+L143+L144</f>
        <v>0</v>
      </c>
      <c r="M147" s="11">
        <f>M142+M143+M144</f>
        <v>2.4</v>
      </c>
      <c r="N147" s="11">
        <f>N142+N143+N144</f>
        <v>2.95</v>
      </c>
      <c r="O147" s="11">
        <f>O142+O143+O144</f>
        <v>0.79679999999999984</v>
      </c>
      <c r="P147" s="11">
        <f t="shared" si="93"/>
        <v>0.29940000000000005</v>
      </c>
      <c r="Q147" s="11">
        <f>Q142+Q143+Q144</f>
        <v>0.38879999999999976</v>
      </c>
      <c r="R147" s="11">
        <f t="shared" si="93"/>
        <v>0.23820000000000013</v>
      </c>
      <c r="S147" s="11">
        <f t="shared" si="93"/>
        <v>0.34319999999999978</v>
      </c>
      <c r="T147" s="11">
        <f t="shared" si="93"/>
        <v>0.30360000000000015</v>
      </c>
      <c r="U147" s="11">
        <f t="shared" si="93"/>
        <v>0.25499999999999989</v>
      </c>
      <c r="V147" s="11">
        <f>V142+V143+V144</f>
        <v>0.21300000000000024</v>
      </c>
      <c r="W147" s="11">
        <f t="shared" ref="W147:AP147" si="94">W142+W143+W144</f>
        <v>0.1758000000000001</v>
      </c>
      <c r="X147" s="11">
        <f t="shared" si="94"/>
        <v>0.11579999999999975</v>
      </c>
      <c r="Y147" s="11">
        <f t="shared" si="94"/>
        <v>8.579999999999989E-2</v>
      </c>
      <c r="Z147" s="11">
        <f t="shared" si="94"/>
        <v>5.5200000000000318E-2</v>
      </c>
      <c r="AA147" s="11">
        <f t="shared" si="94"/>
        <v>5.9999999999966742E-4</v>
      </c>
      <c r="AB147" s="11">
        <f t="shared" si="94"/>
        <v>1.8600000000000349E-2</v>
      </c>
      <c r="AC147" s="11">
        <f t="shared" si="94"/>
        <v>1.7999999999999617E-2</v>
      </c>
      <c r="AD147" s="11">
        <f t="shared" si="94"/>
        <v>1.8000000000000148E-2</v>
      </c>
      <c r="AE147" s="11">
        <f t="shared" si="94"/>
        <v>1.739999999999995E-2</v>
      </c>
      <c r="AF147" s="11">
        <f t="shared" si="94"/>
        <v>1.739999999999995E-2</v>
      </c>
      <c r="AG147" s="11">
        <f t="shared" si="94"/>
        <v>1.680000000000028E-2</v>
      </c>
      <c r="AH147" s="11">
        <f t="shared" si="94"/>
        <v>1.6799999999999749E-2</v>
      </c>
      <c r="AI147" s="11">
        <f t="shared" si="94"/>
        <v>1.680000000000028E-2</v>
      </c>
      <c r="AJ147" s="11">
        <f t="shared" si="94"/>
        <v>1.6200000000000082E-2</v>
      </c>
      <c r="AK147" s="11">
        <f t="shared" si="94"/>
        <v>1.499999999999968E-2</v>
      </c>
      <c r="AL147" s="11">
        <f t="shared" si="94"/>
        <v>-4.0703999999999994</v>
      </c>
      <c r="AM147" s="11">
        <f t="shared" si="94"/>
        <v>0</v>
      </c>
      <c r="AN147" s="11">
        <f t="shared" si="94"/>
        <v>0</v>
      </c>
      <c r="AO147" s="11">
        <f t="shared" si="94"/>
        <v>0</v>
      </c>
      <c r="AP147" s="11">
        <f t="shared" si="94"/>
        <v>0</v>
      </c>
      <c r="AR147" s="1">
        <f t="shared" si="88"/>
        <v>0.29159999999999997</v>
      </c>
    </row>
    <row r="148" spans="8:44" x14ac:dyDescent="0.25">
      <c r="H148" t="s">
        <v>104</v>
      </c>
      <c r="J148" s="11"/>
      <c r="K148" s="11">
        <f>K141</f>
        <v>0</v>
      </c>
      <c r="L148" s="11">
        <f t="shared" ref="L148:U148" si="95">L141</f>
        <v>0</v>
      </c>
      <c r="M148" s="11">
        <f t="shared" si="95"/>
        <v>2.8</v>
      </c>
      <c r="N148" s="11">
        <f t="shared" si="95"/>
        <v>1.3</v>
      </c>
      <c r="O148" s="11">
        <f>O141</f>
        <v>2.6</v>
      </c>
      <c r="P148" s="11">
        <f t="shared" si="95"/>
        <v>0</v>
      </c>
      <c r="Q148" s="11">
        <f t="shared" si="95"/>
        <v>0</v>
      </c>
      <c r="R148" s="11">
        <f t="shared" si="95"/>
        <v>0</v>
      </c>
      <c r="S148" s="11">
        <f t="shared" si="95"/>
        <v>0</v>
      </c>
      <c r="T148" s="11">
        <f t="shared" si="95"/>
        <v>0</v>
      </c>
      <c r="U148" s="11">
        <f t="shared" si="95"/>
        <v>0</v>
      </c>
      <c r="V148" s="11">
        <f>V141</f>
        <v>0</v>
      </c>
      <c r="W148" s="11">
        <f t="shared" ref="W148:AP148" si="96">W141</f>
        <v>0</v>
      </c>
      <c r="X148" s="11">
        <f t="shared" si="96"/>
        <v>0</v>
      </c>
      <c r="Y148" s="11">
        <f t="shared" si="96"/>
        <v>0</v>
      </c>
      <c r="Z148" s="11">
        <f t="shared" si="96"/>
        <v>0</v>
      </c>
      <c r="AA148" s="11">
        <f t="shared" si="96"/>
        <v>0</v>
      </c>
      <c r="AB148" s="11">
        <f t="shared" si="96"/>
        <v>0</v>
      </c>
      <c r="AC148" s="11">
        <f t="shared" si="96"/>
        <v>0</v>
      </c>
      <c r="AD148" s="11">
        <f t="shared" si="96"/>
        <v>0</v>
      </c>
      <c r="AE148" s="11">
        <f t="shared" si="96"/>
        <v>0</v>
      </c>
      <c r="AF148" s="11">
        <f t="shared" si="96"/>
        <v>0</v>
      </c>
      <c r="AG148" s="11">
        <f t="shared" si="96"/>
        <v>0</v>
      </c>
      <c r="AH148" s="11">
        <f t="shared" si="96"/>
        <v>0</v>
      </c>
      <c r="AI148" s="11">
        <f t="shared" si="96"/>
        <v>0</v>
      </c>
      <c r="AJ148" s="11">
        <f t="shared" si="96"/>
        <v>0</v>
      </c>
      <c r="AK148" s="11">
        <f t="shared" si="96"/>
        <v>0</v>
      </c>
      <c r="AL148" s="11">
        <f t="shared" si="96"/>
        <v>0</v>
      </c>
      <c r="AM148" s="11">
        <f t="shared" si="96"/>
        <v>0</v>
      </c>
      <c r="AN148" s="11">
        <f t="shared" si="96"/>
        <v>0</v>
      </c>
      <c r="AO148" s="11">
        <f t="shared" si="96"/>
        <v>0</v>
      </c>
      <c r="AP148" s="11">
        <f t="shared" si="96"/>
        <v>0</v>
      </c>
      <c r="AR148" s="1">
        <f t="shared" si="88"/>
        <v>0</v>
      </c>
    </row>
    <row r="149" spans="8:44" x14ac:dyDescent="0.25">
      <c r="H149" t="s">
        <v>144</v>
      </c>
      <c r="J149" s="11"/>
      <c r="K149" s="11">
        <f>SUM(K141:K144)</f>
        <v>0</v>
      </c>
      <c r="L149" s="11">
        <f t="shared" ref="L149:V149" si="97">SUM(L141:L144)</f>
        <v>0</v>
      </c>
      <c r="M149" s="11">
        <f t="shared" si="97"/>
        <v>5.2</v>
      </c>
      <c r="N149" s="11">
        <f t="shared" si="97"/>
        <v>4.25</v>
      </c>
      <c r="O149" s="11">
        <f t="shared" si="97"/>
        <v>3.3968000000000003</v>
      </c>
      <c r="P149" s="11">
        <f t="shared" si="97"/>
        <v>0.29940000000000005</v>
      </c>
      <c r="Q149" s="11">
        <f t="shared" si="97"/>
        <v>0.38879999999999976</v>
      </c>
      <c r="R149" s="11">
        <f t="shared" si="97"/>
        <v>0.23820000000000013</v>
      </c>
      <c r="S149" s="11">
        <f t="shared" si="97"/>
        <v>0.34319999999999978</v>
      </c>
      <c r="T149" s="11">
        <f t="shared" si="97"/>
        <v>0.30360000000000015</v>
      </c>
      <c r="U149" s="11">
        <f t="shared" si="97"/>
        <v>0.25499999999999989</v>
      </c>
      <c r="V149" s="11">
        <f t="shared" si="97"/>
        <v>0.21300000000000024</v>
      </c>
      <c r="W149" s="11">
        <f t="shared" ref="W149:AP149" si="98">SUM(W141:W144)</f>
        <v>0.1758000000000001</v>
      </c>
      <c r="X149" s="11">
        <f t="shared" si="98"/>
        <v>0.11579999999999975</v>
      </c>
      <c r="Y149" s="11">
        <f t="shared" si="98"/>
        <v>8.579999999999989E-2</v>
      </c>
      <c r="Z149" s="11">
        <f t="shared" si="98"/>
        <v>5.5200000000000318E-2</v>
      </c>
      <c r="AA149" s="11">
        <f t="shared" si="98"/>
        <v>5.9999999999966742E-4</v>
      </c>
      <c r="AB149" s="11">
        <f t="shared" si="98"/>
        <v>1.8600000000000349E-2</v>
      </c>
      <c r="AC149" s="11">
        <f t="shared" si="98"/>
        <v>1.7999999999999617E-2</v>
      </c>
      <c r="AD149" s="11">
        <f t="shared" si="98"/>
        <v>1.8000000000000148E-2</v>
      </c>
      <c r="AE149" s="11">
        <f t="shared" si="98"/>
        <v>1.739999999999995E-2</v>
      </c>
      <c r="AF149" s="11">
        <f t="shared" si="98"/>
        <v>1.739999999999995E-2</v>
      </c>
      <c r="AG149" s="11">
        <f t="shared" si="98"/>
        <v>1.680000000000028E-2</v>
      </c>
      <c r="AH149" s="11">
        <f t="shared" si="98"/>
        <v>1.6799999999999749E-2</v>
      </c>
      <c r="AI149" s="11">
        <f t="shared" si="98"/>
        <v>1.680000000000028E-2</v>
      </c>
      <c r="AJ149" s="11">
        <f t="shared" si="98"/>
        <v>1.6200000000000082E-2</v>
      </c>
      <c r="AK149" s="11">
        <f t="shared" si="98"/>
        <v>1.499999999999968E-2</v>
      </c>
      <c r="AL149" s="11">
        <f t="shared" si="98"/>
        <v>-4.0703999999999994</v>
      </c>
      <c r="AM149" s="11">
        <f t="shared" si="98"/>
        <v>0</v>
      </c>
      <c r="AN149" s="11">
        <f t="shared" si="98"/>
        <v>0</v>
      </c>
      <c r="AO149" s="11">
        <f t="shared" si="98"/>
        <v>0</v>
      </c>
      <c r="AP149" s="11">
        <f t="shared" si="98"/>
        <v>0</v>
      </c>
      <c r="AR149" s="1">
        <f t="shared" si="88"/>
        <v>0.29159999999999997</v>
      </c>
    </row>
    <row r="150" spans="8:44" x14ac:dyDescent="0.25"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</row>
    <row r="151" spans="8:44" x14ac:dyDescent="0.25"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</row>
    <row r="152" spans="8:44" x14ac:dyDescent="0.25"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</row>
    <row r="153" spans="8:44" x14ac:dyDescent="0.25">
      <c r="H153" s="2" t="s">
        <v>165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</row>
    <row r="154" spans="8:44" x14ac:dyDescent="0.25">
      <c r="H154" s="8" t="s">
        <v>57</v>
      </c>
      <c r="I154" s="8" t="s">
        <v>155</v>
      </c>
      <c r="J154" s="11"/>
      <c r="K154" s="11">
        <f>VLOOKUP($H154,output!$A$10:$AH$2201,K$1-$J$1+2)</f>
        <v>113.52800000000001</v>
      </c>
      <c r="L154" s="11">
        <f>VLOOKUP($H154,output!$A$10:$AH$2201,L$1-$J$1+2)</f>
        <v>70.798000000000002</v>
      </c>
      <c r="M154" s="11">
        <f>VLOOKUP($H154,output!$A$10:$AH$2201,M$1-$J$1+2)</f>
        <v>109.062</v>
      </c>
      <c r="N154" s="11">
        <f>VLOOKUP($H154,output!$A$10:$AH$2201,N$1-$J$1+2)</f>
        <v>116.565</v>
      </c>
      <c r="O154" s="11">
        <f>VLOOKUP($H154,output!$A$10:$AH$2201,O$1-$J$1+2)</f>
        <v>114.67100000000001</v>
      </c>
      <c r="P154" s="11">
        <f>VLOOKUP($H154,output!$A$10:$AH$2201,P$1-$J$1+2)</f>
        <v>107.732</v>
      </c>
      <c r="Q154" s="11">
        <f>VLOOKUP($H154,output!$A$10:$AH$2201,Q$1-$J$1+2)</f>
        <v>113.806</v>
      </c>
      <c r="R154" s="11">
        <f>VLOOKUP($H154,output!$A$10:$AH$2201,R$1-$J$1+2)</f>
        <v>168.60400000000001</v>
      </c>
      <c r="S154" s="11">
        <f>VLOOKUP($H154,output!$A$10:$AH$2201,S$1-$J$1+2)</f>
        <v>159.72900000000001</v>
      </c>
      <c r="T154" s="11">
        <f>VLOOKUP($H154,output!$A$10:$AH$2201,T$1-$J$1+2)</f>
        <v>150.84299999999999</v>
      </c>
      <c r="U154" s="11">
        <f>VLOOKUP($H154,output!$A$10:$AH$2201,U$1-$J$1+2)</f>
        <v>149.56200000000001</v>
      </c>
      <c r="V154" s="11">
        <f>VLOOKUP($H154,output!$A$10:$AH$2201,V$1-$J$1+2)</f>
        <v>140.471</v>
      </c>
      <c r="W154" s="11">
        <f>VLOOKUP($H154,output!$A$10:$AH$2201,W$1-$J$1+2)</f>
        <v>140.654</v>
      </c>
      <c r="X154" s="11">
        <f>VLOOKUP($H154,output!$A$10:$AH$2201,X$1-$J$1+2)</f>
        <v>217.66399999999999</v>
      </c>
      <c r="Y154" s="11">
        <f>VLOOKUP($H154,output!$A$10:$AH$2201,Y$1-$J$1+2)</f>
        <v>204.13499999999999</v>
      </c>
      <c r="Z154" s="11">
        <f>VLOOKUP($H154,output!$A$10:$AH$2201,Z$1-$J$1+2)</f>
        <v>198.04300000000001</v>
      </c>
      <c r="AA154" s="11">
        <f>VLOOKUP($H154,output!$A$10:$AH$2201,AA$1-$J$1+2)</f>
        <v>255.07300000000001</v>
      </c>
      <c r="AB154" s="11">
        <f>VLOOKUP($H154,output!$A$10:$AH$2201,AB$1-$J$1+2)</f>
        <v>197.636</v>
      </c>
      <c r="AC154" s="11">
        <f>VLOOKUP($H154,output!$A$10:$AH$2201,AC$1-$J$1+2)</f>
        <v>187.953</v>
      </c>
      <c r="AD154" s="11">
        <f>VLOOKUP($H154,output!$A$10:$AH$2201,AD$1-$J$1+2)</f>
        <v>164.27799999999999</v>
      </c>
      <c r="AE154" s="11">
        <f>VLOOKUP($H154,output!$A$10:$AH$2201,AE$1-$J$1+2)</f>
        <v>164.98699999999999</v>
      </c>
      <c r="AF154" s="11">
        <f>VLOOKUP($H154,output!$A$10:$AH$2201,AF$1-$J$1+2)</f>
        <v>156.369</v>
      </c>
      <c r="AG154" s="11">
        <f>VLOOKUP($H154,output!$A$10:$AH$2201,AG$1-$J$1+2)</f>
        <v>148.261</v>
      </c>
      <c r="AH154" s="11">
        <f>VLOOKUP($H154,output!$A$10:$AH$2201,AH$1-$J$1+2)</f>
        <v>140.73400000000001</v>
      </c>
      <c r="AI154" s="11">
        <f>VLOOKUP($H154,output!$A$10:$AH$2201,AI$1-$J$1+2)</f>
        <v>133.83799999999999</v>
      </c>
      <c r="AJ154" s="11">
        <f>VLOOKUP($H154,output!$A$10:$AH$2201,AJ$1-$J$1+2)</f>
        <v>127.375</v>
      </c>
      <c r="AK154" s="11">
        <f>VLOOKUP($H154,output!$A$10:$AH$2201,AK$1-$J$1+2)</f>
        <v>122.995</v>
      </c>
      <c r="AL154" s="11">
        <f>VLOOKUP($H154,output!$A$10:$AH$2201,AL$1-$J$1+2)</f>
        <v>0</v>
      </c>
      <c r="AM154" s="11">
        <f>VLOOKUP($H154,output!$A$10:$AH$2201,AM$1-$J$1+2)</f>
        <v>0</v>
      </c>
      <c r="AN154" s="11">
        <f>VLOOKUP($H154,output!$A$10:$AH$2201,AN$1-$J$1+2)</f>
        <v>0</v>
      </c>
      <c r="AO154" s="11">
        <f>VLOOKUP($H154,output!$A$10:$AH$2201,AO$1-$J$1+2)</f>
        <v>0</v>
      </c>
      <c r="AP154" s="11">
        <f>VLOOKUP($H154,output!$A$10:$AH$2201,AP$1-$J$1+2)</f>
        <v>0</v>
      </c>
      <c r="AR154" s="1">
        <f t="shared" ref="AR154:AR157" si="99">AVERAGE(P154:V154)</f>
        <v>141.53528571428572</v>
      </c>
    </row>
    <row r="155" spans="8:44" x14ac:dyDescent="0.25">
      <c r="H155" s="8" t="s">
        <v>56</v>
      </c>
      <c r="I155" s="8" t="s">
        <v>164</v>
      </c>
      <c r="J155" s="11"/>
      <c r="K155" s="11">
        <f>VLOOKUP($H155,output!$A$10:$AH$2201,K$1-$J$1+2)</f>
        <v>495.41500000000002</v>
      </c>
      <c r="L155" s="11">
        <f>VLOOKUP($H155,output!$A$10:$AH$2201,L$1-$J$1+2)</f>
        <v>352.84800000000001</v>
      </c>
      <c r="M155" s="11">
        <f>VLOOKUP($H155,output!$A$10:$AH$2201,M$1-$J$1+2)</f>
        <v>484.40600000000001</v>
      </c>
      <c r="N155" s="11">
        <f>VLOOKUP($H155,output!$A$10:$AH$2201,N$1-$J$1+2)</f>
        <v>523.27800000000002</v>
      </c>
      <c r="O155" s="11">
        <f>VLOOKUP($H155,output!$A$10:$AH$2201,O$1-$J$1+2)</f>
        <v>540.44399999999996</v>
      </c>
      <c r="P155" s="11">
        <f>VLOOKUP($H155,output!$A$10:$AH$2201,P$1-$J$1+2)</f>
        <v>529.28599999999994</v>
      </c>
      <c r="Q155" s="11">
        <f>VLOOKUP($H155,output!$A$10:$AH$2201,Q$1-$J$1+2)</f>
        <v>544.101</v>
      </c>
      <c r="R155" s="11">
        <f>VLOOKUP($H155,output!$A$10:$AH$2201,R$1-$J$1+2)</f>
        <v>724.91200000000003</v>
      </c>
      <c r="S155" s="11">
        <f>VLOOKUP($H155,output!$A$10:$AH$2201,S$1-$J$1+2)</f>
        <v>681.30100000000004</v>
      </c>
      <c r="T155" s="11">
        <f>VLOOKUP($H155,output!$A$10:$AH$2201,T$1-$J$1+2)</f>
        <v>662.89800000000002</v>
      </c>
      <c r="U155" s="11">
        <f>VLOOKUP($H155,output!$A$10:$AH$2201,U$1-$J$1+2)</f>
        <v>677.99599999999998</v>
      </c>
      <c r="V155" s="11">
        <f>VLOOKUP($H155,output!$A$10:$AH$2201,V$1-$J$1+2)</f>
        <v>654.73400000000004</v>
      </c>
      <c r="W155" s="11">
        <f>VLOOKUP($H155,output!$A$10:$AH$2201,W$1-$J$1+2)</f>
        <v>651.35400000000004</v>
      </c>
      <c r="X155" s="11">
        <f>VLOOKUP($H155,output!$A$10:$AH$2201,X$1-$J$1+2)</f>
        <v>992.11599999999999</v>
      </c>
      <c r="Y155" s="11">
        <f>VLOOKUP($H155,output!$A$10:$AH$2201,Y$1-$J$1+2)</f>
        <v>943.976</v>
      </c>
      <c r="Z155" s="11">
        <f>VLOOKUP($H155,output!$A$10:$AH$2201,Z$1-$J$1+2)</f>
        <v>928.11099999999999</v>
      </c>
      <c r="AA155" s="11">
        <f>VLOOKUP($H155,output!$A$10:$AH$2201,AA$1-$J$1+2)</f>
        <v>1094.348</v>
      </c>
      <c r="AB155" s="11">
        <f>VLOOKUP($H155,output!$A$10:$AH$2201,AB$1-$J$1+2)</f>
        <v>998.11300000000006</v>
      </c>
      <c r="AC155" s="11">
        <f>VLOOKUP($H155,output!$A$10:$AH$2201,AC$1-$J$1+2)</f>
        <v>956.62800000000004</v>
      </c>
      <c r="AD155" s="11">
        <f>VLOOKUP($H155,output!$A$10:$AH$2201,AD$1-$J$1+2)</f>
        <v>855.53499999999997</v>
      </c>
      <c r="AE155" s="11">
        <f>VLOOKUP($H155,output!$A$10:$AH$2201,AE$1-$J$1+2)</f>
        <v>857.31500000000005</v>
      </c>
      <c r="AF155" s="11">
        <f>VLOOKUP($H155,output!$A$10:$AH$2201,AF$1-$J$1+2)</f>
        <v>815.952</v>
      </c>
      <c r="AG155" s="11">
        <f>VLOOKUP($H155,output!$A$10:$AH$2201,AG$1-$J$1+2)</f>
        <v>777.71</v>
      </c>
      <c r="AH155" s="11">
        <f>VLOOKUP($H155,output!$A$10:$AH$2201,AH$1-$J$1+2)</f>
        <v>741.70500000000004</v>
      </c>
      <c r="AI155" s="11">
        <f>VLOOKUP($H155,output!$A$10:$AH$2201,AI$1-$J$1+2)</f>
        <v>708.66099999999994</v>
      </c>
      <c r="AJ155" s="11">
        <f>VLOOKUP($H155,output!$A$10:$AH$2201,AJ$1-$J$1+2)</f>
        <v>677.64700000000005</v>
      </c>
      <c r="AK155" s="11">
        <f>VLOOKUP($H155,output!$A$10:$AH$2201,AK$1-$J$1+2)</f>
        <v>648.36</v>
      </c>
      <c r="AL155" s="11">
        <f>VLOOKUP($H155,output!$A$10:$AH$2201,AL$1-$J$1+2)</f>
        <v>0</v>
      </c>
      <c r="AM155" s="11">
        <f>VLOOKUP($H155,output!$A$10:$AH$2201,AM$1-$J$1+2)</f>
        <v>0</v>
      </c>
      <c r="AN155" s="11">
        <f>VLOOKUP($H155,output!$A$10:$AH$2201,AN$1-$J$1+2)</f>
        <v>0</v>
      </c>
      <c r="AO155" s="11">
        <f>VLOOKUP($H155,output!$A$10:$AH$2201,AO$1-$J$1+2)</f>
        <v>0</v>
      </c>
      <c r="AP155" s="11">
        <f>VLOOKUP($H155,output!$A$10:$AH$2201,AP$1-$J$1+2)</f>
        <v>0</v>
      </c>
      <c r="AR155" s="1">
        <f t="shared" si="99"/>
        <v>639.31828571428571</v>
      </c>
    </row>
    <row r="156" spans="8:44" x14ac:dyDescent="0.25">
      <c r="H156" s="8" t="s">
        <v>55</v>
      </c>
      <c r="I156" s="8" t="s">
        <v>156</v>
      </c>
      <c r="J156" s="11"/>
      <c r="K156" s="11">
        <f>VLOOKUP($H156,output!$A$10:$AH$2201,K$1-$J$1+2)</f>
        <v>189.63399999999999</v>
      </c>
      <c r="L156" s="11">
        <f>VLOOKUP($H156,output!$A$10:$AH$2201,L$1-$J$1+2)</f>
        <v>112.911</v>
      </c>
      <c r="M156" s="11">
        <f>VLOOKUP($H156,output!$A$10:$AH$2201,M$1-$J$1+2)</f>
        <v>207.964</v>
      </c>
      <c r="N156" s="11">
        <f>VLOOKUP($H156,output!$A$10:$AH$2201,N$1-$J$1+2)</f>
        <v>216.44399999999999</v>
      </c>
      <c r="O156" s="11">
        <f>VLOOKUP($H156,output!$A$10:$AH$2201,O$1-$J$1+2)</f>
        <v>193.78800000000001</v>
      </c>
      <c r="P156" s="11">
        <f>VLOOKUP($H156,output!$A$10:$AH$2201,P$1-$J$1+2)</f>
        <v>168.732</v>
      </c>
      <c r="Q156" s="11">
        <f>VLOOKUP($H156,output!$A$10:$AH$2201,Q$1-$J$1+2)</f>
        <v>213.649</v>
      </c>
      <c r="R156" s="11">
        <f>VLOOKUP($H156,output!$A$10:$AH$2201,R$1-$J$1+2)</f>
        <v>293.786</v>
      </c>
      <c r="S156" s="11">
        <f>VLOOKUP($H156,output!$A$10:$AH$2201,S$1-$J$1+2)</f>
        <v>277.25</v>
      </c>
      <c r="T156" s="11">
        <f>VLOOKUP($H156,output!$A$10:$AH$2201,T$1-$J$1+2)</f>
        <v>249.87899999999999</v>
      </c>
      <c r="U156" s="11">
        <f>VLOOKUP($H156,output!$A$10:$AH$2201,U$1-$J$1+2)</f>
        <v>230.98599999999999</v>
      </c>
      <c r="V156" s="11">
        <f>VLOOKUP($H156,output!$A$10:$AH$2201,V$1-$J$1+2)</f>
        <v>205.53899999999999</v>
      </c>
      <c r="W156" s="11">
        <f>VLOOKUP($H156,output!$A$10:$AH$2201,W$1-$J$1+2)</f>
        <v>205.59100000000001</v>
      </c>
      <c r="X156" s="11">
        <f>VLOOKUP($H156,output!$A$10:$AH$2201,X$1-$J$1+2)</f>
        <v>276.16699999999997</v>
      </c>
      <c r="Y156" s="11">
        <f>VLOOKUP($H156,output!$A$10:$AH$2201,Y$1-$J$1+2)</f>
        <v>254.279</v>
      </c>
      <c r="Z156" s="11">
        <f>VLOOKUP($H156,output!$A$10:$AH$2201,Z$1-$J$1+2)</f>
        <v>241.02699999999999</v>
      </c>
      <c r="AA156" s="11">
        <f>VLOOKUP($H156,output!$A$10:$AH$2201,AA$1-$J$1+2)</f>
        <v>365.34</v>
      </c>
      <c r="AB156" s="11">
        <f>VLOOKUP($H156,output!$A$10:$AH$2201,AB$1-$J$1+2)</f>
        <v>217.02799999999999</v>
      </c>
      <c r="AC156" s="11">
        <f>VLOOKUP($H156,output!$A$10:$AH$2201,AC$1-$J$1+2)</f>
        <v>204.184</v>
      </c>
      <c r="AD156" s="11">
        <f>VLOOKUP($H156,output!$A$10:$AH$2201,AD$1-$J$1+2)</f>
        <v>172.941</v>
      </c>
      <c r="AE156" s="11">
        <f>VLOOKUP($H156,output!$A$10:$AH$2201,AE$1-$J$1+2)</f>
        <v>172.26599999999999</v>
      </c>
      <c r="AF156" s="11">
        <f>VLOOKUP($H156,output!$A$10:$AH$2201,AF$1-$J$1+2)</f>
        <v>162.71700000000001</v>
      </c>
      <c r="AG156" s="11">
        <f>VLOOKUP($H156,output!$A$10:$AH$2201,AG$1-$J$1+2)</f>
        <v>153.49</v>
      </c>
      <c r="AH156" s="11">
        <f>VLOOKUP($H156,output!$A$10:$AH$2201,AH$1-$J$1+2)</f>
        <v>145.09</v>
      </c>
      <c r="AI156" s="11">
        <f>VLOOKUP($H156,output!$A$10:$AH$2201,AI$1-$J$1+2)</f>
        <v>137.37799999999999</v>
      </c>
      <c r="AJ156" s="11">
        <f>VLOOKUP($H156,output!$A$10:$AH$2201,AJ$1-$J$1+2)</f>
        <v>130.15600000000001</v>
      </c>
      <c r="AK156" s="11">
        <f>VLOOKUP($H156,output!$A$10:$AH$2201,AK$1-$J$1+2)</f>
        <v>123.264</v>
      </c>
      <c r="AL156" s="11">
        <f>VLOOKUP($H156,output!$A$10:$AH$2201,AL$1-$J$1+2)</f>
        <v>0</v>
      </c>
      <c r="AM156" s="11">
        <f>VLOOKUP($H156,output!$A$10:$AH$2201,AM$1-$J$1+2)</f>
        <v>0</v>
      </c>
      <c r="AN156" s="11">
        <f>VLOOKUP($H156,output!$A$10:$AH$2201,AN$1-$J$1+2)</f>
        <v>0</v>
      </c>
      <c r="AO156" s="11">
        <f>VLOOKUP($H156,output!$A$10:$AH$2201,AO$1-$J$1+2)</f>
        <v>0</v>
      </c>
      <c r="AP156" s="11">
        <f>VLOOKUP($H156,output!$A$10:$AH$2201,AP$1-$J$1+2)</f>
        <v>0</v>
      </c>
      <c r="AR156" s="1">
        <f t="shared" si="99"/>
        <v>234.26014285714282</v>
      </c>
    </row>
    <row r="157" spans="8:44" x14ac:dyDescent="0.25">
      <c r="H157" s="8" t="s">
        <v>54</v>
      </c>
      <c r="I157" s="8" t="s">
        <v>157</v>
      </c>
      <c r="J157" s="11"/>
      <c r="K157" s="11">
        <f>VLOOKUP($H157,output!$A$10:$AH$2201,K$1-$J$1+2)</f>
        <v>113.514</v>
      </c>
      <c r="L157" s="11">
        <f>VLOOKUP($H157,output!$A$10:$AH$2201,L$1-$J$1+2)</f>
        <v>81.350999999999999</v>
      </c>
      <c r="M157" s="11">
        <f>VLOOKUP($H157,output!$A$10:$AH$2201,M$1-$J$1+2)</f>
        <v>118.464</v>
      </c>
      <c r="N157" s="11">
        <f>VLOOKUP($H157,output!$A$10:$AH$2201,N$1-$J$1+2)</f>
        <v>127.539</v>
      </c>
      <c r="O157" s="11">
        <f>VLOOKUP($H157,output!$A$10:$AH$2201,O$1-$J$1+2)</f>
        <v>129.52600000000001</v>
      </c>
      <c r="P157" s="11">
        <f>VLOOKUP($H157,output!$A$10:$AH$2201,P$1-$J$1+2)</f>
        <v>124.749</v>
      </c>
      <c r="Q157" s="11">
        <f>VLOOKUP($H157,output!$A$10:$AH$2201,Q$1-$J$1+2)</f>
        <v>129.072</v>
      </c>
      <c r="R157" s="11">
        <f>VLOOKUP($H157,output!$A$10:$AH$2201,R$1-$J$1+2)</f>
        <v>185.035</v>
      </c>
      <c r="S157" s="11">
        <f>VLOOKUP($H157,output!$A$10:$AH$2201,S$1-$J$1+2)</f>
        <v>176.47499999999999</v>
      </c>
      <c r="T157" s="11">
        <f>VLOOKUP($H157,output!$A$10:$AH$2201,T$1-$J$1+2)</f>
        <v>170.226</v>
      </c>
      <c r="U157" s="11">
        <f>VLOOKUP($H157,output!$A$10:$AH$2201,U$1-$J$1+2)</f>
        <v>173.34100000000001</v>
      </c>
      <c r="V157" s="11">
        <f>VLOOKUP($H157,output!$A$10:$AH$2201,V$1-$J$1+2)</f>
        <v>165.654</v>
      </c>
      <c r="W157" s="11">
        <f>VLOOKUP($H157,output!$A$10:$AH$2201,W$1-$J$1+2)</f>
        <v>165.43799999999999</v>
      </c>
      <c r="X157" s="11">
        <f>VLOOKUP($H157,output!$A$10:$AH$2201,X$1-$J$1+2)</f>
        <v>262.7</v>
      </c>
      <c r="Y157" s="11">
        <f>VLOOKUP($H157,output!$A$10:$AH$2201,Y$1-$J$1+2)</f>
        <v>248.06700000000001</v>
      </c>
      <c r="Z157" s="11">
        <f>VLOOKUP($H157,output!$A$10:$AH$2201,Z$1-$J$1+2)</f>
        <v>242.035</v>
      </c>
      <c r="AA157" s="11">
        <f>VLOOKUP($H157,output!$A$10:$AH$2201,AA$1-$J$1+2)</f>
        <v>305.61900000000003</v>
      </c>
      <c r="AB157" s="11">
        <f>VLOOKUP($H157,output!$A$10:$AH$2201,AB$1-$J$1+2)</f>
        <v>250.892</v>
      </c>
      <c r="AC157" s="11">
        <f>VLOOKUP($H157,output!$A$10:$AH$2201,AC$1-$J$1+2)</f>
        <v>239.34</v>
      </c>
      <c r="AD157" s="11">
        <f>VLOOKUP($H157,output!$A$10:$AH$2201,AD$1-$J$1+2)</f>
        <v>210.803</v>
      </c>
      <c r="AE157" s="11">
        <f>VLOOKUP($H157,output!$A$10:$AH$2201,AE$1-$J$1+2)</f>
        <v>211.70599999999999</v>
      </c>
      <c r="AF157" s="11">
        <f>VLOOKUP($H157,output!$A$10:$AH$2201,AF$1-$J$1+2)</f>
        <v>201.267</v>
      </c>
      <c r="AG157" s="11">
        <f>VLOOKUP($H157,output!$A$10:$AH$2201,AG$1-$J$1+2)</f>
        <v>191.44499999999999</v>
      </c>
      <c r="AH157" s="11">
        <f>VLOOKUP($H157,output!$A$10:$AH$2201,AH$1-$J$1+2)</f>
        <v>182.26499999999999</v>
      </c>
      <c r="AI157" s="11">
        <f>VLOOKUP($H157,output!$A$10:$AH$2201,AI$1-$J$1+2)</f>
        <v>173.82400000000001</v>
      </c>
      <c r="AJ157" s="11">
        <f>VLOOKUP($H157,output!$A$10:$AH$2201,AJ$1-$J$1+2)</f>
        <v>165.90100000000001</v>
      </c>
      <c r="AK157" s="11">
        <f>VLOOKUP($H157,output!$A$10:$AH$2201,AK$1-$J$1+2)</f>
        <v>160.32900000000001</v>
      </c>
      <c r="AL157" s="11">
        <f>VLOOKUP($H157,output!$A$10:$AH$2201,AL$1-$J$1+2)</f>
        <v>0</v>
      </c>
      <c r="AM157" s="11">
        <f>VLOOKUP($H157,output!$A$10:$AH$2201,AM$1-$J$1+2)</f>
        <v>0</v>
      </c>
      <c r="AN157" s="11">
        <f>VLOOKUP($H157,output!$A$10:$AH$2201,AN$1-$J$1+2)</f>
        <v>0</v>
      </c>
      <c r="AO157" s="11">
        <f>VLOOKUP($H157,output!$A$10:$AH$2201,AO$1-$J$1+2)</f>
        <v>0</v>
      </c>
      <c r="AP157" s="11">
        <f>VLOOKUP($H157,output!$A$10:$AH$2201,AP$1-$J$1+2)</f>
        <v>0</v>
      </c>
      <c r="AR157" s="1">
        <f t="shared" si="99"/>
        <v>160.65028571428573</v>
      </c>
    </row>
    <row r="158" spans="8:44" x14ac:dyDescent="0.25"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</row>
    <row r="159" spans="8:44" x14ac:dyDescent="0.25">
      <c r="H159" t="s">
        <v>187</v>
      </c>
      <c r="J159" s="11"/>
      <c r="K159" s="11">
        <f>SUM(K154:K157)</f>
        <v>912.09100000000001</v>
      </c>
      <c r="L159" s="11">
        <f t="shared" ref="L159:V159" si="100">SUM(L154:L157)</f>
        <v>617.90800000000002</v>
      </c>
      <c r="M159" s="11">
        <f t="shared" si="100"/>
        <v>919.89599999999996</v>
      </c>
      <c r="N159" s="11">
        <f t="shared" si="100"/>
        <v>983.82600000000002</v>
      </c>
      <c r="O159" s="11">
        <f t="shared" si="100"/>
        <v>978.42900000000009</v>
      </c>
      <c r="P159" s="11">
        <f t="shared" si="100"/>
        <v>930.49899999999991</v>
      </c>
      <c r="Q159" s="11">
        <f t="shared" si="100"/>
        <v>1000.628</v>
      </c>
      <c r="R159" s="11">
        <f t="shared" si="100"/>
        <v>1372.3370000000002</v>
      </c>
      <c r="S159" s="11">
        <f t="shared" si="100"/>
        <v>1294.7550000000001</v>
      </c>
      <c r="T159" s="11">
        <f t="shared" si="100"/>
        <v>1233.846</v>
      </c>
      <c r="U159" s="11">
        <f t="shared" si="100"/>
        <v>1231.8849999999998</v>
      </c>
      <c r="V159" s="11">
        <f t="shared" si="100"/>
        <v>1166.3980000000001</v>
      </c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</row>
    <row r="160" spans="8:44" x14ac:dyDescent="0.25"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</row>
    <row r="161" spans="8:44" x14ac:dyDescent="0.25">
      <c r="H161" s="2" t="s">
        <v>168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</row>
    <row r="162" spans="8:44" x14ac:dyDescent="0.25">
      <c r="H162" t="s">
        <v>65</v>
      </c>
      <c r="J162" s="11"/>
      <c r="K162" s="11">
        <f>VLOOKUP($H162,output!$A$10:$AH$2201,K$1-$J$1+2)</f>
        <v>813.56100000000004</v>
      </c>
      <c r="L162" s="11">
        <f>VLOOKUP($H162,output!$A$10:$AH$2201,L$1-$J$1+2)</f>
        <v>0</v>
      </c>
      <c r="M162" s="11">
        <f>VLOOKUP($H162,output!$A$10:$AH$2201,M$1-$J$1+2)</f>
        <v>0</v>
      </c>
      <c r="N162" s="11">
        <f>VLOOKUP($H162,output!$A$10:$AH$2201,N$1-$J$1+2)</f>
        <v>0</v>
      </c>
      <c r="O162" s="11">
        <f>VLOOKUP($H162,output!$A$10:$AH$2201,O$1-$J$1+2)</f>
        <v>0</v>
      </c>
      <c r="P162" s="11">
        <f>VLOOKUP($H162,output!$A$10:$AH$2201,P$1-$J$1+2)</f>
        <v>0</v>
      </c>
      <c r="Q162" s="11">
        <f>VLOOKUP($H162,output!$A$10:$AH$2201,Q$1-$J$1+2)</f>
        <v>0</v>
      </c>
      <c r="R162" s="11">
        <f>VLOOKUP($H162,output!$A$10:$AH$2201,R$1-$J$1+2)</f>
        <v>0</v>
      </c>
      <c r="S162" s="11">
        <f>VLOOKUP($H162,output!$A$10:$AH$2201,S$1-$J$1+2)</f>
        <v>0</v>
      </c>
      <c r="T162" s="11">
        <f>VLOOKUP($H162,output!$A$10:$AH$2201,T$1-$J$1+2)</f>
        <v>0</v>
      </c>
      <c r="U162" s="11">
        <f>VLOOKUP($H162,output!$A$10:$AH$2201,U$1-$J$1+2)</f>
        <v>0</v>
      </c>
      <c r="V162" s="11">
        <f>VLOOKUP($H162,output!$A$10:$AH$2201,V$1-$J$1+2)</f>
        <v>0</v>
      </c>
      <c r="W162" s="11">
        <f>VLOOKUP($H162,output!$A$10:$AH$2201,W$1-$J$1+2)</f>
        <v>0</v>
      </c>
      <c r="X162" s="11">
        <f>VLOOKUP($H162,output!$A$10:$AH$2201,X$1-$J$1+2)</f>
        <v>0</v>
      </c>
      <c r="Y162" s="11">
        <f>VLOOKUP($H162,output!$A$10:$AH$2201,Y$1-$J$1+2)</f>
        <v>0</v>
      </c>
      <c r="Z162" s="11">
        <f>VLOOKUP($H162,output!$A$10:$AH$2201,Z$1-$J$1+2)</f>
        <v>0</v>
      </c>
      <c r="AA162" s="11">
        <f>VLOOKUP($H162,output!$A$10:$AH$2201,AA$1-$J$1+2)</f>
        <v>0</v>
      </c>
      <c r="AB162" s="11">
        <f>VLOOKUP($H162,output!$A$10:$AH$2201,AB$1-$J$1+2)</f>
        <v>0</v>
      </c>
      <c r="AC162" s="11">
        <f>VLOOKUP($H162,output!$A$10:$AH$2201,AC$1-$J$1+2)</f>
        <v>0</v>
      </c>
      <c r="AD162" s="11">
        <f>VLOOKUP($H162,output!$A$10:$AH$2201,AD$1-$J$1+2)</f>
        <v>0</v>
      </c>
      <c r="AE162" s="11">
        <f>VLOOKUP($H162,output!$A$10:$AH$2201,AE$1-$J$1+2)</f>
        <v>0</v>
      </c>
      <c r="AF162" s="11">
        <f>VLOOKUP($H162,output!$A$10:$AH$2201,AF$1-$J$1+2)</f>
        <v>0</v>
      </c>
      <c r="AG162" s="11">
        <f>VLOOKUP($H162,output!$A$10:$AH$2201,AG$1-$J$1+2)</f>
        <v>0</v>
      </c>
      <c r="AH162" s="11">
        <f>VLOOKUP($H162,output!$A$10:$AH$2201,AH$1-$J$1+2)</f>
        <v>0</v>
      </c>
      <c r="AI162" s="11">
        <f>VLOOKUP($H162,output!$A$10:$AH$2201,AI$1-$J$1+2)</f>
        <v>0</v>
      </c>
      <c r="AJ162" s="11">
        <f>VLOOKUP($H162,output!$A$10:$AH$2201,AJ$1-$J$1+2)</f>
        <v>0</v>
      </c>
      <c r="AK162" s="11">
        <f>VLOOKUP($H162,output!$A$10:$AH$2201,AK$1-$J$1+2)</f>
        <v>0</v>
      </c>
      <c r="AL162" s="11">
        <f>VLOOKUP($H162,output!$A$10:$AH$2201,AL$1-$J$1+2)</f>
        <v>0</v>
      </c>
      <c r="AM162" s="11">
        <f>VLOOKUP($H162,output!$A$10:$AH$2201,AM$1-$J$1+2)</f>
        <v>0</v>
      </c>
      <c r="AN162" s="11">
        <f>VLOOKUP($H162,output!$A$10:$AH$2201,AN$1-$J$1+2)</f>
        <v>0</v>
      </c>
      <c r="AO162" s="11">
        <f>VLOOKUP($H162,output!$A$10:$AH$2201,AO$1-$J$1+2)</f>
        <v>0</v>
      </c>
      <c r="AP162" s="11">
        <f>VLOOKUP($H162,output!$A$10:$AH$2201,AP$1-$J$1+2)</f>
        <v>0</v>
      </c>
      <c r="AR162" s="1">
        <f>AVERAGE(P162:V162)</f>
        <v>0</v>
      </c>
    </row>
    <row r="163" spans="8:44" x14ac:dyDescent="0.25">
      <c r="H163" t="s">
        <v>66</v>
      </c>
      <c r="J163" s="11"/>
      <c r="K163" s="11">
        <f>VLOOKUP($H163,output!$A$10:$AH$2201,K$1-$J$1+2)</f>
        <v>994.22</v>
      </c>
      <c r="L163" s="11">
        <f>VLOOKUP($H163,output!$A$10:$AH$2201,L$1-$J$1+2)</f>
        <v>0</v>
      </c>
      <c r="M163" s="11">
        <f>VLOOKUP($H163,output!$A$10:$AH$2201,M$1-$J$1+2)</f>
        <v>0</v>
      </c>
      <c r="N163" s="11">
        <f>VLOOKUP($H163,output!$A$10:$AH$2201,N$1-$J$1+2)</f>
        <v>0</v>
      </c>
      <c r="O163" s="11">
        <f>VLOOKUP($H163,output!$A$10:$AH$2201,O$1-$J$1+2)</f>
        <v>0</v>
      </c>
      <c r="P163" s="11">
        <f>VLOOKUP($H163,output!$A$10:$AH$2201,P$1-$J$1+2)</f>
        <v>0</v>
      </c>
      <c r="Q163" s="11">
        <f>VLOOKUP($H163,output!$A$10:$AH$2201,Q$1-$J$1+2)</f>
        <v>0</v>
      </c>
      <c r="R163" s="11">
        <f>VLOOKUP($H163,output!$A$10:$AH$2201,R$1-$J$1+2)</f>
        <v>0</v>
      </c>
      <c r="S163" s="11">
        <f>VLOOKUP($H163,output!$A$10:$AH$2201,S$1-$J$1+2)</f>
        <v>0</v>
      </c>
      <c r="T163" s="11">
        <f>VLOOKUP($H163,output!$A$10:$AH$2201,T$1-$J$1+2)</f>
        <v>0</v>
      </c>
      <c r="U163" s="11">
        <f>VLOOKUP($H163,output!$A$10:$AH$2201,U$1-$J$1+2)</f>
        <v>0</v>
      </c>
      <c r="V163" s="11">
        <f>VLOOKUP($H163,output!$A$10:$AH$2201,V$1-$J$1+2)</f>
        <v>0</v>
      </c>
      <c r="W163" s="11">
        <f>VLOOKUP($H163,output!$A$10:$AH$2201,W$1-$J$1+2)</f>
        <v>0</v>
      </c>
      <c r="X163" s="11">
        <f>VLOOKUP($H163,output!$A$10:$AH$2201,X$1-$J$1+2)</f>
        <v>0</v>
      </c>
      <c r="Y163" s="11">
        <f>VLOOKUP($H163,output!$A$10:$AH$2201,Y$1-$J$1+2)</f>
        <v>0</v>
      </c>
      <c r="Z163" s="11">
        <f>VLOOKUP($H163,output!$A$10:$AH$2201,Z$1-$J$1+2)</f>
        <v>0</v>
      </c>
      <c r="AA163" s="11">
        <f>VLOOKUP($H163,output!$A$10:$AH$2201,AA$1-$J$1+2)</f>
        <v>0</v>
      </c>
      <c r="AB163" s="11">
        <f>VLOOKUP($H163,output!$A$10:$AH$2201,AB$1-$J$1+2)</f>
        <v>0</v>
      </c>
      <c r="AC163" s="11">
        <f>VLOOKUP($H163,output!$A$10:$AH$2201,AC$1-$J$1+2)</f>
        <v>0</v>
      </c>
      <c r="AD163" s="11">
        <f>VLOOKUP($H163,output!$A$10:$AH$2201,AD$1-$J$1+2)</f>
        <v>0</v>
      </c>
      <c r="AE163" s="11">
        <f>VLOOKUP($H163,output!$A$10:$AH$2201,AE$1-$J$1+2)</f>
        <v>0</v>
      </c>
      <c r="AF163" s="11">
        <f>VLOOKUP($H163,output!$A$10:$AH$2201,AF$1-$J$1+2)</f>
        <v>0</v>
      </c>
      <c r="AG163" s="11">
        <f>VLOOKUP($H163,output!$A$10:$AH$2201,AG$1-$J$1+2)</f>
        <v>0</v>
      </c>
      <c r="AH163" s="11">
        <f>VLOOKUP($H163,output!$A$10:$AH$2201,AH$1-$J$1+2)</f>
        <v>0</v>
      </c>
      <c r="AI163" s="11">
        <f>VLOOKUP($H163,output!$A$10:$AH$2201,AI$1-$J$1+2)</f>
        <v>0</v>
      </c>
      <c r="AJ163" s="11">
        <f>VLOOKUP($H163,output!$A$10:$AH$2201,AJ$1-$J$1+2)</f>
        <v>0</v>
      </c>
      <c r="AK163" s="11">
        <f>VLOOKUP($H163,output!$A$10:$AH$2201,AK$1-$J$1+2)</f>
        <v>0</v>
      </c>
      <c r="AL163" s="11">
        <f>VLOOKUP($H163,output!$A$10:$AH$2201,AL$1-$J$1+2)</f>
        <v>0</v>
      </c>
      <c r="AM163" s="11">
        <f>VLOOKUP($H163,output!$A$10:$AH$2201,AM$1-$J$1+2)</f>
        <v>0</v>
      </c>
      <c r="AN163" s="11">
        <f>VLOOKUP($H163,output!$A$10:$AH$2201,AN$1-$J$1+2)</f>
        <v>0</v>
      </c>
      <c r="AO163" s="11">
        <f>VLOOKUP($H163,output!$A$10:$AH$2201,AO$1-$J$1+2)</f>
        <v>0</v>
      </c>
      <c r="AP163" s="11">
        <f>VLOOKUP($H163,output!$A$10:$AH$2201,AP$1-$J$1+2)</f>
        <v>0</v>
      </c>
      <c r="AR163" s="1">
        <f t="shared" ref="AR163:AR166" si="101">AVERAGE(P163:V163)</f>
        <v>0</v>
      </c>
    </row>
    <row r="164" spans="8:44" x14ac:dyDescent="0.25">
      <c r="H164" t="s">
        <v>69</v>
      </c>
      <c r="J164" s="11"/>
      <c r="K164" s="11">
        <f>VLOOKUP($H164,output!$A$10:$AH$2201,K$1-$J$1+2)</f>
        <v>157.84200000000001</v>
      </c>
      <c r="L164" s="11">
        <f>VLOOKUP($H164,output!$A$10:$AH$2201,L$1-$J$1+2)</f>
        <v>0</v>
      </c>
      <c r="M164" s="11">
        <f>VLOOKUP($H164,output!$A$10:$AH$2201,M$1-$J$1+2)</f>
        <v>0</v>
      </c>
      <c r="N164" s="11">
        <f>VLOOKUP($H164,output!$A$10:$AH$2201,N$1-$J$1+2)</f>
        <v>0</v>
      </c>
      <c r="O164" s="11">
        <f>VLOOKUP($H164,output!$A$10:$AH$2201,O$1-$J$1+2)</f>
        <v>0</v>
      </c>
      <c r="P164" s="11">
        <f>VLOOKUP($H164,output!$A$10:$AH$2201,P$1-$J$1+2)</f>
        <v>0</v>
      </c>
      <c r="Q164" s="11">
        <f>VLOOKUP($H164,output!$A$10:$AH$2201,Q$1-$J$1+2)</f>
        <v>0</v>
      </c>
      <c r="R164" s="11">
        <f>VLOOKUP($H164,output!$A$10:$AH$2201,R$1-$J$1+2)</f>
        <v>0</v>
      </c>
      <c r="S164" s="11">
        <f>VLOOKUP($H164,output!$A$10:$AH$2201,S$1-$J$1+2)</f>
        <v>0</v>
      </c>
      <c r="T164" s="11">
        <f>VLOOKUP($H164,output!$A$10:$AH$2201,T$1-$J$1+2)</f>
        <v>0</v>
      </c>
      <c r="U164" s="11">
        <f>VLOOKUP($H164,output!$A$10:$AH$2201,U$1-$J$1+2)</f>
        <v>0</v>
      </c>
      <c r="V164" s="11">
        <f>VLOOKUP($H164,output!$A$10:$AH$2201,V$1-$J$1+2)</f>
        <v>0</v>
      </c>
      <c r="W164" s="11">
        <f>VLOOKUP($H164,output!$A$10:$AH$2201,W$1-$J$1+2)</f>
        <v>0</v>
      </c>
      <c r="X164" s="11">
        <f>VLOOKUP($H164,output!$A$10:$AH$2201,X$1-$J$1+2)</f>
        <v>0</v>
      </c>
      <c r="Y164" s="11">
        <f>VLOOKUP($H164,output!$A$10:$AH$2201,Y$1-$J$1+2)</f>
        <v>0</v>
      </c>
      <c r="Z164" s="11">
        <f>VLOOKUP($H164,output!$A$10:$AH$2201,Z$1-$J$1+2)</f>
        <v>0</v>
      </c>
      <c r="AA164" s="11">
        <f>VLOOKUP($H164,output!$A$10:$AH$2201,AA$1-$J$1+2)</f>
        <v>0</v>
      </c>
      <c r="AB164" s="11">
        <f>VLOOKUP($H164,output!$A$10:$AH$2201,AB$1-$J$1+2)</f>
        <v>0</v>
      </c>
      <c r="AC164" s="11">
        <f>VLOOKUP($H164,output!$A$10:$AH$2201,AC$1-$J$1+2)</f>
        <v>0</v>
      </c>
      <c r="AD164" s="11">
        <f>VLOOKUP($H164,output!$A$10:$AH$2201,AD$1-$J$1+2)</f>
        <v>0</v>
      </c>
      <c r="AE164" s="11">
        <f>VLOOKUP($H164,output!$A$10:$AH$2201,AE$1-$J$1+2)</f>
        <v>0</v>
      </c>
      <c r="AF164" s="11">
        <f>VLOOKUP($H164,output!$A$10:$AH$2201,AF$1-$J$1+2)</f>
        <v>0</v>
      </c>
      <c r="AG164" s="11">
        <f>VLOOKUP($H164,output!$A$10:$AH$2201,AG$1-$J$1+2)</f>
        <v>0</v>
      </c>
      <c r="AH164" s="11">
        <f>VLOOKUP($H164,output!$A$10:$AH$2201,AH$1-$J$1+2)</f>
        <v>0</v>
      </c>
      <c r="AI164" s="11">
        <f>VLOOKUP($H164,output!$A$10:$AH$2201,AI$1-$J$1+2)</f>
        <v>0</v>
      </c>
      <c r="AJ164" s="11">
        <f>VLOOKUP($H164,output!$A$10:$AH$2201,AJ$1-$J$1+2)</f>
        <v>0</v>
      </c>
      <c r="AK164" s="11">
        <f>VLOOKUP($H164,output!$A$10:$AH$2201,AK$1-$J$1+2)</f>
        <v>0</v>
      </c>
      <c r="AL164" s="11">
        <f>VLOOKUP($H164,output!$A$10:$AH$2201,AL$1-$J$1+2)</f>
        <v>0</v>
      </c>
      <c r="AM164" s="11">
        <f>VLOOKUP($H164,output!$A$10:$AH$2201,AM$1-$J$1+2)</f>
        <v>0</v>
      </c>
      <c r="AN164" s="11">
        <f>VLOOKUP($H164,output!$A$10:$AH$2201,AN$1-$J$1+2)</f>
        <v>0</v>
      </c>
      <c r="AO164" s="11">
        <f>VLOOKUP($H164,output!$A$10:$AH$2201,AO$1-$J$1+2)</f>
        <v>0</v>
      </c>
      <c r="AP164" s="11">
        <f>VLOOKUP($H164,output!$A$10:$AH$2201,AP$1-$J$1+2)</f>
        <v>0</v>
      </c>
      <c r="AR164" s="1">
        <f t="shared" si="101"/>
        <v>0</v>
      </c>
    </row>
    <row r="165" spans="8:44" x14ac:dyDescent="0.25">
      <c r="H165" t="s">
        <v>70</v>
      </c>
      <c r="J165" s="11"/>
      <c r="K165" s="11">
        <f>VLOOKUP($H165,output!$A$10:$AH$2201,K$1-$J$1+2)</f>
        <v>443.01600000000002</v>
      </c>
      <c r="L165" s="11">
        <f>VLOOKUP($H165,output!$A$10:$AH$2201,L$1-$J$1+2)</f>
        <v>0</v>
      </c>
      <c r="M165" s="11">
        <f>VLOOKUP($H165,output!$A$10:$AH$2201,M$1-$J$1+2)</f>
        <v>0</v>
      </c>
      <c r="N165" s="11">
        <f>VLOOKUP($H165,output!$A$10:$AH$2201,N$1-$J$1+2)</f>
        <v>0</v>
      </c>
      <c r="O165" s="11">
        <f>VLOOKUP($H165,output!$A$10:$AH$2201,O$1-$J$1+2)</f>
        <v>0</v>
      </c>
      <c r="P165" s="11">
        <f>VLOOKUP($H165,output!$A$10:$AH$2201,P$1-$J$1+2)</f>
        <v>0</v>
      </c>
      <c r="Q165" s="11">
        <f>VLOOKUP($H165,output!$A$10:$AH$2201,Q$1-$J$1+2)</f>
        <v>0</v>
      </c>
      <c r="R165" s="11">
        <f>VLOOKUP($H165,output!$A$10:$AH$2201,R$1-$J$1+2)</f>
        <v>0</v>
      </c>
      <c r="S165" s="11">
        <f>VLOOKUP($H165,output!$A$10:$AH$2201,S$1-$J$1+2)</f>
        <v>0</v>
      </c>
      <c r="T165" s="11">
        <f>VLOOKUP($H165,output!$A$10:$AH$2201,T$1-$J$1+2)</f>
        <v>0</v>
      </c>
      <c r="U165" s="11">
        <f>VLOOKUP($H165,output!$A$10:$AH$2201,U$1-$J$1+2)</f>
        <v>0</v>
      </c>
      <c r="V165" s="11">
        <f>VLOOKUP($H165,output!$A$10:$AH$2201,V$1-$J$1+2)</f>
        <v>0</v>
      </c>
      <c r="W165" s="11">
        <f>VLOOKUP($H165,output!$A$10:$AH$2201,W$1-$J$1+2)</f>
        <v>0</v>
      </c>
      <c r="X165" s="11">
        <f>VLOOKUP($H165,output!$A$10:$AH$2201,X$1-$J$1+2)</f>
        <v>0</v>
      </c>
      <c r="Y165" s="11">
        <f>VLOOKUP($H165,output!$A$10:$AH$2201,Y$1-$J$1+2)</f>
        <v>0</v>
      </c>
      <c r="Z165" s="11">
        <f>VLOOKUP($H165,output!$A$10:$AH$2201,Z$1-$J$1+2)</f>
        <v>0</v>
      </c>
      <c r="AA165" s="11">
        <f>VLOOKUP($H165,output!$A$10:$AH$2201,AA$1-$J$1+2)</f>
        <v>0</v>
      </c>
      <c r="AB165" s="11">
        <f>VLOOKUP($H165,output!$A$10:$AH$2201,AB$1-$J$1+2)</f>
        <v>0</v>
      </c>
      <c r="AC165" s="11">
        <f>VLOOKUP($H165,output!$A$10:$AH$2201,AC$1-$J$1+2)</f>
        <v>0</v>
      </c>
      <c r="AD165" s="11">
        <f>VLOOKUP($H165,output!$A$10:$AH$2201,AD$1-$J$1+2)</f>
        <v>0</v>
      </c>
      <c r="AE165" s="11">
        <f>VLOOKUP($H165,output!$A$10:$AH$2201,AE$1-$J$1+2)</f>
        <v>0</v>
      </c>
      <c r="AF165" s="11">
        <f>VLOOKUP($H165,output!$A$10:$AH$2201,AF$1-$J$1+2)</f>
        <v>0</v>
      </c>
      <c r="AG165" s="11">
        <f>VLOOKUP($H165,output!$A$10:$AH$2201,AG$1-$J$1+2)</f>
        <v>0</v>
      </c>
      <c r="AH165" s="11">
        <f>VLOOKUP($H165,output!$A$10:$AH$2201,AH$1-$J$1+2)</f>
        <v>0</v>
      </c>
      <c r="AI165" s="11">
        <f>VLOOKUP($H165,output!$A$10:$AH$2201,AI$1-$J$1+2)</f>
        <v>0</v>
      </c>
      <c r="AJ165" s="11">
        <f>VLOOKUP($H165,output!$A$10:$AH$2201,AJ$1-$J$1+2)</f>
        <v>0</v>
      </c>
      <c r="AK165" s="11">
        <f>VLOOKUP($H165,output!$A$10:$AH$2201,AK$1-$J$1+2)</f>
        <v>0</v>
      </c>
      <c r="AL165" s="11">
        <f>VLOOKUP($H165,output!$A$10:$AH$2201,AL$1-$J$1+2)</f>
        <v>0</v>
      </c>
      <c r="AM165" s="11">
        <f>VLOOKUP($H165,output!$A$10:$AH$2201,AM$1-$J$1+2)</f>
        <v>0</v>
      </c>
      <c r="AN165" s="11">
        <f>VLOOKUP($H165,output!$A$10:$AH$2201,AN$1-$J$1+2)</f>
        <v>0</v>
      </c>
      <c r="AO165" s="11">
        <f>VLOOKUP($H165,output!$A$10:$AH$2201,AO$1-$J$1+2)</f>
        <v>0</v>
      </c>
      <c r="AP165" s="11">
        <f>VLOOKUP($H165,output!$A$10:$AH$2201,AP$1-$J$1+2)</f>
        <v>0</v>
      </c>
      <c r="AR165" s="1">
        <f t="shared" si="101"/>
        <v>0</v>
      </c>
    </row>
    <row r="166" spans="8:44" x14ac:dyDescent="0.25">
      <c r="H166" t="s">
        <v>95</v>
      </c>
      <c r="J166" s="11"/>
      <c r="K166" s="11">
        <f>VLOOKUP($H166,output!$A$10:$AH$2201,K$1-$J$1+2)</f>
        <v>273.221</v>
      </c>
      <c r="L166" s="11">
        <f>VLOOKUP($H166,output!$A$10:$AH$2201,L$1-$J$1+2)</f>
        <v>0</v>
      </c>
      <c r="M166" s="11">
        <f>VLOOKUP($H166,output!$A$10:$AH$2201,M$1-$J$1+2)</f>
        <v>0</v>
      </c>
      <c r="N166" s="11">
        <f>VLOOKUP($H166,output!$A$10:$AH$2201,N$1-$J$1+2)</f>
        <v>0</v>
      </c>
      <c r="O166" s="11">
        <f>VLOOKUP($H166,output!$A$10:$AH$2201,O$1-$J$1+2)</f>
        <v>0</v>
      </c>
      <c r="P166" s="11">
        <f>VLOOKUP($H166,output!$A$10:$AH$2201,P$1-$J$1+2)</f>
        <v>0</v>
      </c>
      <c r="Q166" s="11">
        <f>VLOOKUP($H166,output!$A$10:$AH$2201,Q$1-$J$1+2)</f>
        <v>0</v>
      </c>
      <c r="R166" s="11">
        <f>VLOOKUP($H166,output!$A$10:$AH$2201,R$1-$J$1+2)</f>
        <v>0</v>
      </c>
      <c r="S166" s="11">
        <f>VLOOKUP($H166,output!$A$10:$AH$2201,S$1-$J$1+2)</f>
        <v>0</v>
      </c>
      <c r="T166" s="11">
        <f>VLOOKUP($H166,output!$A$10:$AH$2201,T$1-$J$1+2)</f>
        <v>0</v>
      </c>
      <c r="U166" s="11">
        <f>VLOOKUP($H166,output!$A$10:$AH$2201,U$1-$J$1+2)</f>
        <v>0</v>
      </c>
      <c r="V166" s="11">
        <f>VLOOKUP($H166,output!$A$10:$AH$2201,V$1-$J$1+2)</f>
        <v>0</v>
      </c>
      <c r="W166" s="11">
        <f>VLOOKUP($H166,output!$A$10:$AH$2201,W$1-$J$1+2)</f>
        <v>0</v>
      </c>
      <c r="X166" s="11">
        <f>VLOOKUP($H166,output!$A$10:$AH$2201,X$1-$J$1+2)</f>
        <v>0</v>
      </c>
      <c r="Y166" s="11">
        <f>VLOOKUP($H166,output!$A$10:$AH$2201,Y$1-$J$1+2)</f>
        <v>0</v>
      </c>
      <c r="Z166" s="11">
        <f>VLOOKUP($H166,output!$A$10:$AH$2201,Z$1-$J$1+2)</f>
        <v>0</v>
      </c>
      <c r="AA166" s="11">
        <f>VLOOKUP($H166,output!$A$10:$AH$2201,AA$1-$J$1+2)</f>
        <v>0</v>
      </c>
      <c r="AB166" s="11">
        <f>VLOOKUP($H166,output!$A$10:$AH$2201,AB$1-$J$1+2)</f>
        <v>0</v>
      </c>
      <c r="AC166" s="11">
        <f>VLOOKUP($H166,output!$A$10:$AH$2201,AC$1-$J$1+2)</f>
        <v>0</v>
      </c>
      <c r="AD166" s="11">
        <f>VLOOKUP($H166,output!$A$10:$AH$2201,AD$1-$J$1+2)</f>
        <v>0</v>
      </c>
      <c r="AE166" s="11">
        <f>VLOOKUP($H166,output!$A$10:$AH$2201,AE$1-$J$1+2)</f>
        <v>0</v>
      </c>
      <c r="AF166" s="11">
        <f>VLOOKUP($H166,output!$A$10:$AH$2201,AF$1-$J$1+2)</f>
        <v>0</v>
      </c>
      <c r="AG166" s="11">
        <f>VLOOKUP($H166,output!$A$10:$AH$2201,AG$1-$J$1+2)</f>
        <v>0</v>
      </c>
      <c r="AH166" s="11">
        <f>VLOOKUP($H166,output!$A$10:$AH$2201,AH$1-$J$1+2)</f>
        <v>0</v>
      </c>
      <c r="AI166" s="11">
        <f>VLOOKUP($H166,output!$A$10:$AH$2201,AI$1-$J$1+2)</f>
        <v>0</v>
      </c>
      <c r="AJ166" s="11">
        <f>VLOOKUP($H166,output!$A$10:$AH$2201,AJ$1-$J$1+2)</f>
        <v>0</v>
      </c>
      <c r="AK166" s="11">
        <f>VLOOKUP($H166,output!$A$10:$AH$2201,AK$1-$J$1+2)</f>
        <v>0</v>
      </c>
      <c r="AL166" s="11">
        <f>VLOOKUP($H166,output!$A$10:$AH$2201,AL$1-$J$1+2)</f>
        <v>0</v>
      </c>
      <c r="AM166" s="11">
        <f>VLOOKUP($H166,output!$A$10:$AH$2201,AM$1-$J$1+2)</f>
        <v>0</v>
      </c>
      <c r="AN166" s="11">
        <f>VLOOKUP($H166,output!$A$10:$AH$2201,AN$1-$J$1+2)</f>
        <v>0</v>
      </c>
      <c r="AO166" s="11">
        <f>VLOOKUP($H166,output!$A$10:$AH$2201,AO$1-$J$1+2)</f>
        <v>0</v>
      </c>
      <c r="AP166" s="11">
        <f>VLOOKUP($H166,output!$A$10:$AH$2201,AP$1-$J$1+2)</f>
        <v>0</v>
      </c>
      <c r="AR166" s="1">
        <f t="shared" si="101"/>
        <v>0</v>
      </c>
    </row>
    <row r="167" spans="8:44" x14ac:dyDescent="0.25">
      <c r="H167" t="s">
        <v>96</v>
      </c>
      <c r="J167" s="11"/>
      <c r="K167" s="11">
        <f>VLOOKUP($H167,output!$A$10:$AH$2201,K$1-$J$1+2)</f>
        <v>674.952</v>
      </c>
      <c r="L167" s="11">
        <f>VLOOKUP($H167,output!$A$10:$AH$2201,L$1-$J$1+2)</f>
        <v>0</v>
      </c>
      <c r="M167" s="11">
        <f>VLOOKUP($H167,output!$A$10:$AH$2201,M$1-$J$1+2)</f>
        <v>0</v>
      </c>
      <c r="N167" s="11">
        <f>VLOOKUP($H167,output!$A$10:$AH$2201,N$1-$J$1+2)</f>
        <v>0</v>
      </c>
      <c r="O167" s="11">
        <f>VLOOKUP($H167,output!$A$10:$AH$2201,O$1-$J$1+2)</f>
        <v>0</v>
      </c>
      <c r="P167" s="11">
        <f>VLOOKUP($H167,output!$A$10:$AH$2201,P$1-$J$1+2)</f>
        <v>0</v>
      </c>
      <c r="Q167" s="11">
        <f>VLOOKUP($H167,output!$A$10:$AH$2201,Q$1-$J$1+2)</f>
        <v>0</v>
      </c>
      <c r="R167" s="11">
        <f>VLOOKUP($H167,output!$A$10:$AH$2201,R$1-$J$1+2)</f>
        <v>0</v>
      </c>
      <c r="S167" s="11">
        <f>VLOOKUP($H167,output!$A$10:$AH$2201,S$1-$J$1+2)</f>
        <v>0</v>
      </c>
      <c r="T167" s="11">
        <f>VLOOKUP($H167,output!$A$10:$AH$2201,T$1-$J$1+2)</f>
        <v>0</v>
      </c>
      <c r="U167" s="11">
        <f>VLOOKUP($H167,output!$A$10:$AH$2201,U$1-$J$1+2)</f>
        <v>0</v>
      </c>
      <c r="V167" s="11">
        <f>VLOOKUP($H167,output!$A$10:$AH$2201,V$1-$J$1+2)</f>
        <v>0</v>
      </c>
      <c r="W167" s="11">
        <f>VLOOKUP($H167,output!$A$10:$AH$2201,W$1-$J$1+2)</f>
        <v>0</v>
      </c>
      <c r="X167" s="11">
        <f>VLOOKUP($H167,output!$A$10:$AH$2201,X$1-$J$1+2)</f>
        <v>0</v>
      </c>
      <c r="Y167" s="11">
        <f>VLOOKUP($H167,output!$A$10:$AH$2201,Y$1-$J$1+2)</f>
        <v>0</v>
      </c>
      <c r="Z167" s="11">
        <f>VLOOKUP($H167,output!$A$10:$AH$2201,Z$1-$J$1+2)</f>
        <v>0</v>
      </c>
      <c r="AA167" s="11">
        <f>VLOOKUP($H167,output!$A$10:$AH$2201,AA$1-$J$1+2)</f>
        <v>0</v>
      </c>
      <c r="AB167" s="11">
        <f>VLOOKUP($H167,output!$A$10:$AH$2201,AB$1-$J$1+2)</f>
        <v>0</v>
      </c>
      <c r="AC167" s="11">
        <f>VLOOKUP($H167,output!$A$10:$AH$2201,AC$1-$J$1+2)</f>
        <v>0</v>
      </c>
      <c r="AD167" s="11">
        <f>VLOOKUP($H167,output!$A$10:$AH$2201,AD$1-$J$1+2)</f>
        <v>0</v>
      </c>
      <c r="AE167" s="11">
        <f>VLOOKUP($H167,output!$A$10:$AH$2201,AE$1-$J$1+2)</f>
        <v>0</v>
      </c>
      <c r="AF167" s="11">
        <f>VLOOKUP($H167,output!$A$10:$AH$2201,AF$1-$J$1+2)</f>
        <v>0</v>
      </c>
      <c r="AG167" s="11">
        <f>VLOOKUP($H167,output!$A$10:$AH$2201,AG$1-$J$1+2)</f>
        <v>0</v>
      </c>
      <c r="AH167" s="11">
        <f>VLOOKUP($H167,output!$A$10:$AH$2201,AH$1-$J$1+2)</f>
        <v>0</v>
      </c>
      <c r="AI167" s="11">
        <f>VLOOKUP($H167,output!$A$10:$AH$2201,AI$1-$J$1+2)</f>
        <v>0</v>
      </c>
      <c r="AJ167" s="11">
        <f>VLOOKUP($H167,output!$A$10:$AH$2201,AJ$1-$J$1+2)</f>
        <v>0</v>
      </c>
      <c r="AK167" s="11">
        <f>VLOOKUP($H167,output!$A$10:$AH$2201,AK$1-$J$1+2)</f>
        <v>0</v>
      </c>
      <c r="AL167" s="11">
        <f>VLOOKUP($H167,output!$A$10:$AH$2201,AL$1-$J$1+2)</f>
        <v>0</v>
      </c>
      <c r="AM167" s="11">
        <f>VLOOKUP($H167,output!$A$10:$AH$2201,AM$1-$J$1+2)</f>
        <v>0</v>
      </c>
      <c r="AN167" s="11">
        <f>VLOOKUP($H167,output!$A$10:$AH$2201,AN$1-$J$1+2)</f>
        <v>0</v>
      </c>
      <c r="AO167" s="11">
        <f>VLOOKUP($H167,output!$A$10:$AH$2201,AO$1-$J$1+2)</f>
        <v>0</v>
      </c>
      <c r="AP167" s="11">
        <f>VLOOKUP($H167,output!$A$10:$AH$2201,AP$1-$J$1+2)</f>
        <v>0</v>
      </c>
      <c r="AR167" s="1">
        <f>AVERAGE(P167:V167)</f>
        <v>0</v>
      </c>
    </row>
    <row r="168" spans="8:44" x14ac:dyDescent="0.25">
      <c r="H168" t="s">
        <v>100</v>
      </c>
      <c r="J168" s="11"/>
      <c r="K168" s="11">
        <f>VLOOKUP($H168,output!$A$10:$AH$2201,K$1-$J$1+2)</f>
        <v>308.77699999999999</v>
      </c>
      <c r="L168" s="11">
        <f>VLOOKUP($H168,output!$A$10:$AH$2201,L$1-$J$1+2)</f>
        <v>0</v>
      </c>
      <c r="M168" s="11">
        <f>VLOOKUP($H168,output!$A$10:$AH$2201,M$1-$J$1+2)</f>
        <v>0</v>
      </c>
      <c r="N168" s="11">
        <f>VLOOKUP($H168,output!$A$10:$AH$2201,N$1-$J$1+2)</f>
        <v>0</v>
      </c>
      <c r="O168" s="11">
        <f>VLOOKUP($H168,output!$A$10:$AH$2201,O$1-$J$1+2)</f>
        <v>0</v>
      </c>
      <c r="P168" s="11">
        <f>VLOOKUP($H168,output!$A$10:$AH$2201,P$1-$J$1+2)</f>
        <v>0</v>
      </c>
      <c r="Q168" s="11">
        <f>VLOOKUP($H168,output!$A$10:$AH$2201,Q$1-$J$1+2)</f>
        <v>0</v>
      </c>
      <c r="R168" s="11">
        <f>VLOOKUP($H168,output!$A$10:$AH$2201,R$1-$J$1+2)</f>
        <v>0</v>
      </c>
      <c r="S168" s="11">
        <f>VLOOKUP($H168,output!$A$10:$AH$2201,S$1-$J$1+2)</f>
        <v>0</v>
      </c>
      <c r="T168" s="11">
        <f>VLOOKUP($H168,output!$A$10:$AH$2201,T$1-$J$1+2)</f>
        <v>0</v>
      </c>
      <c r="U168" s="11">
        <f>VLOOKUP($H168,output!$A$10:$AH$2201,U$1-$J$1+2)</f>
        <v>0</v>
      </c>
      <c r="V168" s="11">
        <f>VLOOKUP($H168,output!$A$10:$AH$2201,V$1-$J$1+2)</f>
        <v>0</v>
      </c>
      <c r="W168" s="11">
        <f>VLOOKUP($H168,output!$A$10:$AH$2201,W$1-$J$1+2)</f>
        <v>0</v>
      </c>
      <c r="X168" s="11">
        <f>VLOOKUP($H168,output!$A$10:$AH$2201,X$1-$J$1+2)</f>
        <v>0</v>
      </c>
      <c r="Y168" s="11">
        <f>VLOOKUP($H168,output!$A$10:$AH$2201,Y$1-$J$1+2)</f>
        <v>0</v>
      </c>
      <c r="Z168" s="11">
        <f>VLOOKUP($H168,output!$A$10:$AH$2201,Z$1-$J$1+2)</f>
        <v>0</v>
      </c>
      <c r="AA168" s="11">
        <f>VLOOKUP($H168,output!$A$10:$AH$2201,AA$1-$J$1+2)</f>
        <v>0</v>
      </c>
      <c r="AB168" s="11">
        <f>VLOOKUP($H168,output!$A$10:$AH$2201,AB$1-$J$1+2)</f>
        <v>0</v>
      </c>
      <c r="AC168" s="11">
        <f>VLOOKUP($H168,output!$A$10:$AH$2201,AC$1-$J$1+2)</f>
        <v>0</v>
      </c>
      <c r="AD168" s="11">
        <f>VLOOKUP($H168,output!$A$10:$AH$2201,AD$1-$J$1+2)</f>
        <v>0</v>
      </c>
      <c r="AE168" s="11">
        <f>VLOOKUP($H168,output!$A$10:$AH$2201,AE$1-$J$1+2)</f>
        <v>0</v>
      </c>
      <c r="AF168" s="11">
        <f>VLOOKUP($H168,output!$A$10:$AH$2201,AF$1-$J$1+2)</f>
        <v>0</v>
      </c>
      <c r="AG168" s="11">
        <f>VLOOKUP($H168,output!$A$10:$AH$2201,AG$1-$J$1+2)</f>
        <v>0</v>
      </c>
      <c r="AH168" s="11">
        <f>VLOOKUP($H168,output!$A$10:$AH$2201,AH$1-$J$1+2)</f>
        <v>0</v>
      </c>
      <c r="AI168" s="11">
        <f>VLOOKUP($H168,output!$A$10:$AH$2201,AI$1-$J$1+2)</f>
        <v>0</v>
      </c>
      <c r="AJ168" s="11">
        <f>VLOOKUP($H168,output!$A$10:$AH$2201,AJ$1-$J$1+2)</f>
        <v>0</v>
      </c>
      <c r="AK168" s="11">
        <f>VLOOKUP($H168,output!$A$10:$AH$2201,AK$1-$J$1+2)</f>
        <v>0</v>
      </c>
      <c r="AL168" s="11">
        <f>VLOOKUP($H168,output!$A$10:$AH$2201,AL$1-$J$1+2)</f>
        <v>0</v>
      </c>
      <c r="AM168" s="11">
        <f>VLOOKUP($H168,output!$A$10:$AH$2201,AM$1-$J$1+2)</f>
        <v>0</v>
      </c>
      <c r="AN168" s="11">
        <f>VLOOKUP($H168,output!$A$10:$AH$2201,AN$1-$J$1+2)</f>
        <v>0</v>
      </c>
      <c r="AO168" s="11">
        <f>VLOOKUP($H168,output!$A$10:$AH$2201,AO$1-$J$1+2)</f>
        <v>0</v>
      </c>
      <c r="AP168" s="11">
        <f>VLOOKUP($H168,output!$A$10:$AH$2201,AP$1-$J$1+2)</f>
        <v>0</v>
      </c>
      <c r="AR168" s="1">
        <f t="shared" ref="AR168:AR169" si="102">AVERAGE(P168:V168)</f>
        <v>0</v>
      </c>
    </row>
    <row r="169" spans="8:44" x14ac:dyDescent="0.25">
      <c r="H169" t="s">
        <v>71</v>
      </c>
      <c r="J169" s="11"/>
      <c r="K169" s="11">
        <f>VLOOKUP($H169,output!$A$10:$AH$2201,K$1-$J$1+2)</f>
        <v>149.137</v>
      </c>
      <c r="L169" s="11">
        <f>VLOOKUP($H169,output!$A$10:$AH$2201,L$1-$J$1+2)</f>
        <v>0</v>
      </c>
      <c r="M169" s="11">
        <f>VLOOKUP($H169,output!$A$10:$AH$2201,M$1-$J$1+2)</f>
        <v>0</v>
      </c>
      <c r="N169" s="11">
        <f>VLOOKUP($H169,output!$A$10:$AH$2201,N$1-$J$1+2)</f>
        <v>0</v>
      </c>
      <c r="O169" s="11">
        <f>VLOOKUP($H169,output!$A$10:$AH$2201,O$1-$J$1+2)</f>
        <v>0</v>
      </c>
      <c r="P169" s="11">
        <f>VLOOKUP($H169,output!$A$10:$AH$2201,P$1-$J$1+2)</f>
        <v>0</v>
      </c>
      <c r="Q169" s="11">
        <f>VLOOKUP($H169,output!$A$10:$AH$2201,Q$1-$J$1+2)</f>
        <v>0</v>
      </c>
      <c r="R169" s="11">
        <f>VLOOKUP($H169,output!$A$10:$AH$2201,R$1-$J$1+2)</f>
        <v>0</v>
      </c>
      <c r="S169" s="11">
        <f>VLOOKUP($H169,output!$A$10:$AH$2201,S$1-$J$1+2)</f>
        <v>0</v>
      </c>
      <c r="T169" s="11">
        <f>VLOOKUP($H169,output!$A$10:$AH$2201,T$1-$J$1+2)</f>
        <v>0</v>
      </c>
      <c r="U169" s="11">
        <f>VLOOKUP($H169,output!$A$10:$AH$2201,U$1-$J$1+2)</f>
        <v>0</v>
      </c>
      <c r="V169" s="11">
        <f>VLOOKUP($H169,output!$A$10:$AH$2201,V$1-$J$1+2)</f>
        <v>0</v>
      </c>
      <c r="W169" s="11">
        <f>VLOOKUP($H169,output!$A$10:$AH$2201,W$1-$J$1+2)</f>
        <v>0</v>
      </c>
      <c r="X169" s="11">
        <f>VLOOKUP($H169,output!$A$10:$AH$2201,X$1-$J$1+2)</f>
        <v>0</v>
      </c>
      <c r="Y169" s="11">
        <f>VLOOKUP($H169,output!$A$10:$AH$2201,Y$1-$J$1+2)</f>
        <v>0</v>
      </c>
      <c r="Z169" s="11">
        <f>VLOOKUP($H169,output!$A$10:$AH$2201,Z$1-$J$1+2)</f>
        <v>0</v>
      </c>
      <c r="AA169" s="11">
        <f>VLOOKUP($H169,output!$A$10:$AH$2201,AA$1-$J$1+2)</f>
        <v>0</v>
      </c>
      <c r="AB169" s="11">
        <f>VLOOKUP($H169,output!$A$10:$AH$2201,AB$1-$J$1+2)</f>
        <v>0</v>
      </c>
      <c r="AC169" s="11">
        <f>VLOOKUP($H169,output!$A$10:$AH$2201,AC$1-$J$1+2)</f>
        <v>0</v>
      </c>
      <c r="AD169" s="11">
        <f>VLOOKUP($H169,output!$A$10:$AH$2201,AD$1-$J$1+2)</f>
        <v>0</v>
      </c>
      <c r="AE169" s="11">
        <f>VLOOKUP($H169,output!$A$10:$AH$2201,AE$1-$J$1+2)</f>
        <v>0</v>
      </c>
      <c r="AF169" s="11">
        <f>VLOOKUP($H169,output!$A$10:$AH$2201,AF$1-$J$1+2)</f>
        <v>0</v>
      </c>
      <c r="AG169" s="11">
        <f>VLOOKUP($H169,output!$A$10:$AH$2201,AG$1-$J$1+2)</f>
        <v>0</v>
      </c>
      <c r="AH169" s="11">
        <f>VLOOKUP($H169,output!$A$10:$AH$2201,AH$1-$J$1+2)</f>
        <v>0</v>
      </c>
      <c r="AI169" s="11">
        <f>VLOOKUP($H169,output!$A$10:$AH$2201,AI$1-$J$1+2)</f>
        <v>0</v>
      </c>
      <c r="AJ169" s="11">
        <f>VLOOKUP($H169,output!$A$10:$AH$2201,AJ$1-$J$1+2)</f>
        <v>0</v>
      </c>
      <c r="AK169" s="11">
        <f>VLOOKUP($H169,output!$A$10:$AH$2201,AK$1-$J$1+2)</f>
        <v>0</v>
      </c>
      <c r="AL169" s="11">
        <f>VLOOKUP($H169,output!$A$10:$AH$2201,AL$1-$J$1+2)</f>
        <v>0</v>
      </c>
      <c r="AM169" s="11">
        <f>VLOOKUP($H169,output!$A$10:$AH$2201,AM$1-$J$1+2)</f>
        <v>0</v>
      </c>
      <c r="AN169" s="11">
        <f>VLOOKUP($H169,output!$A$10:$AH$2201,AN$1-$J$1+2)</f>
        <v>0</v>
      </c>
      <c r="AO169" s="11">
        <f>VLOOKUP($H169,output!$A$10:$AH$2201,AO$1-$J$1+2)</f>
        <v>0</v>
      </c>
      <c r="AP169" s="11">
        <f>VLOOKUP($H169,output!$A$10:$AH$2201,AP$1-$J$1+2)</f>
        <v>0</v>
      </c>
      <c r="AR169" s="1">
        <f t="shared" si="102"/>
        <v>0</v>
      </c>
    </row>
    <row r="170" spans="8:44" x14ac:dyDescent="0.25">
      <c r="H170" t="s">
        <v>93</v>
      </c>
      <c r="J170" s="11"/>
      <c r="K170" s="11">
        <f>VLOOKUP($H170,output!$A$10:$AH$2201,K$1-$J$1+2)</f>
        <v>53.749000000000002</v>
      </c>
      <c r="L170" s="11">
        <f>VLOOKUP($H170,output!$A$10:$AH$2201,L$1-$J$1+2)</f>
        <v>0</v>
      </c>
      <c r="M170" s="11">
        <f>VLOOKUP($H170,output!$A$10:$AH$2201,M$1-$J$1+2)</f>
        <v>0</v>
      </c>
      <c r="N170" s="11">
        <f>VLOOKUP($H170,output!$A$10:$AH$2201,N$1-$J$1+2)</f>
        <v>0</v>
      </c>
      <c r="O170" s="11">
        <f>VLOOKUP($H170,output!$A$10:$AH$2201,O$1-$J$1+2)</f>
        <v>0</v>
      </c>
      <c r="P170" s="11">
        <f>VLOOKUP($H170,output!$A$10:$AH$2201,P$1-$J$1+2)</f>
        <v>0</v>
      </c>
      <c r="Q170" s="11">
        <f>VLOOKUP($H170,output!$A$10:$AH$2201,Q$1-$J$1+2)</f>
        <v>0</v>
      </c>
      <c r="R170" s="11">
        <f>VLOOKUP($H170,output!$A$10:$AH$2201,R$1-$J$1+2)</f>
        <v>0</v>
      </c>
      <c r="S170" s="11">
        <f>VLOOKUP($H170,output!$A$10:$AH$2201,S$1-$J$1+2)</f>
        <v>0</v>
      </c>
      <c r="T170" s="11">
        <f>VLOOKUP($H170,output!$A$10:$AH$2201,T$1-$J$1+2)</f>
        <v>0</v>
      </c>
      <c r="U170" s="11">
        <f>VLOOKUP($H170,output!$A$10:$AH$2201,U$1-$J$1+2)</f>
        <v>0</v>
      </c>
      <c r="V170" s="11">
        <f>VLOOKUP($H170,output!$A$10:$AH$2201,V$1-$J$1+2)</f>
        <v>0</v>
      </c>
      <c r="W170" s="11">
        <f>VLOOKUP($H170,output!$A$10:$AH$2201,W$1-$J$1+2)</f>
        <v>0</v>
      </c>
      <c r="X170" s="11">
        <f>VLOOKUP($H170,output!$A$10:$AH$2201,X$1-$J$1+2)</f>
        <v>0</v>
      </c>
      <c r="Y170" s="11">
        <f>VLOOKUP($H170,output!$A$10:$AH$2201,Y$1-$J$1+2)</f>
        <v>0</v>
      </c>
      <c r="Z170" s="11">
        <f>VLOOKUP($H170,output!$A$10:$AH$2201,Z$1-$J$1+2)</f>
        <v>0</v>
      </c>
      <c r="AA170" s="11">
        <f>VLOOKUP($H170,output!$A$10:$AH$2201,AA$1-$J$1+2)</f>
        <v>0</v>
      </c>
      <c r="AB170" s="11">
        <f>VLOOKUP($H170,output!$A$10:$AH$2201,AB$1-$J$1+2)</f>
        <v>0</v>
      </c>
      <c r="AC170" s="11">
        <f>VLOOKUP($H170,output!$A$10:$AH$2201,AC$1-$J$1+2)</f>
        <v>0</v>
      </c>
      <c r="AD170" s="11">
        <f>VLOOKUP($H170,output!$A$10:$AH$2201,AD$1-$J$1+2)</f>
        <v>0</v>
      </c>
      <c r="AE170" s="11">
        <f>VLOOKUP($H170,output!$A$10:$AH$2201,AE$1-$J$1+2)</f>
        <v>0</v>
      </c>
      <c r="AF170" s="11">
        <f>VLOOKUP($H170,output!$A$10:$AH$2201,AF$1-$J$1+2)</f>
        <v>0</v>
      </c>
      <c r="AG170" s="11">
        <f>VLOOKUP($H170,output!$A$10:$AH$2201,AG$1-$J$1+2)</f>
        <v>0</v>
      </c>
      <c r="AH170" s="11">
        <f>VLOOKUP($H170,output!$A$10:$AH$2201,AH$1-$J$1+2)</f>
        <v>0</v>
      </c>
      <c r="AI170" s="11">
        <f>VLOOKUP($H170,output!$A$10:$AH$2201,AI$1-$J$1+2)</f>
        <v>0</v>
      </c>
      <c r="AJ170" s="11">
        <f>VLOOKUP($H170,output!$A$10:$AH$2201,AJ$1-$J$1+2)</f>
        <v>0</v>
      </c>
      <c r="AK170" s="11">
        <f>VLOOKUP($H170,output!$A$10:$AH$2201,AK$1-$J$1+2)</f>
        <v>0</v>
      </c>
      <c r="AL170" s="11">
        <f>VLOOKUP($H170,output!$A$10:$AH$2201,AL$1-$J$1+2)</f>
        <v>0</v>
      </c>
      <c r="AM170" s="11">
        <f>VLOOKUP($H170,output!$A$10:$AH$2201,AM$1-$J$1+2)</f>
        <v>0</v>
      </c>
      <c r="AN170" s="11">
        <f>VLOOKUP($H170,output!$A$10:$AH$2201,AN$1-$J$1+2)</f>
        <v>0</v>
      </c>
      <c r="AO170" s="11">
        <f>VLOOKUP($H170,output!$A$10:$AH$2201,AO$1-$J$1+2)</f>
        <v>0</v>
      </c>
      <c r="AP170" s="11">
        <f>VLOOKUP($H170,output!$A$10:$AH$2201,AP$1-$J$1+2)</f>
        <v>0</v>
      </c>
      <c r="AR170" s="1">
        <f>AVERAGE(P170:V170)</f>
        <v>0</v>
      </c>
    </row>
    <row r="171" spans="8:44" x14ac:dyDescent="0.25">
      <c r="H171" t="s">
        <v>73</v>
      </c>
      <c r="J171" s="11"/>
      <c r="K171" s="11">
        <f>VLOOKUP($H171,output!$A$10:$AH$2201,K$1-$J$1+2)</f>
        <v>53.749000000000002</v>
      </c>
      <c r="L171" s="11">
        <f>VLOOKUP($H171,output!$A$10:$AH$2201,L$1-$J$1+2)</f>
        <v>0</v>
      </c>
      <c r="M171" s="11">
        <f>VLOOKUP($H171,output!$A$10:$AH$2201,M$1-$J$1+2)</f>
        <v>0</v>
      </c>
      <c r="N171" s="11">
        <f>VLOOKUP($H171,output!$A$10:$AH$2201,N$1-$J$1+2)</f>
        <v>0</v>
      </c>
      <c r="O171" s="11">
        <f>VLOOKUP($H171,output!$A$10:$AH$2201,O$1-$J$1+2)</f>
        <v>0</v>
      </c>
      <c r="P171" s="11">
        <f>VLOOKUP($H171,output!$A$10:$AH$2201,P$1-$J$1+2)</f>
        <v>0</v>
      </c>
      <c r="Q171" s="11">
        <f>VLOOKUP($H171,output!$A$10:$AH$2201,Q$1-$J$1+2)</f>
        <v>0</v>
      </c>
      <c r="R171" s="11">
        <f>VLOOKUP($H171,output!$A$10:$AH$2201,R$1-$J$1+2)</f>
        <v>0</v>
      </c>
      <c r="S171" s="11">
        <f>VLOOKUP($H171,output!$A$10:$AH$2201,S$1-$J$1+2)</f>
        <v>0</v>
      </c>
      <c r="T171" s="11">
        <f>VLOOKUP($H171,output!$A$10:$AH$2201,T$1-$J$1+2)</f>
        <v>0</v>
      </c>
      <c r="U171" s="11">
        <f>VLOOKUP($H171,output!$A$10:$AH$2201,U$1-$J$1+2)</f>
        <v>0</v>
      </c>
      <c r="V171" s="11">
        <f>VLOOKUP($H171,output!$A$10:$AH$2201,V$1-$J$1+2)</f>
        <v>0</v>
      </c>
      <c r="W171" s="11">
        <f>VLOOKUP($H171,output!$A$10:$AH$2201,W$1-$J$1+2)</f>
        <v>0</v>
      </c>
      <c r="X171" s="11">
        <f>VLOOKUP($H171,output!$A$10:$AH$2201,X$1-$J$1+2)</f>
        <v>0</v>
      </c>
      <c r="Y171" s="11">
        <f>VLOOKUP($H171,output!$A$10:$AH$2201,Y$1-$J$1+2)</f>
        <v>0</v>
      </c>
      <c r="Z171" s="11">
        <f>VLOOKUP($H171,output!$A$10:$AH$2201,Z$1-$J$1+2)</f>
        <v>0</v>
      </c>
      <c r="AA171" s="11">
        <f>VLOOKUP($H171,output!$A$10:$AH$2201,AA$1-$J$1+2)</f>
        <v>0</v>
      </c>
      <c r="AB171" s="11">
        <f>VLOOKUP($H171,output!$A$10:$AH$2201,AB$1-$J$1+2)</f>
        <v>0</v>
      </c>
      <c r="AC171" s="11">
        <f>VLOOKUP($H171,output!$A$10:$AH$2201,AC$1-$J$1+2)</f>
        <v>0</v>
      </c>
      <c r="AD171" s="11">
        <f>VLOOKUP($H171,output!$A$10:$AH$2201,AD$1-$J$1+2)</f>
        <v>0</v>
      </c>
      <c r="AE171" s="11">
        <f>VLOOKUP($H171,output!$A$10:$AH$2201,AE$1-$J$1+2)</f>
        <v>0</v>
      </c>
      <c r="AF171" s="11">
        <f>VLOOKUP($H171,output!$A$10:$AH$2201,AF$1-$J$1+2)</f>
        <v>0</v>
      </c>
      <c r="AG171" s="11">
        <f>VLOOKUP($H171,output!$A$10:$AH$2201,AG$1-$J$1+2)</f>
        <v>0</v>
      </c>
      <c r="AH171" s="11">
        <f>VLOOKUP($H171,output!$A$10:$AH$2201,AH$1-$J$1+2)</f>
        <v>0</v>
      </c>
      <c r="AI171" s="11">
        <f>VLOOKUP($H171,output!$A$10:$AH$2201,AI$1-$J$1+2)</f>
        <v>0</v>
      </c>
      <c r="AJ171" s="11">
        <f>VLOOKUP($H171,output!$A$10:$AH$2201,AJ$1-$J$1+2)</f>
        <v>0</v>
      </c>
      <c r="AK171" s="11">
        <f>VLOOKUP($H171,output!$A$10:$AH$2201,AK$1-$J$1+2)</f>
        <v>0</v>
      </c>
      <c r="AL171" s="11">
        <f>VLOOKUP($H171,output!$A$10:$AH$2201,AL$1-$J$1+2)</f>
        <v>0</v>
      </c>
      <c r="AM171" s="11">
        <f>VLOOKUP($H171,output!$A$10:$AH$2201,AM$1-$J$1+2)</f>
        <v>0</v>
      </c>
      <c r="AN171" s="11">
        <f>VLOOKUP($H171,output!$A$10:$AH$2201,AN$1-$J$1+2)</f>
        <v>0</v>
      </c>
      <c r="AO171" s="11">
        <f>VLOOKUP($H171,output!$A$10:$AH$2201,AO$1-$J$1+2)</f>
        <v>0</v>
      </c>
      <c r="AP171" s="11">
        <f>VLOOKUP($H171,output!$A$10:$AH$2201,AP$1-$J$1+2)</f>
        <v>0</v>
      </c>
      <c r="AR171" s="1">
        <f t="shared" ref="AR171:AR173" si="103">AVERAGE(P171:V171)</f>
        <v>0</v>
      </c>
    </row>
    <row r="172" spans="8:44" x14ac:dyDescent="0.25">
      <c r="H172" t="s">
        <v>166</v>
      </c>
      <c r="J172" s="11"/>
      <c r="K172" s="11">
        <f>K171*0.7</f>
        <v>37.624299999999998</v>
      </c>
      <c r="L172" s="11">
        <f t="shared" ref="L172:AP172" si="104">L171*0.7</f>
        <v>0</v>
      </c>
      <c r="M172" s="11">
        <f t="shared" si="104"/>
        <v>0</v>
      </c>
      <c r="N172" s="11">
        <f t="shared" si="104"/>
        <v>0</v>
      </c>
      <c r="O172" s="11">
        <f t="shared" si="104"/>
        <v>0</v>
      </c>
      <c r="P172" s="11">
        <f t="shared" si="104"/>
        <v>0</v>
      </c>
      <c r="Q172" s="11">
        <f t="shared" si="104"/>
        <v>0</v>
      </c>
      <c r="R172" s="11">
        <f t="shared" si="104"/>
        <v>0</v>
      </c>
      <c r="S172" s="11">
        <f t="shared" si="104"/>
        <v>0</v>
      </c>
      <c r="T172" s="11">
        <f t="shared" si="104"/>
        <v>0</v>
      </c>
      <c r="U172" s="11">
        <f t="shared" si="104"/>
        <v>0</v>
      </c>
      <c r="V172" s="11">
        <f t="shared" si="104"/>
        <v>0</v>
      </c>
      <c r="W172" s="11">
        <f t="shared" si="104"/>
        <v>0</v>
      </c>
      <c r="X172" s="11">
        <f t="shared" si="104"/>
        <v>0</v>
      </c>
      <c r="Y172" s="11">
        <f t="shared" si="104"/>
        <v>0</v>
      </c>
      <c r="Z172" s="11">
        <f t="shared" si="104"/>
        <v>0</v>
      </c>
      <c r="AA172" s="11">
        <f t="shared" si="104"/>
        <v>0</v>
      </c>
      <c r="AB172" s="11">
        <f t="shared" si="104"/>
        <v>0</v>
      </c>
      <c r="AC172" s="11">
        <f t="shared" si="104"/>
        <v>0</v>
      </c>
      <c r="AD172" s="11">
        <f t="shared" si="104"/>
        <v>0</v>
      </c>
      <c r="AE172" s="11">
        <f t="shared" si="104"/>
        <v>0</v>
      </c>
      <c r="AF172" s="11">
        <f t="shared" si="104"/>
        <v>0</v>
      </c>
      <c r="AG172" s="11">
        <f t="shared" si="104"/>
        <v>0</v>
      </c>
      <c r="AH172" s="11">
        <f t="shared" si="104"/>
        <v>0</v>
      </c>
      <c r="AI172" s="11">
        <f t="shared" si="104"/>
        <v>0</v>
      </c>
      <c r="AJ172" s="11">
        <f t="shared" si="104"/>
        <v>0</v>
      </c>
      <c r="AK172" s="11">
        <f t="shared" si="104"/>
        <v>0</v>
      </c>
      <c r="AL172" s="11">
        <f t="shared" si="104"/>
        <v>0</v>
      </c>
      <c r="AM172" s="11">
        <f t="shared" si="104"/>
        <v>0</v>
      </c>
      <c r="AN172" s="11">
        <f t="shared" si="104"/>
        <v>0</v>
      </c>
      <c r="AO172" s="11">
        <f t="shared" si="104"/>
        <v>0</v>
      </c>
      <c r="AP172" s="11">
        <f t="shared" si="104"/>
        <v>0</v>
      </c>
      <c r="AR172" s="1">
        <f t="shared" si="103"/>
        <v>0</v>
      </c>
    </row>
    <row r="173" spans="8:44" x14ac:dyDescent="0.25">
      <c r="H173" t="s">
        <v>167</v>
      </c>
      <c r="J173" s="11"/>
      <c r="K173" s="11">
        <f>K166</f>
        <v>273.221</v>
      </c>
      <c r="L173" s="11">
        <f t="shared" ref="L173:AP173" si="105">L166</f>
        <v>0</v>
      </c>
      <c r="M173" s="11">
        <f t="shared" si="105"/>
        <v>0</v>
      </c>
      <c r="N173" s="11">
        <f t="shared" si="105"/>
        <v>0</v>
      </c>
      <c r="O173" s="11">
        <f t="shared" si="105"/>
        <v>0</v>
      </c>
      <c r="P173" s="11">
        <f t="shared" si="105"/>
        <v>0</v>
      </c>
      <c r="Q173" s="11">
        <f t="shared" si="105"/>
        <v>0</v>
      </c>
      <c r="R173" s="11">
        <f t="shared" si="105"/>
        <v>0</v>
      </c>
      <c r="S173" s="11">
        <f t="shared" si="105"/>
        <v>0</v>
      </c>
      <c r="T173" s="11">
        <f t="shared" si="105"/>
        <v>0</v>
      </c>
      <c r="U173" s="11">
        <f t="shared" si="105"/>
        <v>0</v>
      </c>
      <c r="V173" s="11">
        <f t="shared" si="105"/>
        <v>0</v>
      </c>
      <c r="W173" s="11">
        <f t="shared" si="105"/>
        <v>0</v>
      </c>
      <c r="X173" s="11">
        <f t="shared" si="105"/>
        <v>0</v>
      </c>
      <c r="Y173" s="11">
        <f t="shared" si="105"/>
        <v>0</v>
      </c>
      <c r="Z173" s="11">
        <f t="shared" si="105"/>
        <v>0</v>
      </c>
      <c r="AA173" s="11">
        <f t="shared" si="105"/>
        <v>0</v>
      </c>
      <c r="AB173" s="11">
        <f t="shared" si="105"/>
        <v>0</v>
      </c>
      <c r="AC173" s="11">
        <f t="shared" si="105"/>
        <v>0</v>
      </c>
      <c r="AD173" s="11">
        <f t="shared" si="105"/>
        <v>0</v>
      </c>
      <c r="AE173" s="11">
        <f t="shared" si="105"/>
        <v>0</v>
      </c>
      <c r="AF173" s="11">
        <f t="shared" si="105"/>
        <v>0</v>
      </c>
      <c r="AG173" s="11">
        <f t="shared" si="105"/>
        <v>0</v>
      </c>
      <c r="AH173" s="11">
        <f t="shared" si="105"/>
        <v>0</v>
      </c>
      <c r="AI173" s="11">
        <f t="shared" si="105"/>
        <v>0</v>
      </c>
      <c r="AJ173" s="11">
        <f t="shared" si="105"/>
        <v>0</v>
      </c>
      <c r="AK173" s="11">
        <f t="shared" si="105"/>
        <v>0</v>
      </c>
      <c r="AL173" s="11">
        <f t="shared" si="105"/>
        <v>0</v>
      </c>
      <c r="AM173" s="11">
        <f t="shared" si="105"/>
        <v>0</v>
      </c>
      <c r="AN173" s="11">
        <f t="shared" si="105"/>
        <v>0</v>
      </c>
      <c r="AO173" s="11">
        <f t="shared" si="105"/>
        <v>0</v>
      </c>
      <c r="AP173" s="11">
        <f t="shared" si="105"/>
        <v>0</v>
      </c>
      <c r="AR173" s="1">
        <f t="shared" si="103"/>
        <v>0</v>
      </c>
    </row>
    <row r="174" spans="8:44" x14ac:dyDescent="0.25"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R174" s="1"/>
    </row>
    <row r="175" spans="8:44" x14ac:dyDescent="0.25"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</row>
    <row r="176" spans="8:44" x14ac:dyDescent="0.25"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R176" s="1"/>
    </row>
    <row r="177" spans="8:44" x14ac:dyDescent="0.25">
      <c r="H177" t="s">
        <v>67</v>
      </c>
      <c r="J177" s="11"/>
      <c r="K177" s="11">
        <f>VLOOKUP($H177,output!$A$10:$AH$2201,K$1-$J$1+2)</f>
        <v>2408.6390000000001</v>
      </c>
      <c r="L177" s="11">
        <f>VLOOKUP($H177,output!$A$10:$AH$2201,L$1-$J$1+2)</f>
        <v>0</v>
      </c>
      <c r="M177" s="11">
        <f>VLOOKUP($H177,output!$A$10:$AH$2201,M$1-$J$1+2)</f>
        <v>0</v>
      </c>
      <c r="N177" s="11">
        <f>VLOOKUP($H177,output!$A$10:$AH$2201,N$1-$J$1+2)</f>
        <v>0</v>
      </c>
      <c r="O177" s="11">
        <f>VLOOKUP($H177,output!$A$10:$AH$2201,O$1-$J$1+2)</f>
        <v>0</v>
      </c>
      <c r="P177" s="11">
        <f>VLOOKUP($H177,output!$A$10:$AH$2201,P$1-$J$1+2)</f>
        <v>0</v>
      </c>
      <c r="Q177" s="11">
        <f>VLOOKUP($H177,output!$A$10:$AH$2201,Q$1-$J$1+2)</f>
        <v>0</v>
      </c>
      <c r="R177" s="11">
        <f>VLOOKUP($H177,output!$A$10:$AH$2201,R$1-$J$1+2)</f>
        <v>0</v>
      </c>
      <c r="S177" s="11">
        <f>VLOOKUP($H177,output!$A$10:$AH$2201,S$1-$J$1+2)</f>
        <v>0</v>
      </c>
      <c r="T177" s="11">
        <f>VLOOKUP($H177,output!$A$10:$AH$2201,T$1-$J$1+2)</f>
        <v>0</v>
      </c>
      <c r="U177" s="11">
        <f>VLOOKUP($H177,output!$A$10:$AH$2201,U$1-$J$1+2)</f>
        <v>0</v>
      </c>
      <c r="V177" s="11">
        <f>VLOOKUP($H177,output!$A$10:$AH$2201,V$1-$J$1+2)</f>
        <v>0</v>
      </c>
      <c r="W177" s="11">
        <f>VLOOKUP($H177,output!$A$10:$AH$2201,W$1-$J$1+2)</f>
        <v>0</v>
      </c>
      <c r="X177" s="11">
        <f>VLOOKUP($H177,output!$A$10:$AH$2201,X$1-$J$1+2)</f>
        <v>0</v>
      </c>
      <c r="Y177" s="11">
        <f>VLOOKUP($H177,output!$A$10:$AH$2201,Y$1-$J$1+2)</f>
        <v>0</v>
      </c>
      <c r="Z177" s="11">
        <f>VLOOKUP($H177,output!$A$10:$AH$2201,Z$1-$J$1+2)</f>
        <v>0</v>
      </c>
      <c r="AA177" s="11">
        <f>VLOOKUP($H177,output!$A$10:$AH$2201,AA$1-$J$1+2)</f>
        <v>0</v>
      </c>
      <c r="AB177" s="11">
        <f>VLOOKUP($H177,output!$A$10:$AH$2201,AB$1-$J$1+2)</f>
        <v>0</v>
      </c>
      <c r="AC177" s="11">
        <f>VLOOKUP($H177,output!$A$10:$AH$2201,AC$1-$J$1+2)</f>
        <v>0</v>
      </c>
      <c r="AD177" s="11">
        <f>VLOOKUP($H177,output!$A$10:$AH$2201,AD$1-$J$1+2)</f>
        <v>0</v>
      </c>
      <c r="AE177" s="11">
        <f>VLOOKUP($H177,output!$A$10:$AH$2201,AE$1-$J$1+2)</f>
        <v>0</v>
      </c>
      <c r="AF177" s="11">
        <f>VLOOKUP($H177,output!$A$10:$AH$2201,AF$1-$J$1+2)</f>
        <v>0</v>
      </c>
      <c r="AG177" s="11">
        <f>VLOOKUP($H177,output!$A$10:$AH$2201,AG$1-$J$1+2)</f>
        <v>0</v>
      </c>
      <c r="AH177" s="11">
        <f>VLOOKUP($H177,output!$A$10:$AH$2201,AH$1-$J$1+2)</f>
        <v>0</v>
      </c>
      <c r="AI177" s="11">
        <f>VLOOKUP($H177,output!$A$10:$AH$2201,AI$1-$J$1+2)</f>
        <v>0</v>
      </c>
      <c r="AJ177" s="11">
        <f>VLOOKUP($H177,output!$A$10:$AH$2201,AJ$1-$J$1+2)</f>
        <v>0</v>
      </c>
      <c r="AK177" s="11">
        <f>VLOOKUP($H177,output!$A$10:$AH$2201,AK$1-$J$1+2)</f>
        <v>0</v>
      </c>
      <c r="AL177" s="11">
        <f>VLOOKUP($H177,output!$A$10:$AH$2201,AL$1-$J$1+2)</f>
        <v>0</v>
      </c>
      <c r="AM177" s="11">
        <f>VLOOKUP($H177,output!$A$10:$AH$2201,AM$1-$J$1+2)</f>
        <v>0</v>
      </c>
      <c r="AN177" s="11">
        <f>VLOOKUP($H177,output!$A$10:$AH$2201,AN$1-$J$1+2)</f>
        <v>0</v>
      </c>
      <c r="AO177" s="11">
        <f>VLOOKUP($H177,output!$A$10:$AH$2201,AO$1-$J$1+2)</f>
        <v>0</v>
      </c>
      <c r="AP177" s="11">
        <f>VLOOKUP($H177,output!$A$10:$AH$2201,AP$1-$J$1+2)</f>
        <v>0</v>
      </c>
      <c r="AR177" s="1"/>
    </row>
    <row r="178" spans="8:44" x14ac:dyDescent="0.25">
      <c r="H178" t="s">
        <v>98</v>
      </c>
      <c r="I178" t="s">
        <v>140</v>
      </c>
      <c r="J178" s="11"/>
      <c r="K178" s="11">
        <f>VLOOKUP($H178,output!$A$10:$AH$2201,K$1-$J$1+2)</f>
        <v>1256.951</v>
      </c>
      <c r="L178" s="11">
        <f>VLOOKUP($H178,output!$A$10:$AH$2201,L$1-$J$1+2)</f>
        <v>0</v>
      </c>
      <c r="M178" s="11">
        <f>VLOOKUP($H178,output!$A$10:$AH$2201,M$1-$J$1+2)</f>
        <v>0</v>
      </c>
      <c r="N178" s="11">
        <f>VLOOKUP($H178,output!$A$10:$AH$2201,N$1-$J$1+2)</f>
        <v>0</v>
      </c>
      <c r="O178" s="11">
        <f>VLOOKUP($H178,output!$A$10:$AH$2201,O$1-$J$1+2)</f>
        <v>0</v>
      </c>
      <c r="P178" s="11">
        <f>VLOOKUP($H178,output!$A$10:$AH$2201,P$1-$J$1+2)</f>
        <v>0</v>
      </c>
      <c r="Q178" s="11">
        <f>VLOOKUP($H178,output!$A$10:$AH$2201,Q$1-$J$1+2)</f>
        <v>0</v>
      </c>
      <c r="R178" s="11">
        <f>VLOOKUP($H178,output!$A$10:$AH$2201,R$1-$J$1+2)</f>
        <v>0</v>
      </c>
      <c r="S178" s="11">
        <f>VLOOKUP($H178,output!$A$10:$AH$2201,S$1-$J$1+2)</f>
        <v>0</v>
      </c>
      <c r="T178" s="11">
        <f>VLOOKUP($H178,output!$A$10:$AH$2201,T$1-$J$1+2)</f>
        <v>0</v>
      </c>
      <c r="U178" s="11">
        <f>VLOOKUP($H178,output!$A$10:$AH$2201,U$1-$J$1+2)</f>
        <v>0</v>
      </c>
      <c r="V178" s="11">
        <f>VLOOKUP($H178,output!$A$10:$AH$2201,V$1-$J$1+2)</f>
        <v>0</v>
      </c>
      <c r="W178" s="11">
        <f>VLOOKUP($H178,output!$A$10:$AH$2201,W$1-$J$1+2)</f>
        <v>0</v>
      </c>
      <c r="X178" s="11">
        <f>VLOOKUP($H178,output!$A$10:$AH$2201,X$1-$J$1+2)</f>
        <v>0</v>
      </c>
      <c r="Y178" s="11">
        <f>VLOOKUP($H178,output!$A$10:$AH$2201,Y$1-$J$1+2)</f>
        <v>0</v>
      </c>
      <c r="Z178" s="11">
        <f>VLOOKUP($H178,output!$A$10:$AH$2201,Z$1-$J$1+2)</f>
        <v>0</v>
      </c>
      <c r="AA178" s="11">
        <f>VLOOKUP($H178,output!$A$10:$AH$2201,AA$1-$J$1+2)</f>
        <v>0</v>
      </c>
      <c r="AB178" s="11">
        <f>VLOOKUP($H178,output!$A$10:$AH$2201,AB$1-$J$1+2)</f>
        <v>0</v>
      </c>
      <c r="AC178" s="11">
        <f>VLOOKUP($H178,output!$A$10:$AH$2201,AC$1-$J$1+2)</f>
        <v>0</v>
      </c>
      <c r="AD178" s="11">
        <f>VLOOKUP($H178,output!$A$10:$AH$2201,AD$1-$J$1+2)</f>
        <v>0</v>
      </c>
      <c r="AE178" s="11">
        <f>VLOOKUP($H178,output!$A$10:$AH$2201,AE$1-$J$1+2)</f>
        <v>0</v>
      </c>
      <c r="AF178" s="11">
        <f>VLOOKUP($H178,output!$A$10:$AH$2201,AF$1-$J$1+2)</f>
        <v>0</v>
      </c>
      <c r="AG178" s="11">
        <f>VLOOKUP($H178,output!$A$10:$AH$2201,AG$1-$J$1+2)</f>
        <v>0</v>
      </c>
      <c r="AH178" s="11">
        <f>VLOOKUP($H178,output!$A$10:$AH$2201,AH$1-$J$1+2)</f>
        <v>0</v>
      </c>
      <c r="AI178" s="11">
        <f>VLOOKUP($H178,output!$A$10:$AH$2201,AI$1-$J$1+2)</f>
        <v>0</v>
      </c>
      <c r="AJ178" s="11">
        <f>VLOOKUP($H178,output!$A$10:$AH$2201,AJ$1-$J$1+2)</f>
        <v>0</v>
      </c>
      <c r="AK178" s="11">
        <f>VLOOKUP($H178,output!$A$10:$AH$2201,AK$1-$J$1+2)</f>
        <v>0</v>
      </c>
      <c r="AL178" s="11">
        <f>VLOOKUP($H178,output!$A$10:$AH$2201,AL$1-$J$1+2)</f>
        <v>0</v>
      </c>
      <c r="AM178" s="11">
        <f>VLOOKUP($H178,output!$A$10:$AH$2201,AM$1-$J$1+2)</f>
        <v>0</v>
      </c>
      <c r="AN178" s="11">
        <f>VLOOKUP($H178,output!$A$10:$AH$2201,AN$1-$J$1+2)</f>
        <v>0</v>
      </c>
      <c r="AO178" s="11">
        <f>VLOOKUP($H178,output!$A$10:$AH$2201,AO$1-$J$1+2)</f>
        <v>0</v>
      </c>
      <c r="AP178" s="11">
        <f>VLOOKUP($H178,output!$A$10:$AH$2201,AP$1-$J$1+2)</f>
        <v>0</v>
      </c>
      <c r="AR178" s="1"/>
    </row>
    <row r="179" spans="8:44" x14ac:dyDescent="0.25">
      <c r="H179" t="s">
        <v>201</v>
      </c>
      <c r="I179" t="s">
        <v>141</v>
      </c>
      <c r="J179" s="11"/>
      <c r="K179" s="11">
        <f>VLOOKUP($H179,output!$A$10:$AH$2201,K$1-$J$1+2)</f>
        <v>0</v>
      </c>
      <c r="L179" s="11">
        <f>VLOOKUP($H179,output!$A$10:$AH$2201,L$1-$J$1+2)</f>
        <v>0</v>
      </c>
      <c r="M179" s="11">
        <v>50</v>
      </c>
      <c r="N179" s="11">
        <v>60</v>
      </c>
      <c r="O179" s="11">
        <v>70</v>
      </c>
      <c r="P179" s="11">
        <f>VLOOKUP($H179,output!$A$10:$AH$2201,P$1-$J$1+2)</f>
        <v>0</v>
      </c>
      <c r="Q179" s="11">
        <f>VLOOKUP($H179,output!$A$10:$AH$2201,Q$1-$J$1+2)</f>
        <v>0</v>
      </c>
      <c r="R179" s="11">
        <f>VLOOKUP($H179,output!$A$10:$AH$2201,R$1-$J$1+2)</f>
        <v>0</v>
      </c>
      <c r="S179" s="11">
        <f>VLOOKUP($H179,output!$A$10:$AH$2201,S$1-$J$1+2)</f>
        <v>0</v>
      </c>
      <c r="T179" s="11">
        <f>VLOOKUP($H179,output!$A$10:$AH$2201,T$1-$J$1+2)</f>
        <v>0</v>
      </c>
      <c r="U179" s="11">
        <f>VLOOKUP($H179,output!$A$10:$AH$2201,U$1-$J$1+2)</f>
        <v>0</v>
      </c>
      <c r="V179" s="11">
        <f>VLOOKUP($H179,output!$A$10:$AH$2201,V$1-$J$1+2)</f>
        <v>0</v>
      </c>
      <c r="W179" s="11">
        <f>VLOOKUP($H179,output!$A$10:$AH$2201,W$1-$J$1+2)</f>
        <v>0</v>
      </c>
      <c r="X179" s="11">
        <f>VLOOKUP($H179,output!$A$10:$AH$2201,X$1-$J$1+2)</f>
        <v>0</v>
      </c>
      <c r="Y179" s="11">
        <f>VLOOKUP($H179,output!$A$10:$AH$2201,Y$1-$J$1+2)</f>
        <v>0</v>
      </c>
      <c r="Z179" s="11">
        <f>VLOOKUP($H179,output!$A$10:$AH$2201,Z$1-$J$1+2)</f>
        <v>0</v>
      </c>
      <c r="AA179" s="11">
        <f>VLOOKUP($H179,output!$A$10:$AH$2201,AA$1-$J$1+2)</f>
        <v>0</v>
      </c>
      <c r="AB179" s="11">
        <f>VLOOKUP($H179,output!$A$10:$AH$2201,AB$1-$J$1+2)</f>
        <v>0</v>
      </c>
      <c r="AC179" s="11">
        <f>VLOOKUP($H179,output!$A$10:$AH$2201,AC$1-$J$1+2)</f>
        <v>0</v>
      </c>
      <c r="AD179" s="11">
        <f>VLOOKUP($H179,output!$A$10:$AH$2201,AD$1-$J$1+2)</f>
        <v>0</v>
      </c>
      <c r="AE179" s="11">
        <f>VLOOKUP($H179,output!$A$10:$AH$2201,AE$1-$J$1+2)</f>
        <v>0</v>
      </c>
      <c r="AF179" s="11">
        <f>VLOOKUP($H179,output!$A$10:$AH$2201,AF$1-$J$1+2)</f>
        <v>0</v>
      </c>
      <c r="AG179" s="11">
        <f>VLOOKUP($H179,output!$A$10:$AH$2201,AG$1-$J$1+2)</f>
        <v>0</v>
      </c>
      <c r="AH179" s="11">
        <f>VLOOKUP($H179,output!$A$10:$AH$2201,AH$1-$J$1+2)</f>
        <v>0</v>
      </c>
      <c r="AI179" s="11">
        <f>VLOOKUP($H179,output!$A$10:$AH$2201,AI$1-$J$1+2)</f>
        <v>0</v>
      </c>
      <c r="AJ179" s="11">
        <f>VLOOKUP($H179,output!$A$10:$AH$2201,AJ$1-$J$1+2)</f>
        <v>0</v>
      </c>
      <c r="AK179" s="11">
        <f>VLOOKUP($H179,output!$A$10:$AH$2201,AK$1-$J$1+2)</f>
        <v>0</v>
      </c>
      <c r="AL179" s="11">
        <f>VLOOKUP($H179,output!$A$10:$AH$2201,AL$1-$J$1+2)</f>
        <v>0</v>
      </c>
      <c r="AM179" s="11">
        <f>VLOOKUP($H179,output!$A$10:$AH$2201,AM$1-$J$1+2)</f>
        <v>0</v>
      </c>
      <c r="AN179" s="11">
        <f>VLOOKUP($H179,output!$A$10:$AH$2201,AN$1-$J$1+2)</f>
        <v>0</v>
      </c>
      <c r="AO179" s="11">
        <f>VLOOKUP($H179,output!$A$10:$AH$2201,AO$1-$J$1+2)</f>
        <v>0</v>
      </c>
      <c r="AP179" s="11">
        <f>VLOOKUP($H179,output!$A$10:$AH$2201,AP$1-$J$1+2)</f>
        <v>0</v>
      </c>
    </row>
    <row r="180" spans="8:44" x14ac:dyDescent="0.25">
      <c r="H180" t="s">
        <v>71</v>
      </c>
      <c r="I180" t="s">
        <v>210</v>
      </c>
      <c r="J180" s="11"/>
      <c r="K180" s="11">
        <f>VLOOKUP($H180,output!$A$10:$AH$2201,K$1-$J$1+2)</f>
        <v>149.137</v>
      </c>
      <c r="L180" s="11">
        <f>VLOOKUP($H180,output!$A$10:$AH$2201,L$1-$J$1+2)</f>
        <v>0</v>
      </c>
      <c r="M180" s="11">
        <v>10</v>
      </c>
      <c r="N180" s="11">
        <v>25</v>
      </c>
      <c r="O180" s="11">
        <v>35</v>
      </c>
      <c r="P180" s="11">
        <f>VLOOKUP($H180,output!$A$10:$AH$2201,P$1-$J$1+2)</f>
        <v>0</v>
      </c>
      <c r="Q180" s="11">
        <f>VLOOKUP($H180,output!$A$10:$AH$2201,Q$1-$J$1+2)</f>
        <v>0</v>
      </c>
      <c r="R180" s="11">
        <f>VLOOKUP($H180,output!$A$10:$AH$2201,R$1-$J$1+2)</f>
        <v>0</v>
      </c>
      <c r="S180" s="11">
        <f>VLOOKUP($H180,output!$A$10:$AH$2201,S$1-$J$1+2)</f>
        <v>0</v>
      </c>
      <c r="T180" s="11">
        <f>VLOOKUP($H180,output!$A$10:$AH$2201,T$1-$J$1+2)</f>
        <v>0</v>
      </c>
      <c r="U180" s="11">
        <f>VLOOKUP($H180,output!$A$10:$AH$2201,U$1-$J$1+2)</f>
        <v>0</v>
      </c>
      <c r="V180" s="11">
        <f>VLOOKUP($H180,output!$A$10:$AH$2201,V$1-$J$1+2)</f>
        <v>0</v>
      </c>
      <c r="W180" s="11">
        <f>VLOOKUP($H180,output!$A$10:$AH$2201,W$1-$J$1+2)</f>
        <v>0</v>
      </c>
      <c r="X180" s="11">
        <f>VLOOKUP($H180,output!$A$10:$AH$2201,X$1-$J$1+2)</f>
        <v>0</v>
      </c>
      <c r="Y180" s="11">
        <f>VLOOKUP($H180,output!$A$10:$AH$2201,Y$1-$J$1+2)</f>
        <v>0</v>
      </c>
      <c r="Z180" s="11">
        <f>VLOOKUP($H180,output!$A$10:$AH$2201,Z$1-$J$1+2)</f>
        <v>0</v>
      </c>
      <c r="AA180" s="11">
        <f>VLOOKUP($H180,output!$A$10:$AH$2201,AA$1-$J$1+2)</f>
        <v>0</v>
      </c>
      <c r="AB180" s="11">
        <f>VLOOKUP($H180,output!$A$10:$AH$2201,AB$1-$J$1+2)</f>
        <v>0</v>
      </c>
      <c r="AC180" s="11">
        <f>VLOOKUP($H180,output!$A$10:$AH$2201,AC$1-$J$1+2)</f>
        <v>0</v>
      </c>
      <c r="AD180" s="11">
        <f>VLOOKUP($H180,output!$A$10:$AH$2201,AD$1-$J$1+2)</f>
        <v>0</v>
      </c>
      <c r="AE180" s="11">
        <f>VLOOKUP($H180,output!$A$10:$AH$2201,AE$1-$J$1+2)</f>
        <v>0</v>
      </c>
      <c r="AF180" s="11">
        <f>VLOOKUP($H180,output!$A$10:$AH$2201,AF$1-$J$1+2)</f>
        <v>0</v>
      </c>
      <c r="AG180" s="11">
        <f>VLOOKUP($H180,output!$A$10:$AH$2201,AG$1-$J$1+2)</f>
        <v>0</v>
      </c>
      <c r="AH180" s="11">
        <f>VLOOKUP($H180,output!$A$10:$AH$2201,AH$1-$J$1+2)</f>
        <v>0</v>
      </c>
      <c r="AI180" s="11">
        <f>VLOOKUP($H180,output!$A$10:$AH$2201,AI$1-$J$1+2)</f>
        <v>0</v>
      </c>
      <c r="AJ180" s="11">
        <f>VLOOKUP($H180,output!$A$10:$AH$2201,AJ$1-$J$1+2)</f>
        <v>0</v>
      </c>
      <c r="AK180" s="11">
        <f>VLOOKUP($H180,output!$A$10:$AH$2201,AK$1-$J$1+2)</f>
        <v>0</v>
      </c>
      <c r="AL180" s="11">
        <f>VLOOKUP($H180,output!$A$10:$AH$2201,AL$1-$J$1+2)</f>
        <v>0</v>
      </c>
      <c r="AM180" s="11">
        <f>VLOOKUP($H180,output!$A$10:$AH$2201,AM$1-$J$1+2)</f>
        <v>0</v>
      </c>
      <c r="AN180" s="11">
        <f>VLOOKUP($H180,output!$A$10:$AH$2201,AN$1-$J$1+2)</f>
        <v>0</v>
      </c>
      <c r="AO180" s="11">
        <f>VLOOKUP($H180,output!$A$10:$AH$2201,AO$1-$J$1+2)</f>
        <v>0</v>
      </c>
      <c r="AP180" s="11">
        <f>VLOOKUP($H180,output!$A$10:$AH$2201,AP$1-$J$1+2)</f>
        <v>0</v>
      </c>
    </row>
    <row r="181" spans="8:44" x14ac:dyDescent="0.25"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</row>
    <row r="182" spans="8:44" x14ac:dyDescent="0.25">
      <c r="H182" t="s">
        <v>207</v>
      </c>
      <c r="J182" s="11"/>
      <c r="K182" s="11"/>
      <c r="L182" s="11"/>
      <c r="M182" s="11" t="e">
        <f>M142*1000/M178</f>
        <v>#DIV/0!</v>
      </c>
      <c r="N182" s="11" t="e">
        <f t="shared" ref="N182:AP182" si="106">N142*1000/N178</f>
        <v>#DIV/0!</v>
      </c>
      <c r="O182" s="11" t="e">
        <f t="shared" si="106"/>
        <v>#DIV/0!</v>
      </c>
      <c r="P182" s="11" t="e">
        <f t="shared" si="106"/>
        <v>#DIV/0!</v>
      </c>
      <c r="Q182" s="11" t="e">
        <f t="shared" si="106"/>
        <v>#DIV/0!</v>
      </c>
      <c r="R182" s="11" t="e">
        <f t="shared" si="106"/>
        <v>#DIV/0!</v>
      </c>
      <c r="S182" s="11" t="e">
        <f t="shared" si="106"/>
        <v>#DIV/0!</v>
      </c>
      <c r="T182" s="11" t="e">
        <f t="shared" si="106"/>
        <v>#DIV/0!</v>
      </c>
      <c r="U182" s="11" t="e">
        <f t="shared" si="106"/>
        <v>#DIV/0!</v>
      </c>
      <c r="V182" s="11" t="e">
        <f t="shared" si="106"/>
        <v>#DIV/0!</v>
      </c>
      <c r="W182" s="11" t="e">
        <f t="shared" si="106"/>
        <v>#DIV/0!</v>
      </c>
      <c r="X182" s="11" t="e">
        <f t="shared" si="106"/>
        <v>#DIV/0!</v>
      </c>
      <c r="Y182" s="11" t="e">
        <f t="shared" si="106"/>
        <v>#DIV/0!</v>
      </c>
      <c r="Z182" s="11" t="e">
        <f t="shared" si="106"/>
        <v>#DIV/0!</v>
      </c>
      <c r="AA182" s="11" t="e">
        <f t="shared" si="106"/>
        <v>#DIV/0!</v>
      </c>
      <c r="AB182" s="11" t="e">
        <f t="shared" si="106"/>
        <v>#DIV/0!</v>
      </c>
      <c r="AC182" s="11" t="e">
        <f t="shared" si="106"/>
        <v>#DIV/0!</v>
      </c>
      <c r="AD182" s="11" t="e">
        <f t="shared" si="106"/>
        <v>#DIV/0!</v>
      </c>
      <c r="AE182" s="11" t="e">
        <f t="shared" si="106"/>
        <v>#DIV/0!</v>
      </c>
      <c r="AF182" s="11" t="e">
        <f t="shared" si="106"/>
        <v>#DIV/0!</v>
      </c>
      <c r="AG182" s="11" t="e">
        <f t="shared" si="106"/>
        <v>#DIV/0!</v>
      </c>
      <c r="AH182" s="11" t="e">
        <f t="shared" si="106"/>
        <v>#DIV/0!</v>
      </c>
      <c r="AI182" s="11" t="e">
        <f t="shared" si="106"/>
        <v>#DIV/0!</v>
      </c>
      <c r="AJ182" s="11" t="e">
        <f t="shared" si="106"/>
        <v>#DIV/0!</v>
      </c>
      <c r="AK182" s="11" t="e">
        <f t="shared" si="106"/>
        <v>#DIV/0!</v>
      </c>
      <c r="AL182" s="11" t="e">
        <f t="shared" si="106"/>
        <v>#DIV/0!</v>
      </c>
      <c r="AM182" s="11" t="e">
        <f t="shared" si="106"/>
        <v>#DIV/0!</v>
      </c>
      <c r="AN182" s="11" t="e">
        <f t="shared" si="106"/>
        <v>#DIV/0!</v>
      </c>
      <c r="AO182" s="11" t="e">
        <f t="shared" si="106"/>
        <v>#DIV/0!</v>
      </c>
      <c r="AP182" s="11" t="e">
        <f t="shared" si="106"/>
        <v>#DIV/0!</v>
      </c>
    </row>
    <row r="183" spans="8:44" x14ac:dyDescent="0.25">
      <c r="J183" s="11"/>
      <c r="K183" s="11"/>
      <c r="L183" s="11"/>
      <c r="M183" s="11">
        <v>3.1882618322393825</v>
      </c>
      <c r="N183" s="11">
        <v>3.3419860058978226</v>
      </c>
      <c r="O183" s="11">
        <v>2.0789345409140516</v>
      </c>
      <c r="P183" s="11">
        <v>2.9472292264560807</v>
      </c>
      <c r="Q183" s="11">
        <v>2.774593648937024</v>
      </c>
      <c r="R183" s="11">
        <v>2.5995730273664752</v>
      </c>
      <c r="S183" s="11">
        <v>2.920580557096021</v>
      </c>
      <c r="T183" s="11">
        <v>2.8435747476611009</v>
      </c>
      <c r="U183" s="11">
        <v>2.8662285251337773</v>
      </c>
      <c r="V183" s="11">
        <v>3.3906387717990008</v>
      </c>
      <c r="W183" s="11">
        <v>3.1881143526806022</v>
      </c>
      <c r="X183" s="11">
        <v>3.1706700858416341</v>
      </c>
      <c r="Y183" s="11">
        <v>3.1927634366324424</v>
      </c>
      <c r="Z183" s="11">
        <v>3.2243448033311335</v>
      </c>
      <c r="AA183" s="11">
        <v>3.2568621370781887</v>
      </c>
      <c r="AB183" s="11">
        <v>3.1165237185511461</v>
      </c>
      <c r="AC183" s="11">
        <v>3.0498010189984557</v>
      </c>
      <c r="AD183" s="11">
        <v>3.0108554697145342</v>
      </c>
      <c r="AE183" s="11">
        <v>2.9865662458500029</v>
      </c>
      <c r="AF183" s="11">
        <v>2.9645956754635727</v>
      </c>
      <c r="AG183" s="11">
        <v>2.9516820495933778</v>
      </c>
      <c r="AH183" s="11">
        <v>2.9416702247465896</v>
      </c>
      <c r="AI183" s="11">
        <v>2.9336841506851346</v>
      </c>
      <c r="AJ183" s="11">
        <v>2.9271273261685558</v>
      </c>
      <c r="AK183" s="11">
        <v>2.9216976649538049</v>
      </c>
      <c r="AL183" s="11">
        <v>2.9171366677874637</v>
      </c>
      <c r="AM183" s="11">
        <v>2.9132755989012753</v>
      </c>
      <c r="AN183" s="11">
        <v>2.909991817620587</v>
      </c>
      <c r="AO183" s="11">
        <v>2.9071937200802735</v>
      </c>
      <c r="AP183" s="11">
        <v>2.904832094758111</v>
      </c>
    </row>
    <row r="184" spans="8:44" x14ac:dyDescent="0.25"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</row>
    <row r="185" spans="8:44" x14ac:dyDescent="0.25">
      <c r="H185" t="s">
        <v>31</v>
      </c>
      <c r="J185" s="11">
        <f>VLOOKUP($H185,output!$A$10:$AH$2201,J$1-$J$1+2)</f>
        <v>0</v>
      </c>
      <c r="K185" s="11">
        <f>VLOOKUP($H185,output!$A$10:$AH$2201,K$1-$J$1+2)</f>
        <v>737.38400000000001</v>
      </c>
      <c r="L185" s="11">
        <f>VLOOKUP($H185,output!$A$10:$AH$2201,L$1-$J$1+2)</f>
        <v>654.32299999999998</v>
      </c>
      <c r="M185" s="11">
        <f>VLOOKUP($H185,output!$A$10:$AH$2201,M$1-$J$1+2)</f>
        <v>613.87800000000004</v>
      </c>
      <c r="N185" s="11">
        <f>VLOOKUP($H185,output!$A$10:$AH$2201,N$1-$J$1+2)</f>
        <v>673.48400000000004</v>
      </c>
      <c r="O185" s="11">
        <f>VLOOKUP($H185,output!$A$10:$AH$2201,O$1-$J$1+2)</f>
        <v>640.39300000000003</v>
      </c>
      <c r="P185" s="11">
        <f>VLOOKUP($H185,output!$A$10:$AH$2201,P$1-$J$1+2)</f>
        <v>601.12</v>
      </c>
      <c r="Q185" s="11">
        <f>VLOOKUP($H185,output!$A$10:$AH$2201,Q$1-$J$1+2)</f>
        <v>563.495</v>
      </c>
      <c r="R185" s="11">
        <f>VLOOKUP($H185,output!$A$10:$AH$2201,R$1-$J$1+2)</f>
        <v>653.68600000000004</v>
      </c>
      <c r="S185" s="11">
        <f>VLOOKUP($H185,output!$A$10:$AH$2201,S$1-$J$1+2)</f>
        <v>611.14400000000001</v>
      </c>
      <c r="T185" s="11">
        <f>VLOOKUP($H185,output!$A$10:$AH$2201,T$1-$J$1+2)</f>
        <v>643.49900000000002</v>
      </c>
      <c r="U185" s="11">
        <f>VLOOKUP($H185,output!$A$10:$AH$2201,U$1-$J$1+2)</f>
        <v>680.94799999999998</v>
      </c>
      <c r="V185" s="11">
        <f>VLOOKUP($H185,output!$A$10:$AH$2201,V$1-$J$1+2)</f>
        <v>716.745</v>
      </c>
      <c r="W185" s="11">
        <f>VLOOKUP($H185,output!$A$10:$AH$2201,W$1-$J$1+2)</f>
        <v>596.62400000000002</v>
      </c>
      <c r="X185" s="11">
        <f>VLOOKUP($H185,output!$A$10:$AH$2201,X$1-$J$1+2)</f>
        <v>636.88400000000001</v>
      </c>
      <c r="Y185" s="11">
        <f>VLOOKUP($H185,output!$A$10:$AH$2201,Y$1-$J$1+2)</f>
        <v>656.71500000000003</v>
      </c>
      <c r="Z185" s="11">
        <f>VLOOKUP($H185,output!$A$10:$AH$2201,Z$1-$J$1+2)</f>
        <v>610.774</v>
      </c>
      <c r="AA185" s="11">
        <f>VLOOKUP($H185,output!$A$10:$AH$2201,AA$1-$J$1+2)</f>
        <v>687.846</v>
      </c>
      <c r="AB185" s="11">
        <f>VLOOKUP($H185,output!$A$10:$AH$2201,AB$1-$J$1+2)</f>
        <v>618.64300000000003</v>
      </c>
      <c r="AC185" s="11">
        <f>VLOOKUP($H185,output!$A$10:$AH$2201,AC$1-$J$1+2)</f>
        <v>613.04999999999995</v>
      </c>
      <c r="AD185" s="11">
        <f>VLOOKUP($H185,output!$A$10:$AH$2201,AD$1-$J$1+2)</f>
        <v>573.548</v>
      </c>
      <c r="AE185" s="11">
        <f>VLOOKUP($H185,output!$A$10:$AH$2201,AE$1-$J$1+2)</f>
        <v>935.62</v>
      </c>
      <c r="AF185" s="11">
        <f>VLOOKUP($H185,output!$A$10:$AH$2201,AF$1-$J$1+2)</f>
        <v>848.178</v>
      </c>
      <c r="AG185" s="11">
        <f>VLOOKUP($H185,output!$A$10:$AH$2201,AG$1-$J$1+2)</f>
        <v>837.04600000000005</v>
      </c>
      <c r="AH185" s="11">
        <f>VLOOKUP($H185,output!$A$10:$AH$2201,AH$1-$J$1+2)</f>
        <v>862.13099999999997</v>
      </c>
      <c r="AI185" s="11">
        <f>VLOOKUP($H185,output!$A$10:$AH$2201,AI$1-$J$1+2)</f>
        <v>826.197</v>
      </c>
      <c r="AJ185" s="11">
        <f>VLOOKUP($H185,output!$A$10:$AH$2201,AJ$1-$J$1+2)</f>
        <v>785.68100000000004</v>
      </c>
      <c r="AK185" s="11">
        <f>VLOOKUP($H185,output!$A$10:$AH$2201,AK$1-$J$1+2)</f>
        <v>745.76199999999994</v>
      </c>
      <c r="AL185" s="11">
        <f>VLOOKUP($H185,output!$A$10:$AH$2201,AL$1-$J$1+2)</f>
        <v>0</v>
      </c>
      <c r="AM185" s="11">
        <f>VLOOKUP($H185,output!$A$10:$AH$2201,AM$1-$J$1+2)</f>
        <v>0</v>
      </c>
      <c r="AN185" s="11">
        <f>VLOOKUP($H185,output!$A$10:$AH$2201,AN$1-$J$1+2)</f>
        <v>0</v>
      </c>
      <c r="AO185" s="11">
        <f>VLOOKUP($H185,output!$A$10:$AH$2201,AO$1-$J$1+2)</f>
        <v>0</v>
      </c>
      <c r="AP185" s="11">
        <f>VLOOKUP($H185,output!$A$10:$AH$2201,AP$1-$J$1+2)</f>
        <v>0</v>
      </c>
    </row>
    <row r="186" spans="8:44" x14ac:dyDescent="0.25">
      <c r="H186" t="s">
        <v>30</v>
      </c>
      <c r="J186" s="11">
        <f>VLOOKUP($H186,output!$A$10:$AH$2201,J$1-$J$1+2)</f>
        <v>0</v>
      </c>
      <c r="K186" s="11">
        <f>VLOOKUP($H186,output!$A$10:$AH$2201,K$1-$J$1+2)</f>
        <v>1807.7809999999999</v>
      </c>
      <c r="L186" s="11">
        <f>VLOOKUP($H186,output!$A$10:$AH$2201,L$1-$J$1+2)</f>
        <v>1803.9849999999999</v>
      </c>
      <c r="M186" s="11">
        <f>VLOOKUP($H186,output!$A$10:$AH$2201,M$1-$J$1+2)</f>
        <v>1800.184</v>
      </c>
      <c r="N186" s="11">
        <f>VLOOKUP($H186,output!$A$10:$AH$2201,N$1-$J$1+2)</f>
        <v>1796.364</v>
      </c>
      <c r="O186" s="11">
        <f>VLOOKUP($H186,output!$A$10:$AH$2201,O$1-$J$1+2)</f>
        <v>1792.5319999999999</v>
      </c>
      <c r="P186" s="11">
        <f>VLOOKUP($H186,output!$A$10:$AH$2201,P$1-$J$1+2)</f>
        <v>1788.694</v>
      </c>
      <c r="Q186" s="11">
        <f>VLOOKUP($H186,output!$A$10:$AH$2201,Q$1-$J$1+2)</f>
        <v>1784.8589999999999</v>
      </c>
      <c r="R186" s="11">
        <f>VLOOKUP($H186,output!$A$10:$AH$2201,R$1-$J$1+2)</f>
        <v>1782.0440000000001</v>
      </c>
      <c r="S186" s="11">
        <f>VLOOKUP($H186,output!$A$10:$AH$2201,S$1-$J$1+2)</f>
        <v>1780.3489999999999</v>
      </c>
      <c r="T186" s="11">
        <f>VLOOKUP($H186,output!$A$10:$AH$2201,T$1-$J$1+2)</f>
        <v>1778.3969999999999</v>
      </c>
      <c r="U186" s="11">
        <f>VLOOKUP($H186,output!$A$10:$AH$2201,U$1-$J$1+2)</f>
        <v>1776.2170000000001</v>
      </c>
      <c r="V186" s="11">
        <f>VLOOKUP($H186,output!$A$10:$AH$2201,V$1-$J$1+2)</f>
        <v>1774.856</v>
      </c>
      <c r="W186" s="11">
        <f>VLOOKUP($H186,output!$A$10:$AH$2201,W$1-$J$1+2)</f>
        <v>1527.6389999999999</v>
      </c>
      <c r="X186" s="11">
        <f>VLOOKUP($H186,output!$A$10:$AH$2201,X$1-$J$1+2)</f>
        <v>1526.558</v>
      </c>
      <c r="Y186" s="11">
        <f>VLOOKUP($H186,output!$A$10:$AH$2201,Y$1-$J$1+2)</f>
        <v>1525.3510000000001</v>
      </c>
      <c r="Z186" s="11">
        <f>VLOOKUP($H186,output!$A$10:$AH$2201,Z$1-$J$1+2)</f>
        <v>1348.5229999999999</v>
      </c>
      <c r="AA186" s="11">
        <f>VLOOKUP($H186,output!$A$10:$AH$2201,AA$1-$J$1+2)</f>
        <v>1503.8879999999999</v>
      </c>
      <c r="AB186" s="11">
        <f>VLOOKUP($H186,output!$A$10:$AH$2201,AB$1-$J$1+2)</f>
        <v>1369.671</v>
      </c>
      <c r="AC186" s="11">
        <f>VLOOKUP($H186,output!$A$10:$AH$2201,AC$1-$J$1+2)</f>
        <v>1360.83</v>
      </c>
      <c r="AD186" s="11">
        <f>VLOOKUP($H186,output!$A$10:$AH$2201,AD$1-$J$1+2)</f>
        <v>1257.5429999999999</v>
      </c>
      <c r="AE186" s="11">
        <f>VLOOKUP($H186,output!$A$10:$AH$2201,AE$1-$J$1+2)</f>
        <v>1584.712</v>
      </c>
      <c r="AF186" s="11">
        <f>VLOOKUP($H186,output!$A$10:$AH$2201,AF$1-$J$1+2)</f>
        <v>1321.58</v>
      </c>
      <c r="AG186" s="11">
        <f>VLOOKUP($H186,output!$A$10:$AH$2201,AG$1-$J$1+2)</f>
        <v>1563.2270000000001</v>
      </c>
      <c r="AH186" s="11">
        <f>VLOOKUP($H186,output!$A$10:$AH$2201,AH$1-$J$1+2)</f>
        <v>1456.345</v>
      </c>
      <c r="AI186" s="11">
        <f>VLOOKUP($H186,output!$A$10:$AH$2201,AI$1-$J$1+2)</f>
        <v>1569.6289999999999</v>
      </c>
      <c r="AJ186" s="11">
        <f>VLOOKUP($H186,output!$A$10:$AH$2201,AJ$1-$J$1+2)</f>
        <v>1701.7059999999999</v>
      </c>
      <c r="AK186" s="11">
        <f>VLOOKUP($H186,output!$A$10:$AH$2201,AK$1-$J$1+2)</f>
        <v>1817.36</v>
      </c>
      <c r="AL186" s="11">
        <f>VLOOKUP($H186,output!$A$10:$AH$2201,AL$1-$J$1+2)</f>
        <v>0</v>
      </c>
      <c r="AM186" s="11">
        <f>VLOOKUP($H186,output!$A$10:$AH$2201,AM$1-$J$1+2)</f>
        <v>0</v>
      </c>
      <c r="AN186" s="11">
        <f>VLOOKUP($H186,output!$A$10:$AH$2201,AN$1-$J$1+2)</f>
        <v>0</v>
      </c>
      <c r="AO186" s="11">
        <f>VLOOKUP($H186,output!$A$10:$AH$2201,AO$1-$J$1+2)</f>
        <v>0</v>
      </c>
      <c r="AP186" s="11">
        <f>VLOOKUP($H186,output!$A$10:$AH$2201,AP$1-$J$1+2)</f>
        <v>0</v>
      </c>
    </row>
    <row r="187" spans="8:44" x14ac:dyDescent="0.25">
      <c r="H187" t="s">
        <v>23</v>
      </c>
      <c r="J187" s="11">
        <f>VLOOKUP($H187,output!$A$10:$AH$2201,J$1-$J$1+2)</f>
        <v>0</v>
      </c>
      <c r="K187" s="11">
        <f>VLOOKUP($H187,output!$A$10:$AH$2201,K$1-$J$1+2)</f>
        <v>1780.5029999999999</v>
      </c>
      <c r="L187" s="11">
        <f>VLOOKUP($H187,output!$A$10:$AH$2201,L$1-$J$1+2)</f>
        <v>1782.143</v>
      </c>
      <c r="M187" s="11">
        <f>VLOOKUP($H187,output!$A$10:$AH$2201,M$1-$J$1+2)</f>
        <v>1771.1320000000001</v>
      </c>
      <c r="N187" s="11">
        <f>VLOOKUP($H187,output!$A$10:$AH$2201,N$1-$J$1+2)</f>
        <v>1763.5250000000001</v>
      </c>
      <c r="O187" s="11">
        <f>VLOOKUP($H187,output!$A$10:$AH$2201,O$1-$J$1+2)</f>
        <v>1756.7570000000001</v>
      </c>
      <c r="P187" s="11">
        <f>VLOOKUP($H187,output!$A$10:$AH$2201,P$1-$J$1+2)</f>
        <v>1752.492</v>
      </c>
      <c r="Q187" s="11">
        <f>VLOOKUP($H187,output!$A$10:$AH$2201,Q$1-$J$1+2)</f>
        <v>1747.79</v>
      </c>
      <c r="R187" s="11">
        <f>VLOOKUP($H187,output!$A$10:$AH$2201,R$1-$J$1+2)</f>
        <v>1742.846</v>
      </c>
      <c r="S187" s="11">
        <f>VLOOKUP($H187,output!$A$10:$AH$2201,S$1-$J$1+2)</f>
        <v>1739.8009999999999</v>
      </c>
      <c r="T187" s="11">
        <f>VLOOKUP($H187,output!$A$10:$AH$2201,T$1-$J$1+2)</f>
        <v>1734.5930000000001</v>
      </c>
      <c r="U187" s="11">
        <f>VLOOKUP($H187,output!$A$10:$AH$2201,U$1-$J$1+2)</f>
        <v>1726.56</v>
      </c>
      <c r="V187" s="11">
        <f>VLOOKUP($H187,output!$A$10:$AH$2201,V$1-$J$1+2)</f>
        <v>1724.6279999999999</v>
      </c>
      <c r="W187" s="11">
        <f>VLOOKUP($H187,output!$A$10:$AH$2201,W$1-$J$1+2)</f>
        <v>1484.135</v>
      </c>
      <c r="X187" s="11">
        <f>VLOOKUP($H187,output!$A$10:$AH$2201,X$1-$J$1+2)</f>
        <v>1486.3869999999999</v>
      </c>
      <c r="Y187" s="11">
        <f>VLOOKUP($H187,output!$A$10:$AH$2201,Y$1-$J$1+2)</f>
        <v>1484.5889999999999</v>
      </c>
      <c r="Z187" s="11">
        <f>VLOOKUP($H187,output!$A$10:$AH$2201,Z$1-$J$1+2)</f>
        <v>1311.394</v>
      </c>
      <c r="AA187" s="11">
        <f>VLOOKUP($H187,output!$A$10:$AH$2201,AA$1-$J$1+2)</f>
        <v>1458.046</v>
      </c>
      <c r="AB187" s="11">
        <f>VLOOKUP($H187,output!$A$10:$AH$2201,AB$1-$J$1+2)</f>
        <v>1331.0640000000001</v>
      </c>
      <c r="AC187" s="11">
        <f>VLOOKUP($H187,output!$A$10:$AH$2201,AC$1-$J$1+2)</f>
        <v>1321.6110000000001</v>
      </c>
      <c r="AD187" s="11">
        <f>VLOOKUP($H187,output!$A$10:$AH$2201,AD$1-$J$1+2)</f>
        <v>1228.8340000000001</v>
      </c>
      <c r="AE187" s="11">
        <f>VLOOKUP($H187,output!$A$10:$AH$2201,AE$1-$J$1+2)</f>
        <v>1553.932</v>
      </c>
      <c r="AF187" s="11">
        <f>VLOOKUP($H187,output!$A$10:$AH$2201,AF$1-$J$1+2)</f>
        <v>1298.125</v>
      </c>
      <c r="AG187" s="11">
        <f>VLOOKUP($H187,output!$A$10:$AH$2201,AG$1-$J$1+2)</f>
        <v>1530.6310000000001</v>
      </c>
      <c r="AH187" s="11">
        <f>VLOOKUP($H187,output!$A$10:$AH$2201,AH$1-$J$1+2)</f>
        <v>1429.788</v>
      </c>
      <c r="AI187" s="11">
        <f>VLOOKUP($H187,output!$A$10:$AH$2201,AI$1-$J$1+2)</f>
        <v>1539.2349999999999</v>
      </c>
      <c r="AJ187" s="11">
        <f>VLOOKUP($H187,output!$A$10:$AH$2201,AJ$1-$J$1+2)</f>
        <v>1667.008</v>
      </c>
      <c r="AK187" s="11">
        <f>VLOOKUP($H187,output!$A$10:$AH$2201,AK$1-$J$1+2)</f>
        <v>1779.0809999999999</v>
      </c>
      <c r="AL187" s="11">
        <f>VLOOKUP($H187,output!$A$10:$AH$2201,AL$1-$J$1+2)</f>
        <v>0</v>
      </c>
      <c r="AM187" s="11">
        <f>VLOOKUP($H187,output!$A$10:$AH$2201,AM$1-$J$1+2)</f>
        <v>0</v>
      </c>
      <c r="AN187" s="11">
        <f>VLOOKUP($H187,output!$A$10:$AH$2201,AN$1-$J$1+2)</f>
        <v>0</v>
      </c>
      <c r="AO187" s="11">
        <f>VLOOKUP($H187,output!$A$10:$AH$2201,AO$1-$J$1+2)</f>
        <v>0</v>
      </c>
      <c r="AP187" s="11">
        <f>VLOOKUP($H187,output!$A$10:$AH$2201,AP$1-$J$1+2)</f>
        <v>0</v>
      </c>
    </row>
    <row r="188" spans="8:44" x14ac:dyDescent="0.25">
      <c r="H188" t="s">
        <v>33</v>
      </c>
      <c r="J188" s="11">
        <f>VLOOKUP($H188,output!$A$10:$AH$2201,J$1-$J$1+2)</f>
        <v>0</v>
      </c>
      <c r="K188" s="11">
        <f>VLOOKUP($H188,output!$A$10:$AH$2201,K$1-$J$1+2)</f>
        <v>194.01900000000001</v>
      </c>
      <c r="L188" s="11">
        <f>VLOOKUP($H188,output!$A$10:$AH$2201,L$1-$J$1+2)</f>
        <v>70.945999999999998</v>
      </c>
      <c r="M188" s="11">
        <f>VLOOKUP($H188,output!$A$10:$AH$2201,M$1-$J$1+2)</f>
        <v>266.69400000000002</v>
      </c>
      <c r="N188" s="11">
        <f>VLOOKUP($H188,output!$A$10:$AH$2201,N$1-$J$1+2)</f>
        <v>196.60400000000001</v>
      </c>
      <c r="O188" s="11">
        <f>VLOOKUP($H188,output!$A$10:$AH$2201,O$1-$J$1+2)</f>
        <v>346.495</v>
      </c>
      <c r="P188" s="11">
        <f>VLOOKUP($H188,output!$A$10:$AH$2201,P$1-$J$1+2)</f>
        <v>516.37</v>
      </c>
      <c r="Q188" s="11">
        <f>VLOOKUP($H188,output!$A$10:$AH$2201,Q$1-$J$1+2)</f>
        <v>673.29899999999998</v>
      </c>
      <c r="R188" s="11">
        <f>VLOOKUP($H188,output!$A$10:$AH$2201,R$1-$J$1+2)</f>
        <v>423.09399999999999</v>
      </c>
      <c r="S188" s="11">
        <f>VLOOKUP($H188,output!$A$10:$AH$2201,S$1-$J$1+2)</f>
        <v>597.82100000000003</v>
      </c>
      <c r="T188" s="11">
        <f>VLOOKUP($H188,output!$A$10:$AH$2201,T$1-$J$1+2)</f>
        <v>532.50300000000004</v>
      </c>
      <c r="U188" s="11">
        <f>VLOOKUP($H188,output!$A$10:$AH$2201,U$1-$J$1+2)</f>
        <v>452.11500000000001</v>
      </c>
      <c r="V188" s="11">
        <f>VLOOKUP($H188,output!$A$10:$AH$2201,V$1-$J$1+2)</f>
        <v>381.79</v>
      </c>
      <c r="W188" s="11">
        <f>VLOOKUP($H188,output!$A$10:$AH$2201,W$1-$J$1+2)</f>
        <v>321.40899999999999</v>
      </c>
      <c r="X188" s="11">
        <f>VLOOKUP($H188,output!$A$10:$AH$2201,X$1-$J$1+2)</f>
        <v>221.06299999999999</v>
      </c>
      <c r="Y188" s="11">
        <f>VLOOKUP($H188,output!$A$10:$AH$2201,Y$1-$J$1+2)</f>
        <v>170.749</v>
      </c>
      <c r="Z188" s="11">
        <f>VLOOKUP($H188,output!$A$10:$AH$2201,Z$1-$J$1+2)</f>
        <v>120.506</v>
      </c>
      <c r="AA188" s="11">
        <f>VLOOKUP($H188,output!$A$10:$AH$2201,AA$1-$J$1+2)</f>
        <v>67.393000000000001</v>
      </c>
      <c r="AB188" s="11">
        <f>VLOOKUP($H188,output!$A$10:$AH$2201,AB$1-$J$1+2)</f>
        <v>98.825999999999993</v>
      </c>
      <c r="AC188" s="11">
        <f>VLOOKUP($H188,output!$A$10:$AH$2201,AC$1-$J$1+2)</f>
        <v>98.748000000000005</v>
      </c>
      <c r="AD188" s="11">
        <f>VLOOKUP($H188,output!$A$10:$AH$2201,AD$1-$J$1+2)</f>
        <v>98.75</v>
      </c>
      <c r="AE188" s="11">
        <f>VLOOKUP($H188,output!$A$10:$AH$2201,AE$1-$J$1+2)</f>
        <v>215.20500000000001</v>
      </c>
      <c r="AF188" s="11">
        <f>VLOOKUP($H188,output!$A$10:$AH$2201,AF$1-$J$1+2)</f>
        <v>98.850999999999999</v>
      </c>
      <c r="AG188" s="11">
        <f>VLOOKUP($H188,output!$A$10:$AH$2201,AG$1-$J$1+2)</f>
        <v>285.11399999999998</v>
      </c>
      <c r="AH188" s="11">
        <f>VLOOKUP($H188,output!$A$10:$AH$2201,AH$1-$J$1+2)</f>
        <v>218.958</v>
      </c>
      <c r="AI188" s="11">
        <f>VLOOKUP($H188,output!$A$10:$AH$2201,AI$1-$J$1+2)</f>
        <v>362.53699999999998</v>
      </c>
      <c r="AJ188" s="11">
        <f>VLOOKUP($H188,output!$A$10:$AH$2201,AJ$1-$J$1+2)</f>
        <v>525.41300000000001</v>
      </c>
      <c r="AK188" s="11">
        <f>VLOOKUP($H188,output!$A$10:$AH$2201,AK$1-$J$1+2)</f>
        <v>673.58699999999999</v>
      </c>
      <c r="AL188" s="11">
        <f>VLOOKUP($H188,output!$A$10:$AH$2201,AL$1-$J$1+2)</f>
        <v>0</v>
      </c>
      <c r="AM188" s="11">
        <f>VLOOKUP($H188,output!$A$10:$AH$2201,AM$1-$J$1+2)</f>
        <v>0</v>
      </c>
      <c r="AN188" s="11">
        <f>VLOOKUP($H188,output!$A$10:$AH$2201,AN$1-$J$1+2)</f>
        <v>0</v>
      </c>
      <c r="AO188" s="11">
        <f>VLOOKUP($H188,output!$A$10:$AH$2201,AO$1-$J$1+2)</f>
        <v>0</v>
      </c>
      <c r="AP188" s="11">
        <f>VLOOKUP($H188,output!$A$10:$AH$2201,AP$1-$J$1+2)</f>
        <v>0</v>
      </c>
    </row>
    <row r="189" spans="8:44" x14ac:dyDescent="0.25">
      <c r="H189" t="s">
        <v>76</v>
      </c>
      <c r="J189" s="11">
        <f>VLOOKUP($H189,output!$A$10:$AH$2201,J$1-$J$1+2)</f>
        <v>0</v>
      </c>
      <c r="K189" s="11">
        <f>VLOOKUP($H189,output!$A$10:$AH$2201,K$1-$J$1+2)</f>
        <v>110.392</v>
      </c>
      <c r="L189" s="11">
        <f>VLOOKUP($H189,output!$A$10:$AH$2201,L$1-$J$1+2)</f>
        <v>159.881</v>
      </c>
      <c r="M189" s="11">
        <f>VLOOKUP($H189,output!$A$10:$AH$2201,M$1-$J$1+2)</f>
        <v>124.72799999999999</v>
      </c>
      <c r="N189" s="11">
        <f>VLOOKUP($H189,output!$A$10:$AH$2201,N$1-$J$1+2)</f>
        <v>143.49700000000001</v>
      </c>
      <c r="O189" s="11">
        <f>VLOOKUP($H189,output!$A$10:$AH$2201,O$1-$J$1+2)</f>
        <v>113.697</v>
      </c>
      <c r="P189" s="11">
        <f>VLOOKUP($H189,output!$A$10:$AH$2201,P$1-$J$1+2)</f>
        <v>77.733999999999995</v>
      </c>
      <c r="Q189" s="11">
        <f>VLOOKUP($H189,output!$A$10:$AH$2201,Q$1-$J$1+2)</f>
        <v>41.869</v>
      </c>
      <c r="R189" s="11">
        <f>VLOOKUP($H189,output!$A$10:$AH$2201,R$1-$J$1+2)</f>
        <v>93.79</v>
      </c>
      <c r="S189" s="11">
        <f>VLOOKUP($H189,output!$A$10:$AH$2201,S$1-$J$1+2)</f>
        <v>53.268999999999998</v>
      </c>
      <c r="T189" s="11">
        <f>VLOOKUP($H189,output!$A$10:$AH$2201,T$1-$J$1+2)</f>
        <v>65.373999999999995</v>
      </c>
      <c r="U189" s="11">
        <f>VLOOKUP($H189,output!$A$10:$AH$2201,U$1-$J$1+2)</f>
        <v>81.974999999999994</v>
      </c>
      <c r="V189" s="11">
        <f>VLOOKUP($H189,output!$A$10:$AH$2201,V$1-$J$1+2)</f>
        <v>97.62</v>
      </c>
      <c r="W189" s="11">
        <f>VLOOKUP($H189,output!$A$10:$AH$2201,W$1-$J$1+2)</f>
        <v>99.543999999999997</v>
      </c>
      <c r="X189" s="11">
        <f>VLOOKUP($H189,output!$A$10:$AH$2201,X$1-$J$1+2)</f>
        <v>124.117</v>
      </c>
      <c r="Y189" s="11">
        <f>VLOOKUP($H189,output!$A$10:$AH$2201,Y$1-$J$1+2)</f>
        <v>136.49799999999999</v>
      </c>
      <c r="Z189" s="11">
        <f>VLOOKUP($H189,output!$A$10:$AH$2201,Z$1-$J$1+2)</f>
        <v>134.65199999999999</v>
      </c>
      <c r="AA189" s="11">
        <f>VLOOKUP($H189,output!$A$10:$AH$2201,AA$1-$J$1+2)</f>
        <v>161.363</v>
      </c>
      <c r="AB189" s="11">
        <f>VLOOKUP($H189,output!$A$10:$AH$2201,AB$1-$J$1+2)</f>
        <v>141.68799999999999</v>
      </c>
      <c r="AC189" s="11">
        <f>VLOOKUP($H189,output!$A$10:$AH$2201,AC$1-$J$1+2)</f>
        <v>141.596</v>
      </c>
      <c r="AD189" s="11">
        <f>VLOOKUP($H189,output!$A$10:$AH$2201,AD$1-$J$1+2)</f>
        <v>134.05699999999999</v>
      </c>
      <c r="AE189" s="11">
        <f>VLOOKUP($H189,output!$A$10:$AH$2201,AE$1-$J$1+2)</f>
        <v>177.11600000000001</v>
      </c>
      <c r="AF189" s="11">
        <f>VLOOKUP($H189,output!$A$10:$AH$2201,AF$1-$J$1+2)</f>
        <v>181.22</v>
      </c>
      <c r="AG189" s="11">
        <f>VLOOKUP($H189,output!$A$10:$AH$2201,AG$1-$J$1+2)</f>
        <v>178.71299999999999</v>
      </c>
      <c r="AH189" s="11">
        <f>VLOOKUP($H189,output!$A$10:$AH$2201,AH$1-$J$1+2)</f>
        <v>184.5</v>
      </c>
      <c r="AI189" s="11">
        <f>VLOOKUP($H189,output!$A$10:$AH$2201,AI$1-$J$1+2)</f>
        <v>176.51</v>
      </c>
      <c r="AJ189" s="11">
        <f>VLOOKUP($H189,output!$A$10:$AH$2201,AJ$1-$J$1+2)</f>
        <v>167.417</v>
      </c>
      <c r="AK189" s="11">
        <f>VLOOKUP($H189,output!$A$10:$AH$2201,AK$1-$J$1+2)</f>
        <v>158.708</v>
      </c>
      <c r="AL189" s="11">
        <f>VLOOKUP($H189,output!$A$10:$AH$2201,AL$1-$J$1+2)</f>
        <v>0</v>
      </c>
      <c r="AM189" s="11">
        <f>VLOOKUP($H189,output!$A$10:$AH$2201,AM$1-$J$1+2)</f>
        <v>0</v>
      </c>
      <c r="AN189" s="11">
        <f>VLOOKUP($H189,output!$A$10:$AH$2201,AN$1-$J$1+2)</f>
        <v>0</v>
      </c>
      <c r="AO189" s="11">
        <f>VLOOKUP($H189,output!$A$10:$AH$2201,AO$1-$J$1+2)</f>
        <v>0</v>
      </c>
      <c r="AP189" s="11">
        <f>VLOOKUP($H189,output!$A$10:$AH$2201,AP$1-$J$1+2)</f>
        <v>0</v>
      </c>
    </row>
    <row r="190" spans="8:44" x14ac:dyDescent="0.25">
      <c r="H190" t="s">
        <v>77</v>
      </c>
      <c r="J190" s="11">
        <f>VLOOKUP($H190,output!$A$10:$AH$2201,J$1-$J$1+2)</f>
        <v>0</v>
      </c>
      <c r="K190" s="11">
        <f>VLOOKUP($H190,output!$A$10:$AH$2201,K$1-$J$1+2)</f>
        <v>116.09099999999999</v>
      </c>
      <c r="L190" s="11">
        <f>VLOOKUP($H190,output!$A$10:$AH$2201,L$1-$J$1+2)</f>
        <v>67.165999999999997</v>
      </c>
      <c r="M190" s="11">
        <f>VLOOKUP($H190,output!$A$10:$AH$2201,M$1-$J$1+2)</f>
        <v>55.085000000000001</v>
      </c>
      <c r="N190" s="11">
        <f>VLOOKUP($H190,output!$A$10:$AH$2201,N$1-$J$1+2)</f>
        <v>62.701000000000001</v>
      </c>
      <c r="O190" s="11">
        <f>VLOOKUP($H190,output!$A$10:$AH$2201,O$1-$J$1+2)</f>
        <v>52.173999999999999</v>
      </c>
      <c r="P190" s="11">
        <f>VLOOKUP($H190,output!$A$10:$AH$2201,P$1-$J$1+2)</f>
        <v>38.941000000000003</v>
      </c>
      <c r="Q190" s="11">
        <f>VLOOKUP($H190,output!$A$10:$AH$2201,Q$1-$J$1+2)</f>
        <v>25.311</v>
      </c>
      <c r="R190" s="11">
        <f>VLOOKUP($H190,output!$A$10:$AH$2201,R$1-$J$1+2)</f>
        <v>45.695999999999998</v>
      </c>
      <c r="S190" s="11">
        <f>VLOOKUP($H190,output!$A$10:$AH$2201,S$1-$J$1+2)</f>
        <v>29.939</v>
      </c>
      <c r="T190" s="11">
        <f>VLOOKUP($H190,output!$A$10:$AH$2201,T$1-$J$1+2)</f>
        <v>34.878</v>
      </c>
      <c r="U190" s="11">
        <f>VLOOKUP($H190,output!$A$10:$AH$2201,U$1-$J$1+2)</f>
        <v>41.793999999999997</v>
      </c>
      <c r="V190" s="11">
        <f>VLOOKUP($H190,output!$A$10:$AH$2201,V$1-$J$1+2)</f>
        <v>48.518000000000001</v>
      </c>
      <c r="W190" s="11">
        <f>VLOOKUP($H190,output!$A$10:$AH$2201,W$1-$J$1+2)</f>
        <v>49.156999999999996</v>
      </c>
      <c r="X190" s="11">
        <f>VLOOKUP($H190,output!$A$10:$AH$2201,X$1-$J$1+2)</f>
        <v>59.235999999999997</v>
      </c>
      <c r="Y190" s="11">
        <f>VLOOKUP($H190,output!$A$10:$AH$2201,Y$1-$J$1+2)</f>
        <v>64.331000000000003</v>
      </c>
      <c r="Z190" s="11">
        <f>VLOOKUP($H190,output!$A$10:$AH$2201,Z$1-$J$1+2)</f>
        <v>63.573999999999998</v>
      </c>
      <c r="AA190" s="11">
        <f>VLOOKUP($H190,output!$A$10:$AH$2201,AA$1-$J$1+2)</f>
        <v>74.635000000000005</v>
      </c>
      <c r="AB190" s="11">
        <f>VLOOKUP($H190,output!$A$10:$AH$2201,AB$1-$J$1+2)</f>
        <v>66.566000000000003</v>
      </c>
      <c r="AC190" s="11">
        <f>VLOOKUP($H190,output!$A$10:$AH$2201,AC$1-$J$1+2)</f>
        <v>66.570999999999998</v>
      </c>
      <c r="AD190" s="11">
        <f>VLOOKUP($H190,output!$A$10:$AH$2201,AD$1-$J$1+2)</f>
        <v>63.502000000000002</v>
      </c>
      <c r="AE190" s="11">
        <f>VLOOKUP($H190,output!$A$10:$AH$2201,AE$1-$J$1+2)</f>
        <v>89.778000000000006</v>
      </c>
      <c r="AF190" s="11">
        <f>VLOOKUP($H190,output!$A$10:$AH$2201,AF$1-$J$1+2)</f>
        <v>65.826999999999998</v>
      </c>
      <c r="AG190" s="11">
        <f>VLOOKUP($H190,output!$A$10:$AH$2201,AG$1-$J$1+2)</f>
        <v>65.798000000000002</v>
      </c>
      <c r="AH190" s="11">
        <f>VLOOKUP($H190,output!$A$10:$AH$2201,AH$1-$J$1+2)</f>
        <v>67.206999999999994</v>
      </c>
      <c r="AI190" s="11">
        <f>VLOOKUP($H190,output!$A$10:$AH$2201,AI$1-$J$1+2)</f>
        <v>64.772000000000006</v>
      </c>
      <c r="AJ190" s="11">
        <f>VLOOKUP($H190,output!$A$10:$AH$2201,AJ$1-$J$1+2)</f>
        <v>62.021000000000001</v>
      </c>
      <c r="AK190" s="11">
        <f>VLOOKUP($H190,output!$A$10:$AH$2201,AK$1-$J$1+2)</f>
        <v>59.398000000000003</v>
      </c>
      <c r="AL190" s="11">
        <f>VLOOKUP($H190,output!$A$10:$AH$2201,AL$1-$J$1+2)</f>
        <v>0</v>
      </c>
      <c r="AM190" s="11">
        <f>VLOOKUP($H190,output!$A$10:$AH$2201,AM$1-$J$1+2)</f>
        <v>0</v>
      </c>
      <c r="AN190" s="11">
        <f>VLOOKUP($H190,output!$A$10:$AH$2201,AN$1-$J$1+2)</f>
        <v>0</v>
      </c>
      <c r="AO190" s="11">
        <f>VLOOKUP($H190,output!$A$10:$AH$2201,AO$1-$J$1+2)</f>
        <v>0</v>
      </c>
      <c r="AP190" s="11">
        <f>VLOOKUP($H190,output!$A$10:$AH$2201,AP$1-$J$1+2)</f>
        <v>0</v>
      </c>
    </row>
    <row r="191" spans="8:44" x14ac:dyDescent="0.25">
      <c r="H191" t="s">
        <v>78</v>
      </c>
      <c r="J191" s="11">
        <f>VLOOKUP($H191,output!$A$10:$AH$2201,J$1-$J$1+2)</f>
        <v>0</v>
      </c>
      <c r="K191" s="11">
        <f>VLOOKUP($H191,output!$A$10:$AH$2201,K$1-$J$1+2)</f>
        <v>58.633000000000003</v>
      </c>
      <c r="L191" s="11">
        <f>VLOOKUP($H191,output!$A$10:$AH$2201,L$1-$J$1+2)</f>
        <v>87.873000000000005</v>
      </c>
      <c r="M191" s="11">
        <f>VLOOKUP($H191,output!$A$10:$AH$2201,M$1-$J$1+2)</f>
        <v>63.09</v>
      </c>
      <c r="N191" s="11">
        <f>VLOOKUP($H191,output!$A$10:$AH$2201,N$1-$J$1+2)</f>
        <v>72.301000000000002</v>
      </c>
      <c r="O191" s="11">
        <f>VLOOKUP($H191,output!$A$10:$AH$2201,O$1-$J$1+2)</f>
        <v>53.05</v>
      </c>
      <c r="P191" s="11">
        <f>VLOOKUP($H191,output!$A$10:$AH$2201,P$1-$J$1+2)</f>
        <v>30.786999999999999</v>
      </c>
      <c r="Q191" s="11">
        <f>VLOOKUP($H191,output!$A$10:$AH$2201,Q$1-$J$1+2)</f>
        <v>9.6270000000000007</v>
      </c>
      <c r="R191" s="11">
        <f>VLOOKUP($H191,output!$A$10:$AH$2201,R$1-$J$1+2)</f>
        <v>39.802</v>
      </c>
      <c r="S191" s="11">
        <f>VLOOKUP($H191,output!$A$10:$AH$2201,S$1-$J$1+2)</f>
        <v>16.739000000000001</v>
      </c>
      <c r="T191" s="11">
        <f>VLOOKUP($H191,output!$A$10:$AH$2201,T$1-$J$1+2)</f>
        <v>23.760999999999999</v>
      </c>
      <c r="U191" s="11">
        <f>VLOOKUP($H191,output!$A$10:$AH$2201,U$1-$J$1+2)</f>
        <v>32.918999999999997</v>
      </c>
      <c r="V191" s="11">
        <f>VLOOKUP($H191,output!$A$10:$AH$2201,V$1-$J$1+2)</f>
        <v>41.201000000000001</v>
      </c>
      <c r="W191" s="11">
        <f>VLOOKUP($H191,output!$A$10:$AH$2201,W$1-$J$1+2)</f>
        <v>44.493000000000002</v>
      </c>
      <c r="X191" s="11">
        <f>VLOOKUP($H191,output!$A$10:$AH$2201,X$1-$J$1+2)</f>
        <v>58.253999999999998</v>
      </c>
      <c r="Y191" s="11">
        <f>VLOOKUP($H191,output!$A$10:$AH$2201,Y$1-$J$1+2)</f>
        <v>66.488</v>
      </c>
      <c r="Z191" s="11">
        <f>VLOOKUP($H191,output!$A$10:$AH$2201,Z$1-$J$1+2)</f>
        <v>71.272000000000006</v>
      </c>
      <c r="AA191" s="11">
        <f>VLOOKUP($H191,output!$A$10:$AH$2201,AA$1-$J$1+2)</f>
        <v>84.085999999999999</v>
      </c>
      <c r="AB191" s="11">
        <f>VLOOKUP($H191,output!$A$10:$AH$2201,AB$1-$J$1+2)</f>
        <v>78.835999999999999</v>
      </c>
      <c r="AC191" s="11">
        <f>VLOOKUP($H191,output!$A$10:$AH$2201,AC$1-$J$1+2)</f>
        <v>80.253</v>
      </c>
      <c r="AD191" s="11">
        <f>VLOOKUP($H191,output!$A$10:$AH$2201,AD$1-$J$1+2)</f>
        <v>79.438000000000002</v>
      </c>
      <c r="AE191" s="11">
        <f>VLOOKUP($H191,output!$A$10:$AH$2201,AE$1-$J$1+2)</f>
        <v>24.137</v>
      </c>
      <c r="AF191" s="11">
        <f>VLOOKUP($H191,output!$A$10:$AH$2201,AF$1-$J$1+2)</f>
        <v>30.893999999999998</v>
      </c>
      <c r="AG191" s="11">
        <f>VLOOKUP($H191,output!$A$10:$AH$2201,AG$1-$J$1+2)</f>
        <v>29.869</v>
      </c>
      <c r="AH191" s="11">
        <f>VLOOKUP($H191,output!$A$10:$AH$2201,AH$1-$J$1+2)</f>
        <v>28.971</v>
      </c>
      <c r="AI191" s="11">
        <f>VLOOKUP($H191,output!$A$10:$AH$2201,AI$1-$J$1+2)</f>
        <v>26.484999999999999</v>
      </c>
      <c r="AJ191" s="11">
        <f>VLOOKUP($H191,output!$A$10:$AH$2201,AJ$1-$J$1+2)</f>
        <v>23.742000000000001</v>
      </c>
      <c r="AK191" s="11">
        <f>VLOOKUP($H191,output!$A$10:$AH$2201,AK$1-$J$1+2)</f>
        <v>21.216999999999999</v>
      </c>
      <c r="AL191" s="11">
        <f>VLOOKUP($H191,output!$A$10:$AH$2201,AL$1-$J$1+2)</f>
        <v>0</v>
      </c>
      <c r="AM191" s="11">
        <f>VLOOKUP($H191,output!$A$10:$AH$2201,AM$1-$J$1+2)</f>
        <v>0</v>
      </c>
      <c r="AN191" s="11">
        <f>VLOOKUP($H191,output!$A$10:$AH$2201,AN$1-$J$1+2)</f>
        <v>0</v>
      </c>
      <c r="AO191" s="11">
        <f>VLOOKUP($H191,output!$A$10:$AH$2201,AO$1-$J$1+2)</f>
        <v>0</v>
      </c>
      <c r="AP191" s="11">
        <f>VLOOKUP($H191,output!$A$10:$AH$2201,AP$1-$J$1+2)</f>
        <v>0</v>
      </c>
    </row>
    <row r="192" spans="8:44" x14ac:dyDescent="0.25">
      <c r="H192" t="s">
        <v>79</v>
      </c>
      <c r="J192" s="11">
        <f>VLOOKUP($H192,output!$A$10:$AH$2201,J$1-$J$1+2)</f>
        <v>0</v>
      </c>
      <c r="K192" s="11">
        <f>VLOOKUP($H192,output!$A$10:$AH$2201,K$1-$J$1+2)</f>
        <v>180.739</v>
      </c>
      <c r="L192" s="11">
        <f>VLOOKUP($H192,output!$A$10:$AH$2201,L$1-$J$1+2)</f>
        <v>58.73</v>
      </c>
      <c r="M192" s="11">
        <f>VLOOKUP($H192,output!$A$10:$AH$2201,M$1-$J$1+2)</f>
        <v>254.48599999999999</v>
      </c>
      <c r="N192" s="11">
        <f>VLOOKUP($H192,output!$A$10:$AH$2201,N$1-$J$1+2)</f>
        <v>185.779</v>
      </c>
      <c r="O192" s="11">
        <f>VLOOKUP($H192,output!$A$10:$AH$2201,O$1-$J$1+2)</f>
        <v>336.411</v>
      </c>
      <c r="P192" s="11">
        <f>VLOOKUP($H192,output!$A$10:$AH$2201,P$1-$J$1+2)</f>
        <v>507.596</v>
      </c>
      <c r="Q192" s="11">
        <f>VLOOKUP($H192,output!$A$10:$AH$2201,Q$1-$J$1+2)</f>
        <v>666.05200000000002</v>
      </c>
      <c r="R192" s="11">
        <f>VLOOKUP($H192,output!$A$10:$AH$2201,R$1-$J$1+2)</f>
        <v>417.23200000000003</v>
      </c>
      <c r="S192" s="11">
        <f>VLOOKUP($H192,output!$A$10:$AH$2201,S$1-$J$1+2)</f>
        <v>592.56100000000004</v>
      </c>
      <c r="T192" s="11">
        <f>VLOOKUP($H192,output!$A$10:$AH$2201,T$1-$J$1+2)</f>
        <v>527.94399999999996</v>
      </c>
      <c r="U192" s="11">
        <f>VLOOKUP($H192,output!$A$10:$AH$2201,U$1-$J$1+2)</f>
        <v>448.04199999999997</v>
      </c>
      <c r="V192" s="11">
        <f>VLOOKUP($H192,output!$A$10:$AH$2201,V$1-$J$1+2)</f>
        <v>378.05</v>
      </c>
      <c r="W192" s="11">
        <f>VLOOKUP($H192,output!$A$10:$AH$2201,W$1-$J$1+2)</f>
        <v>317.90899999999999</v>
      </c>
      <c r="X192" s="11">
        <f>VLOOKUP($H192,output!$A$10:$AH$2201,X$1-$J$1+2)</f>
        <v>217.738</v>
      </c>
      <c r="Y192" s="11">
        <f>VLOOKUP($H192,output!$A$10:$AH$2201,Y$1-$J$1+2)</f>
        <v>167.52500000000001</v>
      </c>
      <c r="Z192" s="11">
        <f>VLOOKUP($H192,output!$A$10:$AH$2201,Z$1-$J$1+2)</f>
        <v>117.349</v>
      </c>
      <c r="AA192" s="11">
        <f>VLOOKUP($H192,output!$A$10:$AH$2201,AA$1-$J$1+2)</f>
        <v>64.266999999999996</v>
      </c>
      <c r="AB192" s="11">
        <f>VLOOKUP($H192,output!$A$10:$AH$2201,AB$1-$J$1+2)</f>
        <v>95.700999999999993</v>
      </c>
      <c r="AC192" s="11">
        <f>VLOOKUP($H192,output!$A$10:$AH$2201,AC$1-$J$1+2)</f>
        <v>95.635999999999996</v>
      </c>
      <c r="AD192" s="11">
        <f>VLOOKUP($H192,output!$A$10:$AH$2201,AD$1-$J$1+2)</f>
        <v>95.647000000000006</v>
      </c>
      <c r="AE192" s="11">
        <f>VLOOKUP($H192,output!$A$10:$AH$2201,AE$1-$J$1+2)</f>
        <v>206.744</v>
      </c>
      <c r="AF192" s="11">
        <f>VLOOKUP($H192,output!$A$10:$AH$2201,AF$1-$J$1+2)</f>
        <v>95.76</v>
      </c>
      <c r="AG192" s="11">
        <f>VLOOKUP($H192,output!$A$10:$AH$2201,AG$1-$J$1+2)</f>
        <v>273.49599999999998</v>
      </c>
      <c r="AH192" s="11">
        <f>VLOOKUP($H192,output!$A$10:$AH$2201,AH$1-$J$1+2)</f>
        <v>210.39500000000001</v>
      </c>
      <c r="AI192" s="11">
        <f>VLOOKUP($H192,output!$A$10:$AH$2201,AI$1-$J$1+2)</f>
        <v>347.45100000000002</v>
      </c>
      <c r="AJ192" s="11">
        <f>VLOOKUP($H192,output!$A$10:$AH$2201,AJ$1-$J$1+2)</f>
        <v>502.959</v>
      </c>
      <c r="AK192" s="11">
        <f>VLOOKUP($H192,output!$A$10:$AH$2201,AK$1-$J$1+2)</f>
        <v>644.38400000000001</v>
      </c>
      <c r="AL192" s="11">
        <f>VLOOKUP($H192,output!$A$10:$AH$2201,AL$1-$J$1+2)</f>
        <v>0</v>
      </c>
      <c r="AM192" s="11">
        <f>VLOOKUP($H192,output!$A$10:$AH$2201,AM$1-$J$1+2)</f>
        <v>0</v>
      </c>
      <c r="AN192" s="11">
        <f>VLOOKUP($H192,output!$A$10:$AH$2201,AN$1-$J$1+2)</f>
        <v>0</v>
      </c>
      <c r="AO192" s="11">
        <f>VLOOKUP($H192,output!$A$10:$AH$2201,AO$1-$J$1+2)</f>
        <v>0</v>
      </c>
      <c r="AP192" s="11">
        <f>VLOOKUP($H192,output!$A$10:$AH$2201,AP$1-$J$1+2)</f>
        <v>0</v>
      </c>
    </row>
    <row r="193" spans="8:42" x14ac:dyDescent="0.25">
      <c r="H193" t="s">
        <v>80</v>
      </c>
      <c r="J193" s="11">
        <f>VLOOKUP($H193,output!$A$10:$AH$2201,J$1-$J$1+2)</f>
        <v>0</v>
      </c>
      <c r="K193" s="11">
        <f>VLOOKUP($H193,output!$A$10:$AH$2201,K$1-$J$1+2)</f>
        <v>180.739</v>
      </c>
      <c r="L193" s="11">
        <f>VLOOKUP($H193,output!$A$10:$AH$2201,L$1-$J$1+2)</f>
        <v>58.73</v>
      </c>
      <c r="M193" s="11">
        <f>VLOOKUP($H193,output!$A$10:$AH$2201,M$1-$J$1+2)</f>
        <v>254.48599999999999</v>
      </c>
      <c r="N193" s="11">
        <f>VLOOKUP($H193,output!$A$10:$AH$2201,N$1-$J$1+2)</f>
        <v>185.779</v>
      </c>
      <c r="O193" s="11">
        <f>VLOOKUP($H193,output!$A$10:$AH$2201,O$1-$J$1+2)</f>
        <v>336.411</v>
      </c>
      <c r="P193" s="11">
        <f>VLOOKUP($H193,output!$A$10:$AH$2201,P$1-$J$1+2)</f>
        <v>507.596</v>
      </c>
      <c r="Q193" s="11">
        <f>VLOOKUP($H193,output!$A$10:$AH$2201,Q$1-$J$1+2)</f>
        <v>666.05200000000002</v>
      </c>
      <c r="R193" s="11">
        <f>VLOOKUP($H193,output!$A$10:$AH$2201,R$1-$J$1+2)</f>
        <v>417.23200000000003</v>
      </c>
      <c r="S193" s="11">
        <f>VLOOKUP($H193,output!$A$10:$AH$2201,S$1-$J$1+2)</f>
        <v>592.56100000000004</v>
      </c>
      <c r="T193" s="11">
        <f>VLOOKUP($H193,output!$A$10:$AH$2201,T$1-$J$1+2)</f>
        <v>527.94399999999996</v>
      </c>
      <c r="U193" s="11">
        <f>VLOOKUP($H193,output!$A$10:$AH$2201,U$1-$J$1+2)</f>
        <v>448.04199999999997</v>
      </c>
      <c r="V193" s="11">
        <f>VLOOKUP($H193,output!$A$10:$AH$2201,V$1-$J$1+2)</f>
        <v>378.05</v>
      </c>
      <c r="W193" s="11">
        <f>VLOOKUP($H193,output!$A$10:$AH$2201,W$1-$J$1+2)</f>
        <v>317.90899999999999</v>
      </c>
      <c r="X193" s="11">
        <f>VLOOKUP($H193,output!$A$10:$AH$2201,X$1-$J$1+2)</f>
        <v>217.738</v>
      </c>
      <c r="Y193" s="11">
        <f>VLOOKUP($H193,output!$A$10:$AH$2201,Y$1-$J$1+2)</f>
        <v>167.52500000000001</v>
      </c>
      <c r="Z193" s="11">
        <f>VLOOKUP($H193,output!$A$10:$AH$2201,Z$1-$J$1+2)</f>
        <v>117.349</v>
      </c>
      <c r="AA193" s="11">
        <f>VLOOKUP($H193,output!$A$10:$AH$2201,AA$1-$J$1+2)</f>
        <v>64.266999999999996</v>
      </c>
      <c r="AB193" s="11">
        <f>VLOOKUP($H193,output!$A$10:$AH$2201,AB$1-$J$1+2)</f>
        <v>95.700999999999993</v>
      </c>
      <c r="AC193" s="11">
        <f>VLOOKUP($H193,output!$A$10:$AH$2201,AC$1-$J$1+2)</f>
        <v>95.635999999999996</v>
      </c>
      <c r="AD193" s="11">
        <f>VLOOKUP($H193,output!$A$10:$AH$2201,AD$1-$J$1+2)</f>
        <v>95.647000000000006</v>
      </c>
      <c r="AE193" s="11">
        <f>VLOOKUP($H193,output!$A$10:$AH$2201,AE$1-$J$1+2)</f>
        <v>206.744</v>
      </c>
      <c r="AF193" s="11">
        <f>VLOOKUP($H193,output!$A$10:$AH$2201,AF$1-$J$1+2)</f>
        <v>95.76</v>
      </c>
      <c r="AG193" s="11">
        <f>VLOOKUP($H193,output!$A$10:$AH$2201,AG$1-$J$1+2)</f>
        <v>273.49599999999998</v>
      </c>
      <c r="AH193" s="11">
        <f>VLOOKUP($H193,output!$A$10:$AH$2201,AH$1-$J$1+2)</f>
        <v>210.39500000000001</v>
      </c>
      <c r="AI193" s="11">
        <f>VLOOKUP($H193,output!$A$10:$AH$2201,AI$1-$J$1+2)</f>
        <v>347.45100000000002</v>
      </c>
      <c r="AJ193" s="11">
        <f>VLOOKUP($H193,output!$A$10:$AH$2201,AJ$1-$J$1+2)</f>
        <v>502.959</v>
      </c>
      <c r="AK193" s="11">
        <f>VLOOKUP($H193,output!$A$10:$AH$2201,AK$1-$J$1+2)</f>
        <v>644.38400000000001</v>
      </c>
      <c r="AL193" s="11">
        <f>VLOOKUP($H193,output!$A$10:$AH$2201,AL$1-$J$1+2)</f>
        <v>0</v>
      </c>
      <c r="AM193" s="11">
        <f>VLOOKUP($H193,output!$A$10:$AH$2201,AM$1-$J$1+2)</f>
        <v>0</v>
      </c>
      <c r="AN193" s="11">
        <f>VLOOKUP($H193,output!$A$10:$AH$2201,AN$1-$J$1+2)</f>
        <v>0</v>
      </c>
      <c r="AO193" s="11">
        <f>VLOOKUP($H193,output!$A$10:$AH$2201,AO$1-$J$1+2)</f>
        <v>0</v>
      </c>
      <c r="AP193" s="11">
        <f>VLOOKUP($H193,output!$A$10:$AH$2201,AP$1-$J$1+2)</f>
        <v>0</v>
      </c>
    </row>
    <row r="194" spans="8:42" x14ac:dyDescent="0.25">
      <c r="H194" t="s">
        <v>81</v>
      </c>
      <c r="J194" s="11">
        <f>VLOOKUP($H194,output!$A$10:$AH$2201,J$1-$J$1+2)</f>
        <v>0</v>
      </c>
      <c r="K194" s="11">
        <f>VLOOKUP($H194,output!$A$10:$AH$2201,K$1-$J$1+2)</f>
        <v>347.70499999999998</v>
      </c>
      <c r="L194" s="11">
        <f>VLOOKUP($H194,output!$A$10:$AH$2201,L$1-$J$1+2)</f>
        <v>438.173</v>
      </c>
      <c r="M194" s="11">
        <f>VLOOKUP($H194,output!$A$10:$AH$2201,M$1-$J$1+2)</f>
        <v>312.76499999999999</v>
      </c>
      <c r="N194" s="11">
        <f>VLOOKUP($H194,output!$A$10:$AH$2201,N$1-$J$1+2)</f>
        <v>340.78399999999999</v>
      </c>
      <c r="O194" s="11">
        <f>VLOOKUP($H194,output!$A$10:$AH$2201,O$1-$J$1+2)</f>
        <v>246.84200000000001</v>
      </c>
      <c r="P194" s="11">
        <f>VLOOKUP($H194,output!$A$10:$AH$2201,P$1-$J$1+2)</f>
        <v>141.239</v>
      </c>
      <c r="Q194" s="11">
        <f>VLOOKUP($H194,output!$A$10:$AH$2201,Q$1-$J$1+2)</f>
        <v>43.548999999999999</v>
      </c>
      <c r="R194" s="11">
        <f>VLOOKUP($H194,output!$A$10:$AH$2201,R$1-$J$1+2)</f>
        <v>175.71199999999999</v>
      </c>
      <c r="S194" s="11">
        <f>VLOOKUP($H194,output!$A$10:$AH$2201,S$1-$J$1+2)</f>
        <v>72.408000000000001</v>
      </c>
      <c r="T194" s="11">
        <f>VLOOKUP($H194,output!$A$10:$AH$2201,T$1-$J$1+2)</f>
        <v>100.631</v>
      </c>
      <c r="U194" s="11">
        <f>VLOOKUP($H194,output!$A$10:$AH$2201,U$1-$J$1+2)</f>
        <v>137.048</v>
      </c>
      <c r="V194" s="11">
        <f>VLOOKUP($H194,output!$A$10:$AH$2201,V$1-$J$1+2)</f>
        <v>168.35900000000001</v>
      </c>
      <c r="W194" s="11">
        <f>VLOOKUP($H194,output!$A$10:$AH$2201,W$1-$J$1+2)</f>
        <v>168.376</v>
      </c>
      <c r="X194" s="11">
        <f>VLOOKUP($H194,output!$A$10:$AH$2201,X$1-$J$1+2)</f>
        <v>218.12</v>
      </c>
      <c r="Y194" s="11">
        <f>VLOOKUP($H194,output!$A$10:$AH$2201,Y$1-$J$1+2)</f>
        <v>244.405</v>
      </c>
      <c r="Z194" s="11">
        <f>VLOOKUP($H194,output!$A$10:$AH$2201,Z$1-$J$1+2)</f>
        <v>206.608</v>
      </c>
      <c r="AA194" s="11">
        <f>VLOOKUP($H194,output!$A$10:$AH$2201,AA$1-$J$1+2)</f>
        <v>294.50099999999998</v>
      </c>
      <c r="AB194" s="11">
        <f>VLOOKUP($H194,output!$A$10:$AH$2201,AB$1-$J$1+2)</f>
        <v>235.60300000000001</v>
      </c>
      <c r="AC194" s="11">
        <f>VLOOKUP($H194,output!$A$10:$AH$2201,AC$1-$J$1+2)</f>
        <v>236.94800000000001</v>
      </c>
      <c r="AD194" s="11">
        <f>VLOOKUP($H194,output!$A$10:$AH$2201,AD$1-$J$1+2)</f>
        <v>200.31200000000001</v>
      </c>
      <c r="AE194" s="11">
        <f>VLOOKUP($H194,output!$A$10:$AH$2201,AE$1-$J$1+2)</f>
        <v>151.26499999999999</v>
      </c>
      <c r="AF194" s="11">
        <f>VLOOKUP($H194,output!$A$10:$AH$2201,AF$1-$J$1+2)</f>
        <v>113.33499999999999</v>
      </c>
      <c r="AG194" s="11">
        <f>VLOOKUP($H194,output!$A$10:$AH$2201,AG$1-$J$1+2)</f>
        <v>163.22999999999999</v>
      </c>
      <c r="AH194" s="11">
        <f>VLOOKUP($H194,output!$A$10:$AH$2201,AH$1-$J$1+2)</f>
        <v>119.81399999999999</v>
      </c>
      <c r="AI194" s="11">
        <f>VLOOKUP($H194,output!$A$10:$AH$2201,AI$1-$J$1+2)</f>
        <v>129.11099999999999</v>
      </c>
      <c r="AJ194" s="11">
        <f>VLOOKUP($H194,output!$A$10:$AH$2201,AJ$1-$J$1+2)</f>
        <v>141.85599999999999</v>
      </c>
      <c r="AK194" s="11">
        <f>VLOOKUP($H194,output!$A$10:$AH$2201,AK$1-$J$1+2)</f>
        <v>153.40199999999999</v>
      </c>
      <c r="AL194" s="11">
        <f>VLOOKUP($H194,output!$A$10:$AH$2201,AL$1-$J$1+2)</f>
        <v>0</v>
      </c>
      <c r="AM194" s="11">
        <f>VLOOKUP($H194,output!$A$10:$AH$2201,AM$1-$J$1+2)</f>
        <v>0</v>
      </c>
      <c r="AN194" s="11">
        <f>VLOOKUP($H194,output!$A$10:$AH$2201,AN$1-$J$1+2)</f>
        <v>0</v>
      </c>
      <c r="AO194" s="11">
        <f>VLOOKUP($H194,output!$A$10:$AH$2201,AO$1-$J$1+2)</f>
        <v>0</v>
      </c>
      <c r="AP194" s="11">
        <f>VLOOKUP($H194,output!$A$10:$AH$2201,AP$1-$J$1+2)</f>
        <v>0</v>
      </c>
    </row>
    <row r="195" spans="8:42" x14ac:dyDescent="0.25">
      <c r="H195" t="s">
        <v>102</v>
      </c>
      <c r="J195" s="11">
        <f>VLOOKUP($H195,output!$A$10:$AH$2201,J$1-$J$1+2)</f>
        <v>0</v>
      </c>
      <c r="K195" s="11">
        <f>VLOOKUP($H195,output!$A$10:$AH$2201,K$1-$J$1+2)</f>
        <v>347.70499999999998</v>
      </c>
      <c r="L195" s="11">
        <f>VLOOKUP($H195,output!$A$10:$AH$2201,L$1-$J$1+2)</f>
        <v>438.173</v>
      </c>
      <c r="M195" s="11">
        <f>VLOOKUP($H195,output!$A$10:$AH$2201,M$1-$J$1+2)</f>
        <v>312.76499999999999</v>
      </c>
      <c r="N195" s="11">
        <f>VLOOKUP($H195,output!$A$10:$AH$2201,N$1-$J$1+2)</f>
        <v>340.78399999999999</v>
      </c>
      <c r="O195" s="11">
        <f>VLOOKUP($H195,output!$A$10:$AH$2201,O$1-$J$1+2)</f>
        <v>246.84200000000001</v>
      </c>
      <c r="P195" s="11">
        <f>VLOOKUP($H195,output!$A$10:$AH$2201,P$1-$J$1+2)</f>
        <v>141.239</v>
      </c>
      <c r="Q195" s="11">
        <f>VLOOKUP($H195,output!$A$10:$AH$2201,Q$1-$J$1+2)</f>
        <v>43.548999999999999</v>
      </c>
      <c r="R195" s="11">
        <f>VLOOKUP($H195,output!$A$10:$AH$2201,R$1-$J$1+2)</f>
        <v>175.71199999999999</v>
      </c>
      <c r="S195" s="11">
        <f>VLOOKUP($H195,output!$A$10:$AH$2201,S$1-$J$1+2)</f>
        <v>72.408000000000001</v>
      </c>
      <c r="T195" s="11">
        <f>VLOOKUP($H195,output!$A$10:$AH$2201,T$1-$J$1+2)</f>
        <v>100.631</v>
      </c>
      <c r="U195" s="11">
        <f>VLOOKUP($H195,output!$A$10:$AH$2201,U$1-$J$1+2)</f>
        <v>137.048</v>
      </c>
      <c r="V195" s="11">
        <f>VLOOKUP($H195,output!$A$10:$AH$2201,V$1-$J$1+2)</f>
        <v>168.35900000000001</v>
      </c>
      <c r="W195" s="11">
        <f>VLOOKUP($H195,output!$A$10:$AH$2201,W$1-$J$1+2)</f>
        <v>168.376</v>
      </c>
      <c r="X195" s="11">
        <f>VLOOKUP($H195,output!$A$10:$AH$2201,X$1-$J$1+2)</f>
        <v>218.12</v>
      </c>
      <c r="Y195" s="11">
        <f>VLOOKUP($H195,output!$A$10:$AH$2201,Y$1-$J$1+2)</f>
        <v>244.405</v>
      </c>
      <c r="Z195" s="11">
        <f>VLOOKUP($H195,output!$A$10:$AH$2201,Z$1-$J$1+2)</f>
        <v>206.608</v>
      </c>
      <c r="AA195" s="11">
        <f>VLOOKUP($H195,output!$A$10:$AH$2201,AA$1-$J$1+2)</f>
        <v>294.50099999999998</v>
      </c>
      <c r="AB195" s="11">
        <f>VLOOKUP($H195,output!$A$10:$AH$2201,AB$1-$J$1+2)</f>
        <v>235.60300000000001</v>
      </c>
      <c r="AC195" s="11">
        <f>VLOOKUP($H195,output!$A$10:$AH$2201,AC$1-$J$1+2)</f>
        <v>236.94800000000001</v>
      </c>
      <c r="AD195" s="11">
        <f>VLOOKUP($H195,output!$A$10:$AH$2201,AD$1-$J$1+2)</f>
        <v>200.31200000000001</v>
      </c>
      <c r="AE195" s="11">
        <f>VLOOKUP($H195,output!$A$10:$AH$2201,AE$1-$J$1+2)</f>
        <v>151.26499999999999</v>
      </c>
      <c r="AF195" s="11">
        <f>VLOOKUP($H195,output!$A$10:$AH$2201,AF$1-$J$1+2)</f>
        <v>113.33499999999999</v>
      </c>
      <c r="AG195" s="11">
        <f>VLOOKUP($H195,output!$A$10:$AH$2201,AG$1-$J$1+2)</f>
        <v>163.22999999999999</v>
      </c>
      <c r="AH195" s="11">
        <f>VLOOKUP($H195,output!$A$10:$AH$2201,AH$1-$J$1+2)</f>
        <v>119.81399999999999</v>
      </c>
      <c r="AI195" s="11">
        <f>VLOOKUP($H195,output!$A$10:$AH$2201,AI$1-$J$1+2)</f>
        <v>129.11099999999999</v>
      </c>
      <c r="AJ195" s="11">
        <f>VLOOKUP($H195,output!$A$10:$AH$2201,AJ$1-$J$1+2)</f>
        <v>141.85599999999999</v>
      </c>
      <c r="AK195" s="11">
        <f>VLOOKUP($H195,output!$A$10:$AH$2201,AK$1-$J$1+2)</f>
        <v>153.40199999999999</v>
      </c>
      <c r="AL195" s="11">
        <f>VLOOKUP($H195,output!$A$10:$AH$2201,AL$1-$J$1+2)</f>
        <v>0</v>
      </c>
      <c r="AM195" s="11">
        <f>VLOOKUP($H195,output!$A$10:$AH$2201,AM$1-$J$1+2)</f>
        <v>0</v>
      </c>
      <c r="AN195" s="11">
        <f>VLOOKUP($H195,output!$A$10:$AH$2201,AN$1-$J$1+2)</f>
        <v>0</v>
      </c>
      <c r="AO195" s="11">
        <f>VLOOKUP($H195,output!$A$10:$AH$2201,AO$1-$J$1+2)</f>
        <v>0</v>
      </c>
      <c r="AP195" s="11">
        <f>VLOOKUP($H195,output!$A$10:$AH$2201,AP$1-$J$1+2)</f>
        <v>0</v>
      </c>
    </row>
    <row r="196" spans="8:42" x14ac:dyDescent="0.25">
      <c r="H196" t="s">
        <v>82</v>
      </c>
      <c r="J196" s="11">
        <f>VLOOKUP($H196,output!$A$10:$AH$2201,J$1-$J$1+2)</f>
        <v>0</v>
      </c>
      <c r="K196" s="11">
        <f>VLOOKUP($H196,output!$A$10:$AH$2201,K$1-$J$1+2)</f>
        <v>347.70499999999998</v>
      </c>
      <c r="L196" s="11">
        <f>VLOOKUP($H196,output!$A$10:$AH$2201,L$1-$J$1+2)</f>
        <v>438.173</v>
      </c>
      <c r="M196" s="11">
        <f>VLOOKUP($H196,output!$A$10:$AH$2201,M$1-$J$1+2)</f>
        <v>312.76499999999999</v>
      </c>
      <c r="N196" s="13">
        <f>VLOOKUP($H196,output!$A$10:$AH$2201,N$1-$J$1+2)</f>
        <v>340.78399999999999</v>
      </c>
      <c r="O196" s="11">
        <f>VLOOKUP($H196,output!$A$10:$AH$2201,O$1-$J$1+2)</f>
        <v>246.84200000000001</v>
      </c>
      <c r="P196" s="11">
        <f>VLOOKUP($H196,output!$A$10:$AH$2201,P$1-$J$1+2)</f>
        <v>141.239</v>
      </c>
      <c r="Q196" s="11">
        <f>VLOOKUP($H196,output!$A$10:$AH$2201,Q$1-$J$1+2)</f>
        <v>43.548999999999999</v>
      </c>
      <c r="R196" s="11">
        <f>VLOOKUP($H196,output!$A$10:$AH$2201,R$1-$J$1+2)</f>
        <v>175.71199999999999</v>
      </c>
      <c r="S196" s="11">
        <f>VLOOKUP($H196,output!$A$10:$AH$2201,S$1-$J$1+2)</f>
        <v>72.408000000000001</v>
      </c>
      <c r="T196" s="11">
        <f>VLOOKUP($H196,output!$A$10:$AH$2201,T$1-$J$1+2)</f>
        <v>100.631</v>
      </c>
      <c r="U196" s="11">
        <f>VLOOKUP($H196,output!$A$10:$AH$2201,U$1-$J$1+2)</f>
        <v>137.048</v>
      </c>
      <c r="V196" s="11">
        <f>VLOOKUP($H196,output!$A$10:$AH$2201,V$1-$J$1+2)</f>
        <v>168.35900000000001</v>
      </c>
      <c r="W196" s="11">
        <f>VLOOKUP($H196,output!$A$10:$AH$2201,W$1-$J$1+2)</f>
        <v>168.376</v>
      </c>
      <c r="X196" s="11">
        <f>VLOOKUP($H196,output!$A$10:$AH$2201,X$1-$J$1+2)</f>
        <v>218.12</v>
      </c>
      <c r="Y196" s="11">
        <f>VLOOKUP($H196,output!$A$10:$AH$2201,Y$1-$J$1+2)</f>
        <v>244.405</v>
      </c>
      <c r="Z196" s="11">
        <f>VLOOKUP($H196,output!$A$10:$AH$2201,Z$1-$J$1+2)</f>
        <v>206.608</v>
      </c>
      <c r="AA196" s="11">
        <f>VLOOKUP($H196,output!$A$10:$AH$2201,AA$1-$J$1+2)</f>
        <v>294.50099999999998</v>
      </c>
      <c r="AB196" s="11">
        <f>VLOOKUP($H196,output!$A$10:$AH$2201,AB$1-$J$1+2)</f>
        <v>235.60300000000001</v>
      </c>
      <c r="AC196" s="11">
        <f>VLOOKUP($H196,output!$A$10:$AH$2201,AC$1-$J$1+2)</f>
        <v>236.94800000000001</v>
      </c>
      <c r="AD196" s="11">
        <f>VLOOKUP($H196,output!$A$10:$AH$2201,AD$1-$J$1+2)</f>
        <v>200.31200000000001</v>
      </c>
      <c r="AE196" s="11">
        <f>VLOOKUP($H196,output!$A$10:$AH$2201,AE$1-$J$1+2)</f>
        <v>151.26499999999999</v>
      </c>
      <c r="AF196" s="11">
        <f>VLOOKUP($H196,output!$A$10:$AH$2201,AF$1-$J$1+2)</f>
        <v>113.33499999999999</v>
      </c>
      <c r="AG196" s="11">
        <f>VLOOKUP($H196,output!$A$10:$AH$2201,AG$1-$J$1+2)</f>
        <v>163.22999999999999</v>
      </c>
      <c r="AH196" s="11">
        <f>VLOOKUP($H196,output!$A$10:$AH$2201,AH$1-$J$1+2)</f>
        <v>119.81399999999999</v>
      </c>
      <c r="AI196" s="11">
        <f>VLOOKUP($H196,output!$A$10:$AH$2201,AI$1-$J$1+2)</f>
        <v>129.11099999999999</v>
      </c>
      <c r="AJ196" s="11">
        <f>VLOOKUP($H196,output!$A$10:$AH$2201,AJ$1-$J$1+2)</f>
        <v>141.85599999999999</v>
      </c>
      <c r="AK196" s="11">
        <f>VLOOKUP($H196,output!$A$10:$AH$2201,AK$1-$J$1+2)</f>
        <v>153.40199999999999</v>
      </c>
      <c r="AL196" s="11">
        <f>VLOOKUP($H196,output!$A$10:$AH$2201,AL$1-$J$1+2)</f>
        <v>0</v>
      </c>
      <c r="AM196" s="11">
        <f>VLOOKUP($H196,output!$A$10:$AH$2201,AM$1-$J$1+2)</f>
        <v>0</v>
      </c>
      <c r="AN196" s="11">
        <f>VLOOKUP($H196,output!$A$10:$AH$2201,AN$1-$J$1+2)</f>
        <v>0</v>
      </c>
      <c r="AO196" s="11">
        <f>VLOOKUP($H196,output!$A$10:$AH$2201,AO$1-$J$1+2)</f>
        <v>0</v>
      </c>
      <c r="AP196" s="11">
        <f>VLOOKUP($H196,output!$A$10:$AH$2201,AP$1-$J$1+2)</f>
        <v>0</v>
      </c>
    </row>
    <row r="197" spans="8:42" x14ac:dyDescent="0.25">
      <c r="H197" t="s">
        <v>83</v>
      </c>
      <c r="J197" s="11">
        <f>VLOOKUP($H197,output!$A$10:$AH$2201,J$1-$J$1+2)</f>
        <v>0</v>
      </c>
      <c r="K197" s="11">
        <f>VLOOKUP($H197,output!$A$10:$AH$2201,K$1-$J$1+2)</f>
        <v>347.70499999999998</v>
      </c>
      <c r="L197" s="11">
        <f>VLOOKUP($H197,output!$A$10:$AH$2201,L$1-$J$1+2)</f>
        <v>438.173</v>
      </c>
      <c r="M197" s="11">
        <f>VLOOKUP($H197,output!$A$10:$AH$2201,M$1-$J$1+2)</f>
        <v>312.76499999999999</v>
      </c>
      <c r="N197" s="11">
        <f>VLOOKUP($H197,output!$A$10:$AH$2201,N$1-$J$1+2)</f>
        <v>340.78399999999999</v>
      </c>
      <c r="O197" s="11">
        <f>VLOOKUP($H197,output!$A$10:$AH$2201,O$1-$J$1+2)</f>
        <v>246.84200000000001</v>
      </c>
      <c r="P197" s="11">
        <f>VLOOKUP($H197,output!$A$10:$AH$2201,P$1-$J$1+2)</f>
        <v>141.239</v>
      </c>
      <c r="Q197" s="11">
        <f>VLOOKUP($H197,output!$A$10:$AH$2201,Q$1-$J$1+2)</f>
        <v>43.548999999999999</v>
      </c>
      <c r="R197" s="11">
        <f>VLOOKUP($H197,output!$A$10:$AH$2201,R$1-$J$1+2)</f>
        <v>175.71199999999999</v>
      </c>
      <c r="S197" s="11">
        <f>VLOOKUP($H197,output!$A$10:$AH$2201,S$1-$J$1+2)</f>
        <v>72.408000000000001</v>
      </c>
      <c r="T197" s="11">
        <f>VLOOKUP($H197,output!$A$10:$AH$2201,T$1-$J$1+2)</f>
        <v>100.631</v>
      </c>
      <c r="U197" s="11">
        <f>VLOOKUP($H197,output!$A$10:$AH$2201,U$1-$J$1+2)</f>
        <v>137.048</v>
      </c>
      <c r="V197" s="11">
        <f>VLOOKUP($H197,output!$A$10:$AH$2201,V$1-$J$1+2)</f>
        <v>168.35900000000001</v>
      </c>
      <c r="W197" s="11">
        <f>VLOOKUP($H197,output!$A$10:$AH$2201,W$1-$J$1+2)</f>
        <v>168.376</v>
      </c>
      <c r="X197" s="11">
        <f>VLOOKUP($H197,output!$A$10:$AH$2201,X$1-$J$1+2)</f>
        <v>218.12</v>
      </c>
      <c r="Y197" s="11">
        <f>VLOOKUP($H197,output!$A$10:$AH$2201,Y$1-$J$1+2)</f>
        <v>244.405</v>
      </c>
      <c r="Z197" s="11">
        <f>VLOOKUP($H197,output!$A$10:$AH$2201,Z$1-$J$1+2)</f>
        <v>206.608</v>
      </c>
      <c r="AA197" s="11">
        <f>VLOOKUP($H197,output!$A$10:$AH$2201,AA$1-$J$1+2)</f>
        <v>294.50099999999998</v>
      </c>
      <c r="AB197" s="11">
        <f>VLOOKUP($H197,output!$A$10:$AH$2201,AB$1-$J$1+2)</f>
        <v>235.60300000000001</v>
      </c>
      <c r="AC197" s="11">
        <f>VLOOKUP($H197,output!$A$10:$AH$2201,AC$1-$J$1+2)</f>
        <v>236.94800000000001</v>
      </c>
      <c r="AD197" s="11">
        <f>VLOOKUP($H197,output!$A$10:$AH$2201,AD$1-$J$1+2)</f>
        <v>200.31200000000001</v>
      </c>
      <c r="AE197" s="11">
        <f>VLOOKUP($H197,output!$A$10:$AH$2201,AE$1-$J$1+2)</f>
        <v>151.26499999999999</v>
      </c>
      <c r="AF197" s="11">
        <f>VLOOKUP($H197,output!$A$10:$AH$2201,AF$1-$J$1+2)</f>
        <v>113.33499999999999</v>
      </c>
      <c r="AG197" s="11">
        <f>VLOOKUP($H197,output!$A$10:$AH$2201,AG$1-$J$1+2)</f>
        <v>163.22999999999999</v>
      </c>
      <c r="AH197" s="11">
        <f>VLOOKUP($H197,output!$A$10:$AH$2201,AH$1-$J$1+2)</f>
        <v>119.81399999999999</v>
      </c>
      <c r="AI197" s="11">
        <f>VLOOKUP($H197,output!$A$10:$AH$2201,AI$1-$J$1+2)</f>
        <v>129.11099999999999</v>
      </c>
      <c r="AJ197" s="11">
        <f>VLOOKUP($H197,output!$A$10:$AH$2201,AJ$1-$J$1+2)</f>
        <v>141.85599999999999</v>
      </c>
      <c r="AK197" s="11">
        <f>VLOOKUP($H197,output!$A$10:$AH$2201,AK$1-$J$1+2)</f>
        <v>153.40199999999999</v>
      </c>
      <c r="AL197" s="11">
        <f>VLOOKUP($H197,output!$A$10:$AH$2201,AL$1-$J$1+2)</f>
        <v>0</v>
      </c>
      <c r="AM197" s="11">
        <f>VLOOKUP($H197,output!$A$10:$AH$2201,AM$1-$J$1+2)</f>
        <v>0</v>
      </c>
      <c r="AN197" s="11">
        <f>VLOOKUP($H197,output!$A$10:$AH$2201,AN$1-$J$1+2)</f>
        <v>0</v>
      </c>
      <c r="AO197" s="11">
        <f>VLOOKUP($H197,output!$A$10:$AH$2201,AO$1-$J$1+2)</f>
        <v>0</v>
      </c>
      <c r="AP197" s="11">
        <f>VLOOKUP($H197,output!$A$10:$AH$2201,AP$1-$J$1+2)</f>
        <v>0</v>
      </c>
    </row>
    <row r="198" spans="8:42" x14ac:dyDescent="0.25">
      <c r="H198" t="s">
        <v>84</v>
      </c>
      <c r="J198" s="11">
        <f>VLOOKUP($H198,output!$A$10:$AH$2201,J$1-$J$1+2)</f>
        <v>0</v>
      </c>
      <c r="K198" s="11">
        <f>VLOOKUP($H198,output!$A$10:$AH$2201,K$1-$J$1+2)</f>
        <v>0</v>
      </c>
      <c r="L198" s="11">
        <f>VLOOKUP($H198,output!$A$10:$AH$2201,L$1-$J$1+2)</f>
        <v>0</v>
      </c>
      <c r="M198" s="11">
        <f>VLOOKUP($H198,output!$A$10:$AH$2201,M$1-$J$1+2)</f>
        <v>0</v>
      </c>
      <c r="N198" s="11">
        <f>VLOOKUP($H198,output!$A$10:$AH$2201,N$1-$J$1+2)</f>
        <v>0</v>
      </c>
      <c r="O198" s="11">
        <f>VLOOKUP($H198,output!$A$10:$AH$2201,O$1-$J$1+2)</f>
        <v>0</v>
      </c>
      <c r="P198" s="11">
        <f>VLOOKUP($H198,output!$A$10:$AH$2201,P$1-$J$1+2)</f>
        <v>0</v>
      </c>
      <c r="Q198" s="11">
        <f>VLOOKUP($H198,output!$A$10:$AH$2201,Q$1-$J$1+2)</f>
        <v>0</v>
      </c>
      <c r="R198" s="11">
        <f>VLOOKUP($H198,output!$A$10:$AH$2201,R$1-$J$1+2)</f>
        <v>0</v>
      </c>
      <c r="S198" s="11">
        <f>VLOOKUP($H198,output!$A$10:$AH$2201,S$1-$J$1+2)</f>
        <v>0</v>
      </c>
      <c r="T198" s="11">
        <f>VLOOKUP($H198,output!$A$10:$AH$2201,T$1-$J$1+2)</f>
        <v>0</v>
      </c>
      <c r="U198" s="11">
        <f>VLOOKUP($H198,output!$A$10:$AH$2201,U$1-$J$1+2)</f>
        <v>0</v>
      </c>
      <c r="V198" s="11">
        <f>VLOOKUP($H198,output!$A$10:$AH$2201,V$1-$J$1+2)</f>
        <v>0</v>
      </c>
      <c r="W198" s="11">
        <f>VLOOKUP($H198,output!$A$10:$AH$2201,W$1-$J$1+2)</f>
        <v>0</v>
      </c>
      <c r="X198" s="11">
        <f>VLOOKUP($H198,output!$A$10:$AH$2201,X$1-$J$1+2)</f>
        <v>0</v>
      </c>
      <c r="Y198" s="11">
        <f>VLOOKUP($H198,output!$A$10:$AH$2201,Y$1-$J$1+2)</f>
        <v>0</v>
      </c>
      <c r="Z198" s="11">
        <f>VLOOKUP($H198,output!$A$10:$AH$2201,Z$1-$J$1+2)</f>
        <v>0</v>
      </c>
      <c r="AA198" s="11">
        <f>VLOOKUP($H198,output!$A$10:$AH$2201,AA$1-$J$1+2)</f>
        <v>0</v>
      </c>
      <c r="AB198" s="11">
        <f>VLOOKUP($H198,output!$A$10:$AH$2201,AB$1-$J$1+2)</f>
        <v>0</v>
      </c>
      <c r="AC198" s="11">
        <f>VLOOKUP($H198,output!$A$10:$AH$2201,AC$1-$J$1+2)</f>
        <v>0</v>
      </c>
      <c r="AD198" s="11">
        <f>VLOOKUP($H198,output!$A$10:$AH$2201,AD$1-$J$1+2)</f>
        <v>0</v>
      </c>
      <c r="AE198" s="11">
        <f>VLOOKUP($H198,output!$A$10:$AH$2201,AE$1-$J$1+2)</f>
        <v>0</v>
      </c>
      <c r="AF198" s="11">
        <f>VLOOKUP($H198,output!$A$10:$AH$2201,AF$1-$J$1+2)</f>
        <v>0</v>
      </c>
      <c r="AG198" s="11">
        <f>VLOOKUP($H198,output!$A$10:$AH$2201,AG$1-$J$1+2)</f>
        <v>0</v>
      </c>
      <c r="AH198" s="11">
        <f>VLOOKUP($H198,output!$A$10:$AH$2201,AH$1-$J$1+2)</f>
        <v>0</v>
      </c>
      <c r="AI198" s="11">
        <f>VLOOKUP($H198,output!$A$10:$AH$2201,AI$1-$J$1+2)</f>
        <v>0</v>
      </c>
      <c r="AJ198" s="11">
        <f>VLOOKUP($H198,output!$A$10:$AH$2201,AJ$1-$J$1+2)</f>
        <v>0</v>
      </c>
      <c r="AK198" s="11">
        <f>VLOOKUP($H198,output!$A$10:$AH$2201,AK$1-$J$1+2)</f>
        <v>0</v>
      </c>
      <c r="AL198" s="11">
        <f>VLOOKUP($H198,output!$A$10:$AH$2201,AL$1-$J$1+2)</f>
        <v>0</v>
      </c>
      <c r="AM198" s="11">
        <f>VLOOKUP($H198,output!$A$10:$AH$2201,AM$1-$J$1+2)</f>
        <v>0</v>
      </c>
      <c r="AN198" s="11">
        <f>VLOOKUP($H198,output!$A$10:$AH$2201,AN$1-$J$1+2)</f>
        <v>0</v>
      </c>
      <c r="AO198" s="11">
        <f>VLOOKUP($H198,output!$A$10:$AH$2201,AO$1-$J$1+2)</f>
        <v>0</v>
      </c>
      <c r="AP198" s="11">
        <f>VLOOKUP($H198,output!$A$10:$AH$2201,AP$1-$J$1+2)</f>
        <v>0</v>
      </c>
    </row>
    <row r="199" spans="8:42" x14ac:dyDescent="0.25">
      <c r="H199" t="s">
        <v>34</v>
      </c>
      <c r="J199" s="11">
        <f>VLOOKUP($H199,output!$A$10:$AH$2201,J$1-$J$1+2)</f>
        <v>0</v>
      </c>
      <c r="K199" s="11">
        <f>VLOOKUP($H199,output!$A$10:$AH$2201,K$1-$J$1+2)</f>
        <v>0</v>
      </c>
      <c r="L199" s="11">
        <f>VLOOKUP($H199,output!$A$10:$AH$2201,L$1-$J$1+2)</f>
        <v>0</v>
      </c>
      <c r="M199" s="11">
        <f>VLOOKUP($H199,output!$A$10:$AH$2201,M$1-$J$1+2)</f>
        <v>0</v>
      </c>
      <c r="N199" s="11">
        <f>VLOOKUP($H199,output!$A$10:$AH$2201,N$1-$J$1+2)</f>
        <v>0</v>
      </c>
      <c r="O199" s="11">
        <f>VLOOKUP($H199,output!$A$10:$AH$2201,O$1-$J$1+2)</f>
        <v>0</v>
      </c>
      <c r="P199" s="11">
        <f>VLOOKUP($H199,output!$A$10:$AH$2201,P$1-$J$1+2)</f>
        <v>0</v>
      </c>
      <c r="Q199" s="11">
        <f>VLOOKUP($H199,output!$A$10:$AH$2201,Q$1-$J$1+2)</f>
        <v>0</v>
      </c>
      <c r="R199" s="11">
        <f>VLOOKUP($H199,output!$A$10:$AH$2201,R$1-$J$1+2)</f>
        <v>0</v>
      </c>
      <c r="S199" s="13">
        <f>VLOOKUP($H199,output!$A$10:$AH$2201,S$1-$J$1+2)</f>
        <v>0</v>
      </c>
      <c r="T199" s="11">
        <f>VLOOKUP($H199,output!$A$10:$AH$2201,T$1-$J$1+2)</f>
        <v>0</v>
      </c>
      <c r="U199" s="11">
        <f>VLOOKUP($H199,output!$A$10:$AH$2201,U$1-$J$1+2)</f>
        <v>0</v>
      </c>
      <c r="V199" s="11">
        <f>VLOOKUP($H199,output!$A$10:$AH$2201,V$1-$J$1+2)</f>
        <v>0</v>
      </c>
      <c r="W199" s="11">
        <f>VLOOKUP($H199,output!$A$10:$AH$2201,W$1-$J$1+2)</f>
        <v>0</v>
      </c>
      <c r="X199" s="11">
        <f>VLOOKUP($H199,output!$A$10:$AH$2201,X$1-$J$1+2)</f>
        <v>0</v>
      </c>
      <c r="Y199" s="11">
        <f>VLOOKUP($H199,output!$A$10:$AH$2201,Y$1-$J$1+2)</f>
        <v>0</v>
      </c>
      <c r="Z199" s="11">
        <f>VLOOKUP($H199,output!$A$10:$AH$2201,Z$1-$J$1+2)</f>
        <v>0</v>
      </c>
      <c r="AA199" s="11">
        <f>VLOOKUP($H199,output!$A$10:$AH$2201,AA$1-$J$1+2)</f>
        <v>0</v>
      </c>
      <c r="AB199" s="11">
        <f>VLOOKUP($H199,output!$A$10:$AH$2201,AB$1-$J$1+2)</f>
        <v>0</v>
      </c>
      <c r="AC199" s="11">
        <f>VLOOKUP($H199,output!$A$10:$AH$2201,AC$1-$J$1+2)</f>
        <v>0</v>
      </c>
      <c r="AD199" s="11">
        <f>VLOOKUP($H199,output!$A$10:$AH$2201,AD$1-$J$1+2)</f>
        <v>0</v>
      </c>
      <c r="AE199" s="11">
        <f>VLOOKUP($H199,output!$A$10:$AH$2201,AE$1-$J$1+2)</f>
        <v>0</v>
      </c>
      <c r="AF199" s="11">
        <f>VLOOKUP($H199,output!$A$10:$AH$2201,AF$1-$J$1+2)</f>
        <v>0</v>
      </c>
      <c r="AG199" s="11">
        <f>VLOOKUP($H199,output!$A$10:$AH$2201,AG$1-$J$1+2)</f>
        <v>0</v>
      </c>
      <c r="AH199" s="11">
        <f>VLOOKUP($H199,output!$A$10:$AH$2201,AH$1-$J$1+2)</f>
        <v>0</v>
      </c>
      <c r="AI199" s="11">
        <f>VLOOKUP($H199,output!$A$10:$AH$2201,AI$1-$J$1+2)</f>
        <v>0</v>
      </c>
      <c r="AJ199" s="11">
        <f>VLOOKUP($H199,output!$A$10:$AH$2201,AJ$1-$J$1+2)</f>
        <v>0</v>
      </c>
      <c r="AK199" s="11">
        <f>VLOOKUP($H199,output!$A$10:$AH$2201,AK$1-$J$1+2)</f>
        <v>0</v>
      </c>
      <c r="AL199" s="11">
        <f>VLOOKUP($H199,output!$A$10:$AH$2201,AL$1-$J$1+2)</f>
        <v>0</v>
      </c>
      <c r="AM199" s="11">
        <f>VLOOKUP($H199,output!$A$10:$AH$2201,AM$1-$J$1+2)</f>
        <v>0</v>
      </c>
      <c r="AN199" s="11">
        <f>VLOOKUP($H199,output!$A$10:$AH$2201,AN$1-$J$1+2)</f>
        <v>0</v>
      </c>
      <c r="AO199" s="11">
        <f>VLOOKUP($H199,output!$A$10:$AH$2201,AO$1-$J$1+2)</f>
        <v>0</v>
      </c>
      <c r="AP199" s="11">
        <f>VLOOKUP($H199,output!$A$10:$AH$2201,AP$1-$J$1+2)</f>
        <v>0</v>
      </c>
    </row>
    <row r="200" spans="8:42" x14ac:dyDescent="0.25">
      <c r="H200" t="s">
        <v>35</v>
      </c>
      <c r="J200" s="11">
        <f>VLOOKUP($H200,output!$A$10:$AH$2201,J$1-$J$1+2)</f>
        <v>0</v>
      </c>
      <c r="K200" s="11">
        <f>VLOOKUP($H200,output!$A$10:$AH$2201,K$1-$J$1+2)</f>
        <v>608.87099999999998</v>
      </c>
      <c r="L200" s="11">
        <f>VLOOKUP($H200,output!$A$10:$AH$2201,L$1-$J$1+2)</f>
        <v>769.76099999999997</v>
      </c>
      <c r="M200" s="11">
        <f>VLOOKUP($H200,output!$A$10:$AH$2201,M$1-$J$1+2)</f>
        <v>636.90599999999995</v>
      </c>
      <c r="N200" s="11">
        <f>VLOOKUP($H200,output!$A$10:$AH$2201,N$1-$J$1+2)</f>
        <v>632.10699999999997</v>
      </c>
      <c r="O200" s="11">
        <f>VLOOKUP($H200,output!$A$10:$AH$2201,O$1-$J$1+2)</f>
        <v>531.17200000000003</v>
      </c>
      <c r="P200" s="11">
        <f>VLOOKUP($H200,output!$A$10:$AH$2201,P$1-$J$1+2)</f>
        <v>419.233</v>
      </c>
      <c r="Q200" s="11">
        <f>VLOOKUP($H200,output!$A$10:$AH$2201,Q$1-$J$1+2)</f>
        <v>317.30200000000002</v>
      </c>
      <c r="R200" s="11">
        <f>VLOOKUP($H200,output!$A$10:$AH$2201,R$1-$J$1+2)</f>
        <v>443.029</v>
      </c>
      <c r="S200" s="11">
        <f>VLOOKUP($H200,output!$A$10:$AH$2201,S$1-$J$1+2)</f>
        <v>331.30500000000001</v>
      </c>
      <c r="T200" s="11">
        <f>VLOOKUP($H200,output!$A$10:$AH$2201,T$1-$J$1+2)</f>
        <v>353.976</v>
      </c>
      <c r="U200" s="11">
        <f>VLOOKUP($H200,output!$A$10:$AH$2201,U$1-$J$1+2)</f>
        <v>384.55799999999999</v>
      </c>
      <c r="V200" s="11">
        <f>VLOOKUP($H200,output!$A$10:$AH$2201,V$1-$J$1+2)</f>
        <v>408.43200000000002</v>
      </c>
      <c r="W200" s="11">
        <f>VLOOKUP($H200,output!$A$10:$AH$2201,W$1-$J$1+2)</f>
        <v>350.42200000000003</v>
      </c>
      <c r="X200" s="11">
        <f>VLOOKUP($H200,output!$A$10:$AH$2201,X$1-$J$1+2)</f>
        <v>394.88600000000002</v>
      </c>
      <c r="Y200" s="11">
        <f>VLOOKUP($H200,output!$A$10:$AH$2201,Y$1-$J$1+2)</f>
        <v>415.048</v>
      </c>
      <c r="Z200" s="11">
        <f>VLOOKUP($H200,output!$A$10:$AH$2201,Z$1-$J$1+2)</f>
        <v>333.64</v>
      </c>
      <c r="AA200" s="11">
        <f>VLOOKUP($H200,output!$A$10:$AH$2201,AA$1-$J$1+2)</f>
        <v>448.154</v>
      </c>
      <c r="AB200" s="11">
        <f>VLOOKUP($H200,output!$A$10:$AH$2201,AB$1-$J$1+2)</f>
        <v>360.78699999999998</v>
      </c>
      <c r="AC200" s="11">
        <f>VLOOKUP($H200,output!$A$10:$AH$2201,AC$1-$J$1+2)</f>
        <v>357.05599999999998</v>
      </c>
      <c r="AD200" s="11">
        <f>VLOOKUP($H200,output!$A$10:$AH$2201,AD$1-$J$1+2)</f>
        <v>297.51900000000001</v>
      </c>
      <c r="AE200" s="11">
        <f>VLOOKUP($H200,output!$A$10:$AH$2201,AE$1-$J$1+2)</f>
        <v>225.048</v>
      </c>
      <c r="AF200" s="11">
        <f>VLOOKUP($H200,output!$A$10:$AH$2201,AF$1-$J$1+2)</f>
        <v>167.11500000000001</v>
      </c>
      <c r="AG200" s="11">
        <f>VLOOKUP($H200,output!$A$10:$AH$2201,AG$1-$J$1+2)</f>
        <v>235.55199999999999</v>
      </c>
      <c r="AH200" s="11">
        <f>VLOOKUP($H200,output!$A$10:$AH$2201,AH$1-$J$1+2)</f>
        <v>171.727</v>
      </c>
      <c r="AI200" s="11">
        <f>VLOOKUP($H200,output!$A$10:$AH$2201,AI$1-$J$1+2)</f>
        <v>182.45</v>
      </c>
      <c r="AJ200" s="11">
        <f>VLOOKUP($H200,output!$A$10:$AH$2201,AJ$1-$J$1+2)</f>
        <v>197.471</v>
      </c>
      <c r="AK200" s="11">
        <f>VLOOKUP($H200,output!$A$10:$AH$2201,AK$1-$J$1+2)</f>
        <v>209.977</v>
      </c>
      <c r="AL200" s="11">
        <f>VLOOKUP($H200,output!$A$10:$AH$2201,AL$1-$J$1+2)</f>
        <v>0</v>
      </c>
      <c r="AM200" s="11">
        <f>VLOOKUP($H200,output!$A$10:$AH$2201,AM$1-$J$1+2)</f>
        <v>0</v>
      </c>
      <c r="AN200" s="11">
        <f>VLOOKUP($H200,output!$A$10:$AH$2201,AN$1-$J$1+2)</f>
        <v>0</v>
      </c>
      <c r="AO200" s="11">
        <f>VLOOKUP($H200,output!$A$10:$AH$2201,AO$1-$J$1+2)</f>
        <v>0</v>
      </c>
      <c r="AP200" s="11">
        <f>VLOOKUP($H200,output!$A$10:$AH$2201,AP$1-$J$1+2)</f>
        <v>0</v>
      </c>
    </row>
    <row r="201" spans="8:42" x14ac:dyDescent="0.25">
      <c r="H201" t="s">
        <v>101</v>
      </c>
      <c r="J201" s="11">
        <f>VLOOKUP($H201,output!$A$10:$AH$2201,J$1-$J$1+2)</f>
        <v>0</v>
      </c>
      <c r="K201" s="11">
        <f>VLOOKUP($H201,output!$A$10:$AH$2201,K$1-$J$1+2)</f>
        <v>608.87099999999998</v>
      </c>
      <c r="L201" s="11">
        <f>VLOOKUP($H201,output!$A$10:$AH$2201,L$1-$J$1+2)</f>
        <v>769.76099999999997</v>
      </c>
      <c r="M201" s="11">
        <f>VLOOKUP($H201,output!$A$10:$AH$2201,M$1-$J$1+2)</f>
        <v>636.90599999999995</v>
      </c>
      <c r="N201" s="11">
        <f>VLOOKUP($H201,output!$A$10:$AH$2201,N$1-$J$1+2)</f>
        <v>632.10699999999997</v>
      </c>
      <c r="O201" s="11">
        <f>VLOOKUP($H201,output!$A$10:$AH$2201,O$1-$J$1+2)</f>
        <v>531.17200000000003</v>
      </c>
      <c r="P201" s="11">
        <f>VLOOKUP($H201,output!$A$10:$AH$2201,P$1-$J$1+2)</f>
        <v>419.233</v>
      </c>
      <c r="Q201" s="11">
        <f>VLOOKUP($H201,output!$A$10:$AH$2201,Q$1-$J$1+2)</f>
        <v>317.30200000000002</v>
      </c>
      <c r="R201" s="11">
        <f>VLOOKUP($H201,output!$A$10:$AH$2201,R$1-$J$1+2)</f>
        <v>443.029</v>
      </c>
      <c r="S201" s="11">
        <f>VLOOKUP($H201,output!$A$10:$AH$2201,S$1-$J$1+2)</f>
        <v>331.30500000000001</v>
      </c>
      <c r="T201" s="11">
        <f>VLOOKUP($H201,output!$A$10:$AH$2201,T$1-$J$1+2)</f>
        <v>353.976</v>
      </c>
      <c r="U201" s="11">
        <f>VLOOKUP($H201,output!$A$10:$AH$2201,U$1-$J$1+2)</f>
        <v>384.55799999999999</v>
      </c>
      <c r="V201" s="11">
        <f>VLOOKUP($H201,output!$A$10:$AH$2201,V$1-$J$1+2)</f>
        <v>408.43200000000002</v>
      </c>
      <c r="W201" s="11">
        <f>VLOOKUP($H201,output!$A$10:$AH$2201,W$1-$J$1+2)</f>
        <v>350.42200000000003</v>
      </c>
      <c r="X201" s="11">
        <f>VLOOKUP($H201,output!$A$10:$AH$2201,X$1-$J$1+2)</f>
        <v>394.88600000000002</v>
      </c>
      <c r="Y201" s="11">
        <f>VLOOKUP($H201,output!$A$10:$AH$2201,Y$1-$J$1+2)</f>
        <v>415.048</v>
      </c>
      <c r="Z201" s="11">
        <f>VLOOKUP($H201,output!$A$10:$AH$2201,Z$1-$J$1+2)</f>
        <v>333.64</v>
      </c>
      <c r="AA201" s="11">
        <f>VLOOKUP($H201,output!$A$10:$AH$2201,AA$1-$J$1+2)</f>
        <v>448.154</v>
      </c>
      <c r="AB201" s="11">
        <f>VLOOKUP($H201,output!$A$10:$AH$2201,AB$1-$J$1+2)</f>
        <v>360.78699999999998</v>
      </c>
      <c r="AC201" s="11">
        <f>VLOOKUP($H201,output!$A$10:$AH$2201,AC$1-$J$1+2)</f>
        <v>357.05599999999998</v>
      </c>
      <c r="AD201" s="11">
        <f>VLOOKUP($H201,output!$A$10:$AH$2201,AD$1-$J$1+2)</f>
        <v>297.51900000000001</v>
      </c>
      <c r="AE201" s="11">
        <f>VLOOKUP($H201,output!$A$10:$AH$2201,AE$1-$J$1+2)</f>
        <v>225.048</v>
      </c>
      <c r="AF201" s="11">
        <f>VLOOKUP($H201,output!$A$10:$AH$2201,AF$1-$J$1+2)</f>
        <v>167.11500000000001</v>
      </c>
      <c r="AG201" s="11">
        <f>VLOOKUP($H201,output!$A$10:$AH$2201,AG$1-$J$1+2)</f>
        <v>235.55199999999999</v>
      </c>
      <c r="AH201" s="11">
        <f>VLOOKUP($H201,output!$A$10:$AH$2201,AH$1-$J$1+2)</f>
        <v>171.727</v>
      </c>
      <c r="AI201" s="11">
        <f>VLOOKUP($H201,output!$A$10:$AH$2201,AI$1-$J$1+2)</f>
        <v>182.45</v>
      </c>
      <c r="AJ201" s="11">
        <f>VLOOKUP($H201,output!$A$10:$AH$2201,AJ$1-$J$1+2)</f>
        <v>197.471</v>
      </c>
      <c r="AK201" s="11">
        <f>VLOOKUP($H201,output!$A$10:$AH$2201,AK$1-$J$1+2)</f>
        <v>209.977</v>
      </c>
      <c r="AL201" s="11">
        <f>VLOOKUP($H201,output!$A$10:$AH$2201,AL$1-$J$1+2)</f>
        <v>0</v>
      </c>
      <c r="AM201" s="11">
        <f>VLOOKUP($H201,output!$A$10:$AH$2201,AM$1-$J$1+2)</f>
        <v>0</v>
      </c>
      <c r="AN201" s="11">
        <f>VLOOKUP($H201,output!$A$10:$AH$2201,AN$1-$J$1+2)</f>
        <v>0</v>
      </c>
      <c r="AO201" s="11">
        <f>VLOOKUP($H201,output!$A$10:$AH$2201,AO$1-$J$1+2)</f>
        <v>0</v>
      </c>
      <c r="AP201" s="11">
        <f>VLOOKUP($H201,output!$A$10:$AH$2201,AP$1-$J$1+2)</f>
        <v>0</v>
      </c>
    </row>
    <row r="202" spans="8:42" x14ac:dyDescent="0.25">
      <c r="H202" t="s">
        <v>36</v>
      </c>
      <c r="J202" s="11">
        <f>VLOOKUP($H202,output!$A$10:$AH$2201,J$1-$J$1+2)</f>
        <v>0</v>
      </c>
      <c r="K202" s="11">
        <f>VLOOKUP($H202,output!$A$10:$AH$2201,K$1-$J$1+2)</f>
        <v>608.87099999999998</v>
      </c>
      <c r="L202" s="11">
        <f>VLOOKUP($H202,output!$A$10:$AH$2201,L$1-$J$1+2)</f>
        <v>769.76099999999997</v>
      </c>
      <c r="M202" s="11">
        <f>VLOOKUP($H202,output!$A$10:$AH$2201,M$1-$J$1+2)</f>
        <v>636.90599999999995</v>
      </c>
      <c r="N202" s="13">
        <f>VLOOKUP($H202,output!$A$10:$AH$2201,N$1-$J$1+2)</f>
        <v>632.10699999999997</v>
      </c>
      <c r="O202" s="11">
        <f>VLOOKUP($H202,output!$A$10:$AH$2201,O$1-$J$1+2)</f>
        <v>531.17200000000003</v>
      </c>
      <c r="P202" s="11">
        <f>VLOOKUP($H202,output!$A$10:$AH$2201,P$1-$J$1+2)</f>
        <v>419.233</v>
      </c>
      <c r="Q202" s="11">
        <f>VLOOKUP($H202,output!$A$10:$AH$2201,Q$1-$J$1+2)</f>
        <v>317.30200000000002</v>
      </c>
      <c r="R202" s="11">
        <f>VLOOKUP($H202,output!$A$10:$AH$2201,R$1-$J$1+2)</f>
        <v>443.029</v>
      </c>
      <c r="S202" s="11">
        <f>VLOOKUP($H202,output!$A$10:$AH$2201,S$1-$J$1+2)</f>
        <v>331.30500000000001</v>
      </c>
      <c r="T202" s="11">
        <f>VLOOKUP($H202,output!$A$10:$AH$2201,T$1-$J$1+2)</f>
        <v>353.976</v>
      </c>
      <c r="U202" s="11">
        <f>VLOOKUP($H202,output!$A$10:$AH$2201,U$1-$J$1+2)</f>
        <v>384.55799999999999</v>
      </c>
      <c r="V202" s="11">
        <f>VLOOKUP($H202,output!$A$10:$AH$2201,V$1-$J$1+2)</f>
        <v>408.43200000000002</v>
      </c>
      <c r="W202" s="11">
        <f>VLOOKUP($H202,output!$A$10:$AH$2201,W$1-$J$1+2)</f>
        <v>350.42200000000003</v>
      </c>
      <c r="X202" s="11">
        <f>VLOOKUP($H202,output!$A$10:$AH$2201,X$1-$J$1+2)</f>
        <v>394.88600000000002</v>
      </c>
      <c r="Y202" s="11">
        <f>VLOOKUP($H202,output!$A$10:$AH$2201,Y$1-$J$1+2)</f>
        <v>415.048</v>
      </c>
      <c r="Z202" s="11">
        <f>VLOOKUP($H202,output!$A$10:$AH$2201,Z$1-$J$1+2)</f>
        <v>333.64</v>
      </c>
      <c r="AA202" s="11">
        <f>VLOOKUP($H202,output!$A$10:$AH$2201,AA$1-$J$1+2)</f>
        <v>448.154</v>
      </c>
      <c r="AB202" s="11">
        <f>VLOOKUP($H202,output!$A$10:$AH$2201,AB$1-$J$1+2)</f>
        <v>360.78699999999998</v>
      </c>
      <c r="AC202" s="11">
        <f>VLOOKUP($H202,output!$A$10:$AH$2201,AC$1-$J$1+2)</f>
        <v>357.05599999999998</v>
      </c>
      <c r="AD202" s="11">
        <f>VLOOKUP($H202,output!$A$10:$AH$2201,AD$1-$J$1+2)</f>
        <v>297.51900000000001</v>
      </c>
      <c r="AE202" s="11">
        <f>VLOOKUP($H202,output!$A$10:$AH$2201,AE$1-$J$1+2)</f>
        <v>225.048</v>
      </c>
      <c r="AF202" s="11">
        <f>VLOOKUP($H202,output!$A$10:$AH$2201,AF$1-$J$1+2)</f>
        <v>167.11500000000001</v>
      </c>
      <c r="AG202" s="11">
        <f>VLOOKUP($H202,output!$A$10:$AH$2201,AG$1-$J$1+2)</f>
        <v>235.55199999999999</v>
      </c>
      <c r="AH202" s="11">
        <f>VLOOKUP($H202,output!$A$10:$AH$2201,AH$1-$J$1+2)</f>
        <v>171.727</v>
      </c>
      <c r="AI202" s="11">
        <f>VLOOKUP($H202,output!$A$10:$AH$2201,AI$1-$J$1+2)</f>
        <v>182.45</v>
      </c>
      <c r="AJ202" s="11">
        <f>VLOOKUP($H202,output!$A$10:$AH$2201,AJ$1-$J$1+2)</f>
        <v>197.471</v>
      </c>
      <c r="AK202" s="11">
        <f>VLOOKUP($H202,output!$A$10:$AH$2201,AK$1-$J$1+2)</f>
        <v>209.977</v>
      </c>
      <c r="AL202" s="11">
        <f>VLOOKUP($H202,output!$A$10:$AH$2201,AL$1-$J$1+2)</f>
        <v>0</v>
      </c>
      <c r="AM202" s="11">
        <f>VLOOKUP($H202,output!$A$10:$AH$2201,AM$1-$J$1+2)</f>
        <v>0</v>
      </c>
      <c r="AN202" s="11">
        <f>VLOOKUP($H202,output!$A$10:$AH$2201,AN$1-$J$1+2)</f>
        <v>0</v>
      </c>
      <c r="AO202" s="11">
        <f>VLOOKUP($H202,output!$A$10:$AH$2201,AO$1-$J$1+2)</f>
        <v>0</v>
      </c>
      <c r="AP202" s="11">
        <f>VLOOKUP($H202,output!$A$10:$AH$2201,AP$1-$J$1+2)</f>
        <v>0</v>
      </c>
    </row>
    <row r="203" spans="8:42" x14ac:dyDescent="0.25">
      <c r="H203" t="s">
        <v>37</v>
      </c>
      <c r="J203" s="11">
        <f>VLOOKUP($H203,output!$A$10:$AH$2201,J$1-$J$1+2)</f>
        <v>0</v>
      </c>
      <c r="K203" s="11">
        <f>VLOOKUP($H203,output!$A$10:$AH$2201,K$1-$J$1+2)</f>
        <v>608.87099999999998</v>
      </c>
      <c r="L203" s="11">
        <f>VLOOKUP($H203,output!$A$10:$AH$2201,L$1-$J$1+2)</f>
        <v>769.76099999999997</v>
      </c>
      <c r="M203" s="11">
        <f>VLOOKUP($H203,output!$A$10:$AH$2201,M$1-$J$1+2)</f>
        <v>636.90599999999995</v>
      </c>
      <c r="N203" s="13">
        <f>VLOOKUP($H203,output!$A$10:$AH$2201,N$1-$J$1+2)</f>
        <v>632.10699999999997</v>
      </c>
      <c r="O203" s="11">
        <f>VLOOKUP($H203,output!$A$10:$AH$2201,O$1-$J$1+2)</f>
        <v>531.17200000000003</v>
      </c>
      <c r="P203" s="11">
        <f>VLOOKUP($H203,output!$A$10:$AH$2201,P$1-$J$1+2)</f>
        <v>419.233</v>
      </c>
      <c r="Q203" s="11">
        <f>VLOOKUP($H203,output!$A$10:$AH$2201,Q$1-$J$1+2)</f>
        <v>317.30200000000002</v>
      </c>
      <c r="R203" s="11">
        <f>VLOOKUP($H203,output!$A$10:$AH$2201,R$1-$J$1+2)</f>
        <v>443.029</v>
      </c>
      <c r="S203" s="11">
        <f>VLOOKUP($H203,output!$A$10:$AH$2201,S$1-$J$1+2)</f>
        <v>331.30500000000001</v>
      </c>
      <c r="T203" s="11">
        <f>VLOOKUP($H203,output!$A$10:$AH$2201,T$1-$J$1+2)</f>
        <v>353.976</v>
      </c>
      <c r="U203" s="11">
        <f>VLOOKUP($H203,output!$A$10:$AH$2201,U$1-$J$1+2)</f>
        <v>384.55799999999999</v>
      </c>
      <c r="V203" s="11">
        <f>VLOOKUP($H203,output!$A$10:$AH$2201,V$1-$J$1+2)</f>
        <v>408.43200000000002</v>
      </c>
      <c r="W203" s="11">
        <f>VLOOKUP($H203,output!$A$10:$AH$2201,W$1-$J$1+2)</f>
        <v>350.42200000000003</v>
      </c>
      <c r="X203" s="11">
        <f>VLOOKUP($H203,output!$A$10:$AH$2201,X$1-$J$1+2)</f>
        <v>394.88600000000002</v>
      </c>
      <c r="Y203" s="11">
        <f>VLOOKUP($H203,output!$A$10:$AH$2201,Y$1-$J$1+2)</f>
        <v>415.048</v>
      </c>
      <c r="Z203" s="11">
        <f>VLOOKUP($H203,output!$A$10:$AH$2201,Z$1-$J$1+2)</f>
        <v>333.64</v>
      </c>
      <c r="AA203" s="11">
        <f>VLOOKUP($H203,output!$A$10:$AH$2201,AA$1-$J$1+2)</f>
        <v>448.154</v>
      </c>
      <c r="AB203" s="11">
        <f>VLOOKUP($H203,output!$A$10:$AH$2201,AB$1-$J$1+2)</f>
        <v>360.78699999999998</v>
      </c>
      <c r="AC203" s="11">
        <f>VLOOKUP($H203,output!$A$10:$AH$2201,AC$1-$J$1+2)</f>
        <v>357.05599999999998</v>
      </c>
      <c r="AD203" s="11">
        <f>VLOOKUP($H203,output!$A$10:$AH$2201,AD$1-$J$1+2)</f>
        <v>297.51900000000001</v>
      </c>
      <c r="AE203" s="11">
        <f>VLOOKUP($H203,output!$A$10:$AH$2201,AE$1-$J$1+2)</f>
        <v>225.048</v>
      </c>
      <c r="AF203" s="11">
        <f>VLOOKUP($H203,output!$A$10:$AH$2201,AF$1-$J$1+2)</f>
        <v>167.11500000000001</v>
      </c>
      <c r="AG203" s="11">
        <f>VLOOKUP($H203,output!$A$10:$AH$2201,AG$1-$J$1+2)</f>
        <v>235.55199999999999</v>
      </c>
      <c r="AH203" s="11">
        <f>VLOOKUP($H203,output!$A$10:$AH$2201,AH$1-$J$1+2)</f>
        <v>171.727</v>
      </c>
      <c r="AI203" s="11">
        <f>VLOOKUP($H203,output!$A$10:$AH$2201,AI$1-$J$1+2)</f>
        <v>182.45</v>
      </c>
      <c r="AJ203" s="11">
        <f>VLOOKUP($H203,output!$A$10:$AH$2201,AJ$1-$J$1+2)</f>
        <v>197.471</v>
      </c>
      <c r="AK203" s="11">
        <f>VLOOKUP($H203,output!$A$10:$AH$2201,AK$1-$J$1+2)</f>
        <v>209.977</v>
      </c>
      <c r="AL203" s="11">
        <f>VLOOKUP($H203,output!$A$10:$AH$2201,AL$1-$J$1+2)</f>
        <v>0</v>
      </c>
      <c r="AM203" s="11">
        <f>VLOOKUP($H203,output!$A$10:$AH$2201,AM$1-$J$1+2)</f>
        <v>0</v>
      </c>
      <c r="AN203" s="11">
        <f>VLOOKUP($H203,output!$A$10:$AH$2201,AN$1-$J$1+2)</f>
        <v>0</v>
      </c>
      <c r="AO203" s="11">
        <f>VLOOKUP($H203,output!$A$10:$AH$2201,AO$1-$J$1+2)</f>
        <v>0</v>
      </c>
      <c r="AP203" s="11">
        <f>VLOOKUP($H203,output!$A$10:$AH$2201,AP$1-$J$1+2)</f>
        <v>0</v>
      </c>
    </row>
    <row r="204" spans="8:42" x14ac:dyDescent="0.25">
      <c r="H204" t="s">
        <v>85</v>
      </c>
      <c r="J204" s="11">
        <f>VLOOKUP($H204,output!$A$10:$AH$2201,J$1-$J$1+2)</f>
        <v>0</v>
      </c>
      <c r="K204" s="11">
        <f>VLOOKUP($H204,output!$A$10:$AH$2201,K$1-$J$1+2)</f>
        <v>210.93</v>
      </c>
      <c r="L204" s="11">
        <f>VLOOKUP($H204,output!$A$10:$AH$2201,L$1-$J$1+2)</f>
        <v>286.96899999999999</v>
      </c>
      <c r="M204" s="11">
        <f>VLOOKUP($H204,output!$A$10:$AH$2201,M$1-$J$1+2)</f>
        <v>290.46699999999998</v>
      </c>
      <c r="N204" s="11">
        <f>VLOOKUP($H204,output!$A$10:$AH$2201,N$1-$J$1+2)</f>
        <v>312.423</v>
      </c>
      <c r="O204" s="11">
        <f>VLOOKUP($H204,output!$A$10:$AH$2201,O$1-$J$1+2)</f>
        <v>316.09100000000001</v>
      </c>
      <c r="P204" s="11">
        <f>VLOOKUP($H204,output!$A$10:$AH$2201,P$1-$J$1+2)</f>
        <v>321.56400000000002</v>
      </c>
      <c r="Q204" s="11">
        <f>VLOOKUP($H204,output!$A$10:$AH$2201,Q$1-$J$1+2)</f>
        <v>328.29300000000001</v>
      </c>
      <c r="R204" s="11">
        <f>VLOOKUP($H204,output!$A$10:$AH$2201,R$1-$J$1+2)</f>
        <v>339.06</v>
      </c>
      <c r="S204" s="11">
        <f>VLOOKUP($H204,output!$A$10:$AH$2201,S$1-$J$1+2)</f>
        <v>346.95800000000003</v>
      </c>
      <c r="T204" s="11">
        <f>VLOOKUP($H204,output!$A$10:$AH$2201,T$1-$J$1+2)</f>
        <v>355.81900000000002</v>
      </c>
      <c r="U204" s="11">
        <f>VLOOKUP($H204,output!$A$10:$AH$2201,U$1-$J$1+2)</f>
        <v>363.69200000000001</v>
      </c>
      <c r="V204" s="11">
        <f>VLOOKUP($H204,output!$A$10:$AH$2201,V$1-$J$1+2)</f>
        <v>371.19499999999999</v>
      </c>
      <c r="W204" s="11">
        <f>VLOOKUP($H204,output!$A$10:$AH$2201,W$1-$J$1+2)</f>
        <v>287.858</v>
      </c>
      <c r="X204" s="11">
        <f>VLOOKUP($H204,output!$A$10:$AH$2201,X$1-$J$1+2)</f>
        <v>291.625</v>
      </c>
      <c r="Y204" s="11">
        <f>VLOOKUP($H204,output!$A$10:$AH$2201,Y$1-$J$1+2)</f>
        <v>293.22699999999998</v>
      </c>
      <c r="Z204" s="11">
        <f>VLOOKUP($H204,output!$A$10:$AH$2201,Z$1-$J$1+2)</f>
        <v>263.88099999999997</v>
      </c>
      <c r="AA204" s="11">
        <f>VLOOKUP($H204,output!$A$10:$AH$2201,AA$1-$J$1+2)</f>
        <v>290.55799999999999</v>
      </c>
      <c r="AB204" s="11">
        <f>VLOOKUP($H204,output!$A$10:$AH$2201,AB$1-$J$1+2)</f>
        <v>262.52600000000001</v>
      </c>
      <c r="AC204" s="11">
        <f>VLOOKUP($H204,output!$A$10:$AH$2201,AC$1-$J$1+2)</f>
        <v>258.84199999999998</v>
      </c>
      <c r="AD204" s="11">
        <f>VLOOKUP($H204,output!$A$10:$AH$2201,AD$1-$J$1+2)</f>
        <v>239.30600000000001</v>
      </c>
      <c r="AE204" s="11">
        <f>VLOOKUP($H204,output!$A$10:$AH$2201,AE$1-$J$1+2)</f>
        <v>423.23399999999998</v>
      </c>
      <c r="AF204" s="11">
        <f>VLOOKUP($H204,output!$A$10:$AH$2201,AF$1-$J$1+2)</f>
        <v>426.88600000000002</v>
      </c>
      <c r="AG204" s="11">
        <f>VLOOKUP($H204,output!$A$10:$AH$2201,AG$1-$J$1+2)</f>
        <v>418.61900000000003</v>
      </c>
      <c r="AH204" s="11">
        <f>VLOOKUP($H204,output!$A$10:$AH$2201,AH$1-$J$1+2)</f>
        <v>432.40199999999999</v>
      </c>
      <c r="AI204" s="11">
        <f>VLOOKUP($H204,output!$A$10:$AH$2201,AI$1-$J$1+2)</f>
        <v>413.04</v>
      </c>
      <c r="AJ204" s="11">
        <f>VLOOKUP($H204,output!$A$10:$AH$2201,AJ$1-$J$1+2)</f>
        <v>391.33300000000003</v>
      </c>
      <c r="AK204" s="11">
        <f>VLOOKUP($H204,output!$A$10:$AH$2201,AK$1-$J$1+2)</f>
        <v>369.81400000000002</v>
      </c>
      <c r="AL204" s="11">
        <f>VLOOKUP($H204,output!$A$10:$AH$2201,AL$1-$J$1+2)</f>
        <v>0</v>
      </c>
      <c r="AM204" s="11">
        <f>VLOOKUP($H204,output!$A$10:$AH$2201,AM$1-$J$1+2)</f>
        <v>0</v>
      </c>
      <c r="AN204" s="11">
        <f>VLOOKUP($H204,output!$A$10:$AH$2201,AN$1-$J$1+2)</f>
        <v>0</v>
      </c>
      <c r="AO204" s="11">
        <f>VLOOKUP($H204,output!$A$10:$AH$2201,AO$1-$J$1+2)</f>
        <v>0</v>
      </c>
      <c r="AP204" s="11">
        <f>VLOOKUP($H204,output!$A$10:$AH$2201,AP$1-$J$1+2)</f>
        <v>0</v>
      </c>
    </row>
    <row r="205" spans="8:42" x14ac:dyDescent="0.25">
      <c r="H205" t="s">
        <v>86</v>
      </c>
      <c r="J205" s="11">
        <f>VLOOKUP($H205,output!$A$10:$AH$2201,J$1-$J$1+2)</f>
        <v>0</v>
      </c>
      <c r="K205" s="11">
        <f>VLOOKUP($H205,output!$A$10:$AH$2201,K$1-$J$1+2)</f>
        <v>46.993000000000002</v>
      </c>
      <c r="L205" s="11">
        <f>VLOOKUP($H205,output!$A$10:$AH$2201,L$1-$J$1+2)</f>
        <v>71.983000000000004</v>
      </c>
      <c r="M205" s="11">
        <f>VLOOKUP($H205,output!$A$10:$AH$2201,M$1-$J$1+2)</f>
        <v>70.531999999999996</v>
      </c>
      <c r="N205" s="11">
        <f>VLOOKUP($H205,output!$A$10:$AH$2201,N$1-$J$1+2)</f>
        <v>71.540999999999997</v>
      </c>
      <c r="O205" s="11">
        <f>VLOOKUP($H205,output!$A$10:$AH$2201,O$1-$J$1+2)</f>
        <v>71.040000000000006</v>
      </c>
      <c r="P205" s="11">
        <f>VLOOKUP($H205,output!$A$10:$AH$2201,P$1-$J$1+2)</f>
        <v>70.62</v>
      </c>
      <c r="Q205" s="11">
        <f>VLOOKUP($H205,output!$A$10:$AH$2201,Q$1-$J$1+2)</f>
        <v>70.378</v>
      </c>
      <c r="R205" s="11">
        <f>VLOOKUP($H205,output!$A$10:$AH$2201,R$1-$J$1+2)</f>
        <v>71.182000000000002</v>
      </c>
      <c r="S205" s="11">
        <f>VLOOKUP($H205,output!$A$10:$AH$2201,S$1-$J$1+2)</f>
        <v>71.912000000000006</v>
      </c>
      <c r="T205" s="11">
        <f>VLOOKUP($H205,output!$A$10:$AH$2201,T$1-$J$1+2)</f>
        <v>72.94</v>
      </c>
      <c r="U205" s="11">
        <f>VLOOKUP($H205,output!$A$10:$AH$2201,U$1-$J$1+2)</f>
        <v>73.77</v>
      </c>
      <c r="V205" s="11">
        <f>VLOOKUP($H205,output!$A$10:$AH$2201,V$1-$J$1+2)</f>
        <v>74.572999999999993</v>
      </c>
      <c r="W205" s="11">
        <f>VLOOKUP($H205,output!$A$10:$AH$2201,W$1-$J$1+2)</f>
        <v>66.790000000000006</v>
      </c>
      <c r="X205" s="11">
        <f>VLOOKUP($H205,output!$A$10:$AH$2201,X$1-$J$1+2)</f>
        <v>67.209999999999994</v>
      </c>
      <c r="Y205" s="11">
        <f>VLOOKUP($H205,output!$A$10:$AH$2201,Y$1-$J$1+2)</f>
        <v>67.906000000000006</v>
      </c>
      <c r="Z205" s="11">
        <f>VLOOKUP($H205,output!$A$10:$AH$2201,Z$1-$J$1+2)</f>
        <v>65.453999999999994</v>
      </c>
      <c r="AA205" s="11">
        <f>VLOOKUP($H205,output!$A$10:$AH$2201,AA$1-$J$1+2)</f>
        <v>68.192999999999998</v>
      </c>
      <c r="AB205" s="11">
        <f>VLOOKUP($H205,output!$A$10:$AH$2201,AB$1-$J$1+2)</f>
        <v>65.995000000000005</v>
      </c>
      <c r="AC205" s="11">
        <f>VLOOKUP($H205,output!$A$10:$AH$2201,AC$1-$J$1+2)</f>
        <v>65.558999999999997</v>
      </c>
      <c r="AD205" s="11">
        <f>VLOOKUP($H205,output!$A$10:$AH$2201,AD$1-$J$1+2)</f>
        <v>63.436</v>
      </c>
      <c r="AE205" s="11">
        <f>VLOOKUP($H205,output!$A$10:$AH$2201,AE$1-$J$1+2)</f>
        <v>20.959</v>
      </c>
      <c r="AF205" s="11">
        <f>VLOOKUP($H205,output!$A$10:$AH$2201,AF$1-$J$1+2)</f>
        <v>25.832999999999998</v>
      </c>
      <c r="AG205" s="11">
        <f>VLOOKUP($H205,output!$A$10:$AH$2201,AG$1-$J$1+2)</f>
        <v>24.529</v>
      </c>
      <c r="AH205" s="11">
        <f>VLOOKUP($H205,output!$A$10:$AH$2201,AH$1-$J$1+2)</f>
        <v>23.5</v>
      </c>
      <c r="AI205" s="11">
        <f>VLOOKUP($H205,output!$A$10:$AH$2201,AI$1-$J$1+2)</f>
        <v>21.277999999999999</v>
      </c>
      <c r="AJ205" s="11">
        <f>VLOOKUP($H205,output!$A$10:$AH$2201,AJ$1-$J$1+2)</f>
        <v>18.937000000000001</v>
      </c>
      <c r="AK205" s="11">
        <f>VLOOKUP($H205,output!$A$10:$AH$2201,AK$1-$J$1+2)</f>
        <v>16.663</v>
      </c>
      <c r="AL205" s="11">
        <f>VLOOKUP($H205,output!$A$10:$AH$2201,AL$1-$J$1+2)</f>
        <v>0</v>
      </c>
      <c r="AM205" s="11">
        <f>VLOOKUP($H205,output!$A$10:$AH$2201,AM$1-$J$1+2)</f>
        <v>0</v>
      </c>
      <c r="AN205" s="11">
        <f>VLOOKUP($H205,output!$A$10:$AH$2201,AN$1-$J$1+2)</f>
        <v>0</v>
      </c>
      <c r="AO205" s="11">
        <f>VLOOKUP($H205,output!$A$10:$AH$2201,AO$1-$J$1+2)</f>
        <v>0</v>
      </c>
      <c r="AP205" s="11">
        <f>VLOOKUP($H205,output!$A$10:$AH$2201,AP$1-$J$1+2)</f>
        <v>0</v>
      </c>
    </row>
    <row r="206" spans="8:42" x14ac:dyDescent="0.25">
      <c r="H206" t="s">
        <v>87</v>
      </c>
      <c r="J206" s="11">
        <f>VLOOKUP($H206,output!$A$10:$AH$2201,J$1-$J$1+2)</f>
        <v>0</v>
      </c>
      <c r="K206" s="11">
        <f>VLOOKUP($H206,output!$A$10:$AH$2201,K$1-$J$1+2)</f>
        <v>13.28</v>
      </c>
      <c r="L206" s="11">
        <f>VLOOKUP($H206,output!$A$10:$AH$2201,L$1-$J$1+2)</f>
        <v>12.215999999999999</v>
      </c>
      <c r="M206" s="11">
        <f>VLOOKUP($H206,output!$A$10:$AH$2201,M$1-$J$1+2)</f>
        <v>12.208</v>
      </c>
      <c r="N206" s="11">
        <f>VLOOKUP($H206,output!$A$10:$AH$2201,N$1-$J$1+2)</f>
        <v>10.824999999999999</v>
      </c>
      <c r="O206" s="11">
        <f>VLOOKUP($H206,output!$A$10:$AH$2201,O$1-$J$1+2)</f>
        <v>10.084</v>
      </c>
      <c r="P206" s="11">
        <f>VLOOKUP($H206,output!$A$10:$AH$2201,P$1-$J$1+2)</f>
        <v>8.7729999999999997</v>
      </c>
      <c r="Q206" s="11">
        <f>VLOOKUP($H206,output!$A$10:$AH$2201,Q$1-$J$1+2)</f>
        <v>7.2469999999999999</v>
      </c>
      <c r="R206" s="11">
        <f>VLOOKUP($H206,output!$A$10:$AH$2201,R$1-$J$1+2)</f>
        <v>5.8620000000000001</v>
      </c>
      <c r="S206" s="11">
        <f>VLOOKUP($H206,output!$A$10:$AH$2201,S$1-$J$1+2)</f>
        <v>5.26</v>
      </c>
      <c r="T206" s="11">
        <f>VLOOKUP($H206,output!$A$10:$AH$2201,T$1-$J$1+2)</f>
        <v>4.5590000000000002</v>
      </c>
      <c r="U206" s="11">
        <f>VLOOKUP($H206,output!$A$10:$AH$2201,U$1-$J$1+2)</f>
        <v>4.0730000000000004</v>
      </c>
      <c r="V206" s="11">
        <f>VLOOKUP($H206,output!$A$10:$AH$2201,V$1-$J$1+2)</f>
        <v>3.7410000000000001</v>
      </c>
      <c r="W206" s="11">
        <f>VLOOKUP($H206,output!$A$10:$AH$2201,W$1-$J$1+2)</f>
        <v>3.5</v>
      </c>
      <c r="X206" s="11">
        <f>VLOOKUP($H206,output!$A$10:$AH$2201,X$1-$J$1+2)</f>
        <v>3.3250000000000002</v>
      </c>
      <c r="Y206" s="11">
        <f>VLOOKUP($H206,output!$A$10:$AH$2201,Y$1-$J$1+2)</f>
        <v>3.2229999999999999</v>
      </c>
      <c r="Z206" s="11">
        <f>VLOOKUP($H206,output!$A$10:$AH$2201,Z$1-$J$1+2)</f>
        <v>3.1579999999999999</v>
      </c>
      <c r="AA206" s="11">
        <f>VLOOKUP($H206,output!$A$10:$AH$2201,AA$1-$J$1+2)</f>
        <v>3.1259999999999999</v>
      </c>
      <c r="AB206" s="11">
        <f>VLOOKUP($H206,output!$A$10:$AH$2201,AB$1-$J$1+2)</f>
        <v>3.1259999999999999</v>
      </c>
      <c r="AC206" s="11">
        <f>VLOOKUP($H206,output!$A$10:$AH$2201,AC$1-$J$1+2)</f>
        <v>3.1120000000000001</v>
      </c>
      <c r="AD206" s="11">
        <f>VLOOKUP($H206,output!$A$10:$AH$2201,AD$1-$J$1+2)</f>
        <v>3.1030000000000002</v>
      </c>
      <c r="AE206" s="11">
        <f>VLOOKUP($H206,output!$A$10:$AH$2201,AE$1-$J$1+2)</f>
        <v>8.4610000000000003</v>
      </c>
      <c r="AF206" s="11">
        <f>VLOOKUP($H206,output!$A$10:$AH$2201,AF$1-$J$1+2)</f>
        <v>3.09</v>
      </c>
      <c r="AG206" s="11">
        <f>VLOOKUP($H206,output!$A$10:$AH$2201,AG$1-$J$1+2)</f>
        <v>11.618</v>
      </c>
      <c r="AH206" s="11">
        <f>VLOOKUP($H206,output!$A$10:$AH$2201,AH$1-$J$1+2)</f>
        <v>8.5630000000000006</v>
      </c>
      <c r="AI206" s="11">
        <f>VLOOKUP($H206,output!$A$10:$AH$2201,AI$1-$J$1+2)</f>
        <v>15.086</v>
      </c>
      <c r="AJ206" s="11">
        <f>VLOOKUP($H206,output!$A$10:$AH$2201,AJ$1-$J$1+2)</f>
        <v>22.454000000000001</v>
      </c>
      <c r="AK206" s="11">
        <f>VLOOKUP($H206,output!$A$10:$AH$2201,AK$1-$J$1+2)</f>
        <v>29.202999999999999</v>
      </c>
      <c r="AL206" s="11">
        <f>VLOOKUP($H206,output!$A$10:$AH$2201,AL$1-$J$1+2)</f>
        <v>0</v>
      </c>
      <c r="AM206" s="11">
        <f>VLOOKUP($H206,output!$A$10:$AH$2201,AM$1-$J$1+2)</f>
        <v>0</v>
      </c>
      <c r="AN206" s="11">
        <f>VLOOKUP($H206,output!$A$10:$AH$2201,AN$1-$J$1+2)</f>
        <v>0</v>
      </c>
      <c r="AO206" s="11">
        <f>VLOOKUP($H206,output!$A$10:$AH$2201,AO$1-$J$1+2)</f>
        <v>0</v>
      </c>
      <c r="AP206" s="11">
        <f>VLOOKUP($H206,output!$A$10:$AH$2201,AP$1-$J$1+2)</f>
        <v>0</v>
      </c>
    </row>
    <row r="207" spans="8:42" x14ac:dyDescent="0.25">
      <c r="H207" t="s">
        <v>88</v>
      </c>
      <c r="J207" s="11">
        <f>VLOOKUP($H207,output!$A$10:$AH$2201,J$1-$J$1+2)</f>
        <v>0</v>
      </c>
      <c r="K207" s="11">
        <f>VLOOKUP($H207,output!$A$10:$AH$2201,K$1-$J$1+2)</f>
        <v>13.28</v>
      </c>
      <c r="L207" s="11">
        <f>VLOOKUP($H207,output!$A$10:$AH$2201,L$1-$J$1+2)</f>
        <v>12.215999999999999</v>
      </c>
      <c r="M207" s="11">
        <f>VLOOKUP($H207,output!$A$10:$AH$2201,M$1-$J$1+2)</f>
        <v>12.208</v>
      </c>
      <c r="N207" s="11">
        <f>VLOOKUP($H207,output!$A$10:$AH$2201,N$1-$J$1+2)</f>
        <v>10.824999999999999</v>
      </c>
      <c r="O207" s="11">
        <f>VLOOKUP($H207,output!$A$10:$AH$2201,O$1-$J$1+2)</f>
        <v>10.084</v>
      </c>
      <c r="P207" s="11">
        <f>VLOOKUP($H207,output!$A$10:$AH$2201,P$1-$J$1+2)</f>
        <v>8.7729999999999997</v>
      </c>
      <c r="Q207" s="11">
        <f>VLOOKUP($H207,output!$A$10:$AH$2201,Q$1-$J$1+2)</f>
        <v>7.2469999999999999</v>
      </c>
      <c r="R207" s="11">
        <f>VLOOKUP($H207,output!$A$10:$AH$2201,R$1-$J$1+2)</f>
        <v>5.8620000000000001</v>
      </c>
      <c r="S207" s="11">
        <f>VLOOKUP($H207,output!$A$10:$AH$2201,S$1-$J$1+2)</f>
        <v>5.26</v>
      </c>
      <c r="T207" s="11">
        <f>VLOOKUP($H207,output!$A$10:$AH$2201,T$1-$J$1+2)</f>
        <v>4.5590000000000002</v>
      </c>
      <c r="U207" s="11">
        <f>VLOOKUP($H207,output!$A$10:$AH$2201,U$1-$J$1+2)</f>
        <v>4.0730000000000004</v>
      </c>
      <c r="V207" s="11">
        <f>VLOOKUP($H207,output!$A$10:$AH$2201,V$1-$J$1+2)</f>
        <v>3.7410000000000001</v>
      </c>
      <c r="W207" s="11">
        <f>VLOOKUP($H207,output!$A$10:$AH$2201,W$1-$J$1+2)</f>
        <v>3.5</v>
      </c>
      <c r="X207" s="11">
        <f>VLOOKUP($H207,output!$A$10:$AH$2201,X$1-$J$1+2)</f>
        <v>3.3250000000000002</v>
      </c>
      <c r="Y207" s="11">
        <f>VLOOKUP($H207,output!$A$10:$AH$2201,Y$1-$J$1+2)</f>
        <v>3.2229999999999999</v>
      </c>
      <c r="Z207" s="11">
        <f>VLOOKUP($H207,output!$A$10:$AH$2201,Z$1-$J$1+2)</f>
        <v>3.1579999999999999</v>
      </c>
      <c r="AA207" s="11">
        <f>VLOOKUP($H207,output!$A$10:$AH$2201,AA$1-$J$1+2)</f>
        <v>3.1259999999999999</v>
      </c>
      <c r="AB207" s="11">
        <f>VLOOKUP($H207,output!$A$10:$AH$2201,AB$1-$J$1+2)</f>
        <v>3.1259999999999999</v>
      </c>
      <c r="AC207" s="11">
        <f>VLOOKUP($H207,output!$A$10:$AH$2201,AC$1-$J$1+2)</f>
        <v>3.1120000000000001</v>
      </c>
      <c r="AD207" s="11">
        <f>VLOOKUP($H207,output!$A$10:$AH$2201,AD$1-$J$1+2)</f>
        <v>3.1030000000000002</v>
      </c>
      <c r="AE207" s="11">
        <f>VLOOKUP($H207,output!$A$10:$AH$2201,AE$1-$J$1+2)</f>
        <v>8.4610000000000003</v>
      </c>
      <c r="AF207" s="11">
        <f>VLOOKUP($H207,output!$A$10:$AH$2201,AF$1-$J$1+2)</f>
        <v>3.09</v>
      </c>
      <c r="AG207" s="11">
        <f>VLOOKUP($H207,output!$A$10:$AH$2201,AG$1-$J$1+2)</f>
        <v>11.618</v>
      </c>
      <c r="AH207" s="11">
        <f>VLOOKUP($H207,output!$A$10:$AH$2201,AH$1-$J$1+2)</f>
        <v>8.5630000000000006</v>
      </c>
      <c r="AI207" s="11">
        <f>VLOOKUP($H207,output!$A$10:$AH$2201,AI$1-$J$1+2)</f>
        <v>15.086</v>
      </c>
      <c r="AJ207" s="11">
        <f>VLOOKUP($H207,output!$A$10:$AH$2201,AJ$1-$J$1+2)</f>
        <v>22.454000000000001</v>
      </c>
      <c r="AK207" s="11">
        <f>VLOOKUP($H207,output!$A$10:$AH$2201,AK$1-$J$1+2)</f>
        <v>29.202999999999999</v>
      </c>
      <c r="AL207" s="11">
        <f>VLOOKUP($H207,output!$A$10:$AH$2201,AL$1-$J$1+2)</f>
        <v>0</v>
      </c>
      <c r="AM207" s="11">
        <f>VLOOKUP($H207,output!$A$10:$AH$2201,AM$1-$J$1+2)</f>
        <v>0</v>
      </c>
      <c r="AN207" s="11">
        <f>VLOOKUP($H207,output!$A$10:$AH$2201,AN$1-$J$1+2)</f>
        <v>0</v>
      </c>
      <c r="AO207" s="11">
        <f>VLOOKUP($H207,output!$A$10:$AH$2201,AO$1-$J$1+2)</f>
        <v>0</v>
      </c>
      <c r="AP207" s="11">
        <f>VLOOKUP($H207,output!$A$10:$AH$2201,AP$1-$J$1+2)</f>
        <v>0</v>
      </c>
    </row>
    <row r="208" spans="8:42" x14ac:dyDescent="0.25">
      <c r="H208" t="s">
        <v>89</v>
      </c>
      <c r="J208" s="11">
        <f>VLOOKUP($H208,output!$A$10:$AH$2201,J$1-$J$1+2)</f>
        <v>0</v>
      </c>
      <c r="K208" s="11">
        <f>VLOOKUP($H208,output!$A$10:$AH$2201,K$1-$J$1+2)</f>
        <v>261.166</v>
      </c>
      <c r="L208" s="11">
        <f>VLOOKUP($H208,output!$A$10:$AH$2201,L$1-$J$1+2)</f>
        <v>331.58800000000002</v>
      </c>
      <c r="M208" s="11">
        <f>VLOOKUP($H208,output!$A$10:$AH$2201,M$1-$J$1+2)</f>
        <v>324.14</v>
      </c>
      <c r="N208" s="11">
        <f>VLOOKUP($H208,output!$A$10:$AH$2201,N$1-$J$1+2)</f>
        <v>291.32299999999998</v>
      </c>
      <c r="O208" s="11">
        <f>VLOOKUP($H208,output!$A$10:$AH$2201,O$1-$J$1+2)</f>
        <v>284.33</v>
      </c>
      <c r="P208" s="11">
        <f>VLOOKUP($H208,output!$A$10:$AH$2201,P$1-$J$1+2)</f>
        <v>277.99400000000003</v>
      </c>
      <c r="Q208" s="11">
        <f>VLOOKUP($H208,output!$A$10:$AH$2201,Q$1-$J$1+2)</f>
        <v>273.75299999999999</v>
      </c>
      <c r="R208" s="11">
        <f>VLOOKUP($H208,output!$A$10:$AH$2201,R$1-$J$1+2)</f>
        <v>267.31700000000001</v>
      </c>
      <c r="S208" s="11">
        <f>VLOOKUP($H208,output!$A$10:$AH$2201,S$1-$J$1+2)</f>
        <v>258.89600000000002</v>
      </c>
      <c r="T208" s="11">
        <f>VLOOKUP($H208,output!$A$10:$AH$2201,T$1-$J$1+2)</f>
        <v>253.345</v>
      </c>
      <c r="U208" s="11">
        <f>VLOOKUP($H208,output!$A$10:$AH$2201,U$1-$J$1+2)</f>
        <v>247.51</v>
      </c>
      <c r="V208" s="11">
        <f>VLOOKUP($H208,output!$A$10:$AH$2201,V$1-$J$1+2)</f>
        <v>240.07300000000001</v>
      </c>
      <c r="W208" s="11">
        <f>VLOOKUP($H208,output!$A$10:$AH$2201,W$1-$J$1+2)</f>
        <v>182.047</v>
      </c>
      <c r="X208" s="11">
        <f>VLOOKUP($H208,output!$A$10:$AH$2201,X$1-$J$1+2)</f>
        <v>176.76599999999999</v>
      </c>
      <c r="Y208" s="11">
        <f>VLOOKUP($H208,output!$A$10:$AH$2201,Y$1-$J$1+2)</f>
        <v>170.642</v>
      </c>
      <c r="Z208" s="11">
        <f>VLOOKUP($H208,output!$A$10:$AH$2201,Z$1-$J$1+2)</f>
        <v>127.032</v>
      </c>
      <c r="AA208" s="11">
        <f>VLOOKUP($H208,output!$A$10:$AH$2201,AA$1-$J$1+2)</f>
        <v>153.65299999999999</v>
      </c>
      <c r="AB208" s="11">
        <f>VLOOKUP($H208,output!$A$10:$AH$2201,AB$1-$J$1+2)</f>
        <v>125.184</v>
      </c>
      <c r="AC208" s="11">
        <f>VLOOKUP($H208,output!$A$10:$AH$2201,AC$1-$J$1+2)</f>
        <v>120.108</v>
      </c>
      <c r="AD208" s="11">
        <f>VLOOKUP($H208,output!$A$10:$AH$2201,AD$1-$J$1+2)</f>
        <v>97.206999999999994</v>
      </c>
      <c r="AE208" s="11">
        <f>VLOOKUP($H208,output!$A$10:$AH$2201,AE$1-$J$1+2)</f>
        <v>73.783000000000001</v>
      </c>
      <c r="AF208" s="11">
        <f>VLOOKUP($H208,output!$A$10:$AH$2201,AF$1-$J$1+2)</f>
        <v>53.779000000000003</v>
      </c>
      <c r="AG208" s="11">
        <f>VLOOKUP($H208,output!$A$10:$AH$2201,AG$1-$J$1+2)</f>
        <v>72.322000000000003</v>
      </c>
      <c r="AH208" s="11">
        <f>VLOOKUP($H208,output!$A$10:$AH$2201,AH$1-$J$1+2)</f>
        <v>51.912999999999997</v>
      </c>
      <c r="AI208" s="11">
        <f>VLOOKUP($H208,output!$A$10:$AH$2201,AI$1-$J$1+2)</f>
        <v>53.338999999999999</v>
      </c>
      <c r="AJ208" s="11">
        <f>VLOOKUP($H208,output!$A$10:$AH$2201,AJ$1-$J$1+2)</f>
        <v>55.615000000000002</v>
      </c>
      <c r="AK208" s="11">
        <f>VLOOKUP($H208,output!$A$10:$AH$2201,AK$1-$J$1+2)</f>
        <v>56.575000000000003</v>
      </c>
      <c r="AL208" s="11">
        <f>VLOOKUP($H208,output!$A$10:$AH$2201,AL$1-$J$1+2)</f>
        <v>0</v>
      </c>
      <c r="AM208" s="11">
        <f>VLOOKUP($H208,output!$A$10:$AH$2201,AM$1-$J$1+2)</f>
        <v>0</v>
      </c>
      <c r="AN208" s="11">
        <f>VLOOKUP($H208,output!$A$10:$AH$2201,AN$1-$J$1+2)</f>
        <v>0</v>
      </c>
      <c r="AO208" s="11">
        <f>VLOOKUP($H208,output!$A$10:$AH$2201,AO$1-$J$1+2)</f>
        <v>0</v>
      </c>
      <c r="AP208" s="11">
        <f>VLOOKUP($H208,output!$A$10:$AH$2201,AP$1-$J$1+2)</f>
        <v>0</v>
      </c>
    </row>
    <row r="209" spans="8:42" x14ac:dyDescent="0.25">
      <c r="H209" t="s">
        <v>103</v>
      </c>
      <c r="J209" s="11">
        <f>VLOOKUP($H209,output!$A$10:$AH$2201,J$1-$J$1+2)</f>
        <v>0</v>
      </c>
      <c r="K209" s="11">
        <f>VLOOKUP($H209,output!$A$10:$AH$2201,K$1-$J$1+2)</f>
        <v>261.166</v>
      </c>
      <c r="L209" s="11">
        <f>VLOOKUP($H209,output!$A$10:$AH$2201,L$1-$J$1+2)</f>
        <v>331.58800000000002</v>
      </c>
      <c r="M209" s="11">
        <f>VLOOKUP($H209,output!$A$10:$AH$2201,M$1-$J$1+2)</f>
        <v>324.14</v>
      </c>
      <c r="N209" s="11">
        <f>VLOOKUP($H209,output!$A$10:$AH$2201,N$1-$J$1+2)</f>
        <v>291.32299999999998</v>
      </c>
      <c r="O209" s="11">
        <f>VLOOKUP($H209,output!$A$10:$AH$2201,O$1-$J$1+2)</f>
        <v>284.33</v>
      </c>
      <c r="P209" s="11">
        <f>VLOOKUP($H209,output!$A$10:$AH$2201,P$1-$J$1+2)</f>
        <v>277.99400000000003</v>
      </c>
      <c r="Q209" s="11">
        <f>VLOOKUP($H209,output!$A$10:$AH$2201,Q$1-$J$1+2)</f>
        <v>273.75299999999999</v>
      </c>
      <c r="R209" s="11">
        <f>VLOOKUP($H209,output!$A$10:$AH$2201,R$1-$J$1+2)</f>
        <v>267.31700000000001</v>
      </c>
      <c r="S209" s="11">
        <f>VLOOKUP($H209,output!$A$10:$AH$2201,S$1-$J$1+2)</f>
        <v>258.89600000000002</v>
      </c>
      <c r="T209" s="11">
        <f>VLOOKUP($H209,output!$A$10:$AH$2201,T$1-$J$1+2)</f>
        <v>253.345</v>
      </c>
      <c r="U209" s="11">
        <f>VLOOKUP($H209,output!$A$10:$AH$2201,U$1-$J$1+2)</f>
        <v>247.51</v>
      </c>
      <c r="V209" s="11">
        <f>VLOOKUP($H209,output!$A$10:$AH$2201,V$1-$J$1+2)</f>
        <v>240.07300000000001</v>
      </c>
      <c r="W209" s="11">
        <f>VLOOKUP($H209,output!$A$10:$AH$2201,W$1-$J$1+2)</f>
        <v>182.047</v>
      </c>
      <c r="X209" s="11">
        <f>VLOOKUP($H209,output!$A$10:$AH$2201,X$1-$J$1+2)</f>
        <v>176.76599999999999</v>
      </c>
      <c r="Y209" s="11">
        <f>VLOOKUP($H209,output!$A$10:$AH$2201,Y$1-$J$1+2)</f>
        <v>170.642</v>
      </c>
      <c r="Z209" s="11">
        <f>VLOOKUP($H209,output!$A$10:$AH$2201,Z$1-$J$1+2)</f>
        <v>127.032</v>
      </c>
      <c r="AA209" s="11">
        <f>VLOOKUP($H209,output!$A$10:$AH$2201,AA$1-$J$1+2)</f>
        <v>153.65299999999999</v>
      </c>
      <c r="AB209" s="11">
        <f>VLOOKUP($H209,output!$A$10:$AH$2201,AB$1-$J$1+2)</f>
        <v>125.184</v>
      </c>
      <c r="AC209" s="11">
        <f>VLOOKUP($H209,output!$A$10:$AH$2201,AC$1-$J$1+2)</f>
        <v>120.108</v>
      </c>
      <c r="AD209" s="11">
        <f>VLOOKUP($H209,output!$A$10:$AH$2201,AD$1-$J$1+2)</f>
        <v>97.206999999999994</v>
      </c>
      <c r="AE209" s="11">
        <f>VLOOKUP($H209,output!$A$10:$AH$2201,AE$1-$J$1+2)</f>
        <v>73.783000000000001</v>
      </c>
      <c r="AF209" s="11">
        <f>VLOOKUP($H209,output!$A$10:$AH$2201,AF$1-$J$1+2)</f>
        <v>53.779000000000003</v>
      </c>
      <c r="AG209" s="11">
        <f>VLOOKUP($H209,output!$A$10:$AH$2201,AG$1-$J$1+2)</f>
        <v>72.322000000000003</v>
      </c>
      <c r="AH209" s="11">
        <f>VLOOKUP($H209,output!$A$10:$AH$2201,AH$1-$J$1+2)</f>
        <v>51.912999999999997</v>
      </c>
      <c r="AI209" s="11">
        <f>VLOOKUP($H209,output!$A$10:$AH$2201,AI$1-$J$1+2)</f>
        <v>53.338999999999999</v>
      </c>
      <c r="AJ209" s="11">
        <f>VLOOKUP($H209,output!$A$10:$AH$2201,AJ$1-$J$1+2)</f>
        <v>55.615000000000002</v>
      </c>
      <c r="AK209" s="11">
        <f>VLOOKUP($H209,output!$A$10:$AH$2201,AK$1-$J$1+2)</f>
        <v>56.575000000000003</v>
      </c>
      <c r="AL209" s="11">
        <f>VLOOKUP($H209,output!$A$10:$AH$2201,AL$1-$J$1+2)</f>
        <v>0</v>
      </c>
      <c r="AM209" s="11">
        <f>VLOOKUP($H209,output!$A$10:$AH$2201,AM$1-$J$1+2)</f>
        <v>0</v>
      </c>
      <c r="AN209" s="11">
        <f>VLOOKUP($H209,output!$A$10:$AH$2201,AN$1-$J$1+2)</f>
        <v>0</v>
      </c>
      <c r="AO209" s="11">
        <f>VLOOKUP($H209,output!$A$10:$AH$2201,AO$1-$J$1+2)</f>
        <v>0</v>
      </c>
      <c r="AP209" s="11">
        <f>VLOOKUP($H209,output!$A$10:$AH$2201,AP$1-$J$1+2)</f>
        <v>0</v>
      </c>
    </row>
    <row r="210" spans="8:42" x14ac:dyDescent="0.25">
      <c r="H210" t="s">
        <v>90</v>
      </c>
      <c r="J210" s="11">
        <f>VLOOKUP($H210,output!$A$10:$AH$2201,J$1-$J$1+2)</f>
        <v>0</v>
      </c>
      <c r="K210" s="11">
        <f>VLOOKUP($H210,output!$A$10:$AH$2201,K$1-$J$1+2)</f>
        <v>261.166</v>
      </c>
      <c r="L210" s="11">
        <f>VLOOKUP($H210,output!$A$10:$AH$2201,L$1-$J$1+2)</f>
        <v>331.58800000000002</v>
      </c>
      <c r="M210" s="11">
        <f>VLOOKUP($H210,output!$A$10:$AH$2201,M$1-$J$1+2)</f>
        <v>324.14</v>
      </c>
      <c r="N210" s="11">
        <f>VLOOKUP($H210,output!$A$10:$AH$2201,N$1-$J$1+2)</f>
        <v>291.32299999999998</v>
      </c>
      <c r="O210" s="11">
        <f>VLOOKUP($H210,output!$A$10:$AH$2201,O$1-$J$1+2)</f>
        <v>284.33</v>
      </c>
      <c r="P210" s="11">
        <f>VLOOKUP($H210,output!$A$10:$AH$2201,P$1-$J$1+2)</f>
        <v>277.99400000000003</v>
      </c>
      <c r="Q210" s="11">
        <f>VLOOKUP($H210,output!$A$10:$AH$2201,Q$1-$J$1+2)</f>
        <v>273.75299999999999</v>
      </c>
      <c r="R210" s="11">
        <f>VLOOKUP($H210,output!$A$10:$AH$2201,R$1-$J$1+2)</f>
        <v>267.31700000000001</v>
      </c>
      <c r="S210" s="11">
        <f>VLOOKUP($H210,output!$A$10:$AH$2201,S$1-$J$1+2)</f>
        <v>258.89600000000002</v>
      </c>
      <c r="T210" s="11">
        <f>VLOOKUP($H210,output!$A$10:$AH$2201,T$1-$J$1+2)</f>
        <v>253.345</v>
      </c>
      <c r="U210" s="11">
        <f>VLOOKUP($H210,output!$A$10:$AH$2201,U$1-$J$1+2)</f>
        <v>247.51</v>
      </c>
      <c r="V210" s="11">
        <f>VLOOKUP($H210,output!$A$10:$AH$2201,V$1-$J$1+2)</f>
        <v>240.07300000000001</v>
      </c>
      <c r="W210" s="11">
        <f>VLOOKUP($H210,output!$A$10:$AH$2201,W$1-$J$1+2)</f>
        <v>182.047</v>
      </c>
      <c r="X210" s="11">
        <f>VLOOKUP($H210,output!$A$10:$AH$2201,X$1-$J$1+2)</f>
        <v>176.76599999999999</v>
      </c>
      <c r="Y210" s="11">
        <f>VLOOKUP($H210,output!$A$10:$AH$2201,Y$1-$J$1+2)</f>
        <v>170.642</v>
      </c>
      <c r="Z210" s="11">
        <f>VLOOKUP($H210,output!$A$10:$AH$2201,Z$1-$J$1+2)</f>
        <v>127.032</v>
      </c>
      <c r="AA210" s="11">
        <f>VLOOKUP($H210,output!$A$10:$AH$2201,AA$1-$J$1+2)</f>
        <v>153.65299999999999</v>
      </c>
      <c r="AB210" s="11">
        <f>VLOOKUP($H210,output!$A$10:$AH$2201,AB$1-$J$1+2)</f>
        <v>125.184</v>
      </c>
      <c r="AC210" s="11">
        <f>VLOOKUP($H210,output!$A$10:$AH$2201,AC$1-$J$1+2)</f>
        <v>120.108</v>
      </c>
      <c r="AD210" s="11">
        <f>VLOOKUP($H210,output!$A$10:$AH$2201,AD$1-$J$1+2)</f>
        <v>97.206999999999994</v>
      </c>
      <c r="AE210" s="11">
        <f>VLOOKUP($H210,output!$A$10:$AH$2201,AE$1-$J$1+2)</f>
        <v>73.783000000000001</v>
      </c>
      <c r="AF210" s="11">
        <f>VLOOKUP($H210,output!$A$10:$AH$2201,AF$1-$J$1+2)</f>
        <v>53.779000000000003</v>
      </c>
      <c r="AG210" s="11">
        <f>VLOOKUP($H210,output!$A$10:$AH$2201,AG$1-$J$1+2)</f>
        <v>72.322000000000003</v>
      </c>
      <c r="AH210" s="11">
        <f>VLOOKUP($H210,output!$A$10:$AH$2201,AH$1-$J$1+2)</f>
        <v>51.912999999999997</v>
      </c>
      <c r="AI210" s="11">
        <f>VLOOKUP($H210,output!$A$10:$AH$2201,AI$1-$J$1+2)</f>
        <v>53.338999999999999</v>
      </c>
      <c r="AJ210" s="11">
        <f>VLOOKUP($H210,output!$A$10:$AH$2201,AJ$1-$J$1+2)</f>
        <v>55.615000000000002</v>
      </c>
      <c r="AK210" s="11">
        <f>VLOOKUP($H210,output!$A$10:$AH$2201,AK$1-$J$1+2)</f>
        <v>56.575000000000003</v>
      </c>
      <c r="AL210" s="11">
        <f>VLOOKUP($H210,output!$A$10:$AH$2201,AL$1-$J$1+2)</f>
        <v>0</v>
      </c>
      <c r="AM210" s="11">
        <f>VLOOKUP($H210,output!$A$10:$AH$2201,AM$1-$J$1+2)</f>
        <v>0</v>
      </c>
      <c r="AN210" s="11">
        <f>VLOOKUP($H210,output!$A$10:$AH$2201,AN$1-$J$1+2)</f>
        <v>0</v>
      </c>
      <c r="AO210" s="11">
        <f>VLOOKUP($H210,output!$A$10:$AH$2201,AO$1-$J$1+2)</f>
        <v>0</v>
      </c>
      <c r="AP210" s="11">
        <f>VLOOKUP($H210,output!$A$10:$AH$2201,AP$1-$J$1+2)</f>
        <v>0</v>
      </c>
    </row>
    <row r="211" spans="8:42" x14ac:dyDescent="0.25">
      <c r="H211" t="s">
        <v>91</v>
      </c>
      <c r="J211" s="11">
        <f>VLOOKUP($H211,output!$A$10:$AH$2201,J$1-$J$1+2)</f>
        <v>0</v>
      </c>
      <c r="K211" s="11">
        <f>VLOOKUP($H211,output!$A$10:$AH$2201,K$1-$J$1+2)</f>
        <v>261.166</v>
      </c>
      <c r="L211" s="11">
        <f>VLOOKUP($H211,output!$A$10:$AH$2201,L$1-$J$1+2)</f>
        <v>331.58800000000002</v>
      </c>
      <c r="M211" s="11">
        <f>VLOOKUP($H211,output!$A$10:$AH$2201,M$1-$J$1+2)</f>
        <v>324.14</v>
      </c>
      <c r="N211" s="11">
        <f>VLOOKUP($H211,output!$A$10:$AH$2201,N$1-$J$1+2)</f>
        <v>291.32299999999998</v>
      </c>
      <c r="O211" s="11">
        <f>VLOOKUP($H211,output!$A$10:$AH$2201,O$1-$J$1+2)</f>
        <v>284.33</v>
      </c>
      <c r="P211" s="11">
        <f>VLOOKUP($H211,output!$A$10:$AH$2201,P$1-$J$1+2)</f>
        <v>277.99400000000003</v>
      </c>
      <c r="Q211" s="11">
        <f>VLOOKUP($H211,output!$A$10:$AH$2201,Q$1-$J$1+2)</f>
        <v>273.75299999999999</v>
      </c>
      <c r="R211" s="11">
        <f>VLOOKUP($H211,output!$A$10:$AH$2201,R$1-$J$1+2)</f>
        <v>267.31700000000001</v>
      </c>
      <c r="S211" s="11">
        <f>VLOOKUP($H211,output!$A$10:$AH$2201,S$1-$J$1+2)</f>
        <v>258.89600000000002</v>
      </c>
      <c r="T211" s="11">
        <f>VLOOKUP($H211,output!$A$10:$AH$2201,T$1-$J$1+2)</f>
        <v>253.345</v>
      </c>
      <c r="U211" s="11">
        <f>VLOOKUP($H211,output!$A$10:$AH$2201,U$1-$J$1+2)</f>
        <v>247.51</v>
      </c>
      <c r="V211" s="11">
        <f>VLOOKUP($H211,output!$A$10:$AH$2201,V$1-$J$1+2)</f>
        <v>240.07300000000001</v>
      </c>
      <c r="W211" s="11">
        <f>VLOOKUP($H211,output!$A$10:$AH$2201,W$1-$J$1+2)</f>
        <v>182.047</v>
      </c>
      <c r="X211" s="11">
        <f>VLOOKUP($H211,output!$A$10:$AH$2201,X$1-$J$1+2)</f>
        <v>176.76599999999999</v>
      </c>
      <c r="Y211" s="11">
        <f>VLOOKUP($H211,output!$A$10:$AH$2201,Y$1-$J$1+2)</f>
        <v>170.642</v>
      </c>
      <c r="Z211" s="11">
        <f>VLOOKUP($H211,output!$A$10:$AH$2201,Z$1-$J$1+2)</f>
        <v>127.032</v>
      </c>
      <c r="AA211" s="11">
        <f>VLOOKUP($H211,output!$A$10:$AH$2201,AA$1-$J$1+2)</f>
        <v>153.65299999999999</v>
      </c>
      <c r="AB211" s="11">
        <f>VLOOKUP($H211,output!$A$10:$AH$2201,AB$1-$J$1+2)</f>
        <v>125.184</v>
      </c>
      <c r="AC211" s="11">
        <f>VLOOKUP($H211,output!$A$10:$AH$2201,AC$1-$J$1+2)</f>
        <v>120.108</v>
      </c>
      <c r="AD211" s="11">
        <f>VLOOKUP($H211,output!$A$10:$AH$2201,AD$1-$J$1+2)</f>
        <v>97.206999999999994</v>
      </c>
      <c r="AE211" s="11">
        <f>VLOOKUP($H211,output!$A$10:$AH$2201,AE$1-$J$1+2)</f>
        <v>73.783000000000001</v>
      </c>
      <c r="AF211" s="11">
        <f>VLOOKUP($H211,output!$A$10:$AH$2201,AF$1-$J$1+2)</f>
        <v>53.779000000000003</v>
      </c>
      <c r="AG211" s="11">
        <f>VLOOKUP($H211,output!$A$10:$AH$2201,AG$1-$J$1+2)</f>
        <v>72.322000000000003</v>
      </c>
      <c r="AH211" s="11">
        <f>VLOOKUP($H211,output!$A$10:$AH$2201,AH$1-$J$1+2)</f>
        <v>51.912999999999997</v>
      </c>
      <c r="AI211" s="11">
        <f>VLOOKUP($H211,output!$A$10:$AH$2201,AI$1-$J$1+2)</f>
        <v>53.338999999999999</v>
      </c>
      <c r="AJ211" s="11">
        <f>VLOOKUP($H211,output!$A$10:$AH$2201,AJ$1-$J$1+2)</f>
        <v>55.615000000000002</v>
      </c>
      <c r="AK211" s="11">
        <f>VLOOKUP($H211,output!$A$10:$AH$2201,AK$1-$J$1+2)</f>
        <v>56.575000000000003</v>
      </c>
      <c r="AL211" s="11">
        <f>VLOOKUP($H211,output!$A$10:$AH$2201,AL$1-$J$1+2)</f>
        <v>0</v>
      </c>
      <c r="AM211" s="11">
        <f>VLOOKUP($H211,output!$A$10:$AH$2201,AM$1-$J$1+2)</f>
        <v>0</v>
      </c>
      <c r="AN211" s="11">
        <f>VLOOKUP($H211,output!$A$10:$AH$2201,AN$1-$J$1+2)</f>
        <v>0</v>
      </c>
      <c r="AO211" s="11">
        <f>VLOOKUP($H211,output!$A$10:$AH$2201,AO$1-$J$1+2)</f>
        <v>0</v>
      </c>
      <c r="AP211" s="11">
        <f>VLOOKUP($H211,output!$A$10:$AH$2201,AP$1-$J$1+2)</f>
        <v>0</v>
      </c>
    </row>
    <row r="212" spans="8:42" x14ac:dyDescent="0.25">
      <c r="H212" t="s">
        <v>92</v>
      </c>
      <c r="J212" s="11">
        <f>VLOOKUP($H212,output!$A$10:$AH$2201,J$1-$J$1+2)</f>
        <v>0</v>
      </c>
      <c r="K212" s="11">
        <f>VLOOKUP($H212,output!$A$10:$AH$2201,K$1-$J$1+2)</f>
        <v>161.881</v>
      </c>
      <c r="L212" s="11">
        <f>VLOOKUP($H212,output!$A$10:$AH$2201,L$1-$J$1+2)</f>
        <v>149.1</v>
      </c>
      <c r="M212" s="11">
        <f>VLOOKUP($H212,output!$A$10:$AH$2201,M$1-$J$1+2)</f>
        <v>149.08500000000001</v>
      </c>
      <c r="N212" s="11">
        <f>VLOOKUP($H212,output!$A$10:$AH$2201,N$1-$J$1+2)</f>
        <v>150.327</v>
      </c>
      <c r="O212" s="11">
        <f>VLOOKUP($H212,output!$A$10:$AH$2201,O$1-$J$1+2)</f>
        <v>150.38200000000001</v>
      </c>
      <c r="P212" s="11">
        <f>VLOOKUP($H212,output!$A$10:$AH$2201,P$1-$J$1+2)</f>
        <v>150.565</v>
      </c>
      <c r="Q212" s="11">
        <f>VLOOKUP($H212,output!$A$10:$AH$2201,Q$1-$J$1+2)</f>
        <v>150.75800000000001</v>
      </c>
      <c r="R212" s="11">
        <f>VLOOKUP($H212,output!$A$10:$AH$2201,R$1-$J$1+2)</f>
        <v>151.251</v>
      </c>
      <c r="S212" s="11">
        <f>VLOOKUP($H212,output!$A$10:$AH$2201,S$1-$J$1+2)</f>
        <v>151.429</v>
      </c>
      <c r="T212" s="11">
        <f>VLOOKUP($H212,output!$A$10:$AH$2201,T$1-$J$1+2)</f>
        <v>151.71899999999999</v>
      </c>
      <c r="U212" s="11">
        <f>VLOOKUP($H212,output!$A$10:$AH$2201,U$1-$J$1+2)</f>
        <v>151.90600000000001</v>
      </c>
      <c r="V212" s="11">
        <f>VLOOKUP($H212,output!$A$10:$AH$2201,V$1-$J$1+2)</f>
        <v>152.11500000000001</v>
      </c>
      <c r="W212" s="11">
        <f>VLOOKUP($H212,output!$A$10:$AH$2201,W$1-$J$1+2)</f>
        <v>147.9</v>
      </c>
      <c r="X212" s="11">
        <f>VLOOKUP($H212,output!$A$10:$AH$2201,X$1-$J$1+2)</f>
        <v>148.261</v>
      </c>
      <c r="Y212" s="11">
        <f>VLOOKUP($H212,output!$A$10:$AH$2201,Y$1-$J$1+2)</f>
        <v>148.44499999999999</v>
      </c>
      <c r="Z212" s="11">
        <f>VLOOKUP($H212,output!$A$10:$AH$2201,Z$1-$J$1+2)</f>
        <v>146.87700000000001</v>
      </c>
      <c r="AA212" s="11">
        <f>VLOOKUP($H212,output!$A$10:$AH$2201,AA$1-$J$1+2)</f>
        <v>148.21700000000001</v>
      </c>
      <c r="AB212" s="11">
        <f>VLOOKUP($H212,output!$A$10:$AH$2201,AB$1-$J$1+2)</f>
        <v>146.584</v>
      </c>
      <c r="AC212" s="11">
        <f>VLOOKUP($H212,output!$A$10:$AH$2201,AC$1-$J$1+2)</f>
        <v>146.16499999999999</v>
      </c>
      <c r="AD212" s="11">
        <f>VLOOKUP($H212,output!$A$10:$AH$2201,AD$1-$J$1+2)</f>
        <v>144.851</v>
      </c>
      <c r="AE212" s="11">
        <f>VLOOKUP($H212,output!$A$10:$AH$2201,AE$1-$J$1+2)</f>
        <v>163.74299999999999</v>
      </c>
      <c r="AF212" s="11">
        <f>VLOOKUP($H212,output!$A$10:$AH$2201,AF$1-$J$1+2)</f>
        <v>150.71</v>
      </c>
      <c r="AG212" s="11">
        <f>VLOOKUP($H212,output!$A$10:$AH$2201,AG$1-$J$1+2)</f>
        <v>151.11799999999999</v>
      </c>
      <c r="AH212" s="11">
        <f>VLOOKUP($H212,output!$A$10:$AH$2201,AH$1-$J$1+2)</f>
        <v>151.05699999999999</v>
      </c>
      <c r="AI212" s="11">
        <f>VLOOKUP($H212,output!$A$10:$AH$2201,AI$1-$J$1+2)</f>
        <v>150.68199999999999</v>
      </c>
      <c r="AJ212" s="11">
        <f>VLOOKUP($H212,output!$A$10:$AH$2201,AJ$1-$J$1+2)</f>
        <v>150.46100000000001</v>
      </c>
      <c r="AK212" s="11">
        <f>VLOOKUP($H212,output!$A$10:$AH$2201,AK$1-$J$1+2)</f>
        <v>150.155</v>
      </c>
      <c r="AL212" s="11">
        <f>VLOOKUP($H212,output!$A$10:$AH$2201,AL$1-$J$1+2)</f>
        <v>0</v>
      </c>
      <c r="AM212" s="11">
        <f>VLOOKUP($H212,output!$A$10:$AH$2201,AM$1-$J$1+2)</f>
        <v>0</v>
      </c>
      <c r="AN212" s="11">
        <f>VLOOKUP($H212,output!$A$10:$AH$2201,AN$1-$J$1+2)</f>
        <v>0</v>
      </c>
      <c r="AO212" s="11">
        <f>VLOOKUP($H212,output!$A$10:$AH$2201,AO$1-$J$1+2)</f>
        <v>0</v>
      </c>
      <c r="AP212" s="11">
        <f>VLOOKUP($H212,output!$A$10:$AH$2201,AP$1-$J$1+2)</f>
        <v>0</v>
      </c>
    </row>
    <row r="213" spans="8:42" x14ac:dyDescent="0.25">
      <c r="H213" t="s">
        <v>38</v>
      </c>
      <c r="J213" s="11">
        <f>VLOOKUP($H213,output!$A$10:$AH$2201,J$1-$J$1+2)</f>
        <v>0</v>
      </c>
      <c r="K213" s="11">
        <f>VLOOKUP($H213,output!$A$10:$AH$2201,K$1-$J$1+2)</f>
        <v>161.881</v>
      </c>
      <c r="L213" s="11">
        <f>VLOOKUP($H213,output!$A$10:$AH$2201,L$1-$J$1+2)</f>
        <v>149.1</v>
      </c>
      <c r="M213" s="11">
        <f>VLOOKUP($H213,output!$A$10:$AH$2201,M$1-$J$1+2)</f>
        <v>149.08500000000001</v>
      </c>
      <c r="N213" s="11">
        <f>VLOOKUP($H213,output!$A$10:$AH$2201,N$1-$J$1+2)</f>
        <v>150.327</v>
      </c>
      <c r="O213" s="11">
        <f>VLOOKUP($H213,output!$A$10:$AH$2201,O$1-$J$1+2)</f>
        <v>150.38200000000001</v>
      </c>
      <c r="P213" s="11">
        <f>VLOOKUP($H213,output!$A$10:$AH$2201,P$1-$J$1+2)</f>
        <v>150.565</v>
      </c>
      <c r="Q213" s="11">
        <f>VLOOKUP($H213,output!$A$10:$AH$2201,Q$1-$J$1+2)</f>
        <v>150.75800000000001</v>
      </c>
      <c r="R213" s="11">
        <f>VLOOKUP($H213,output!$A$10:$AH$2201,R$1-$J$1+2)</f>
        <v>151.251</v>
      </c>
      <c r="S213" s="11">
        <f>VLOOKUP($H213,output!$A$10:$AH$2201,S$1-$J$1+2)</f>
        <v>151.429</v>
      </c>
      <c r="T213" s="11">
        <f>VLOOKUP($H213,output!$A$10:$AH$2201,T$1-$J$1+2)</f>
        <v>151.71899999999999</v>
      </c>
      <c r="U213" s="11">
        <f>VLOOKUP($H213,output!$A$10:$AH$2201,U$1-$J$1+2)</f>
        <v>151.90600000000001</v>
      </c>
      <c r="V213" s="11">
        <f>VLOOKUP($H213,output!$A$10:$AH$2201,V$1-$J$1+2)</f>
        <v>152.11500000000001</v>
      </c>
      <c r="W213" s="11">
        <f>VLOOKUP($H213,output!$A$10:$AH$2201,W$1-$J$1+2)</f>
        <v>147.9</v>
      </c>
      <c r="X213" s="11">
        <f>VLOOKUP($H213,output!$A$10:$AH$2201,X$1-$J$1+2)</f>
        <v>148.261</v>
      </c>
      <c r="Y213" s="11">
        <f>VLOOKUP($H213,output!$A$10:$AH$2201,Y$1-$J$1+2)</f>
        <v>148.44499999999999</v>
      </c>
      <c r="Z213" s="11">
        <f>VLOOKUP($H213,output!$A$10:$AH$2201,Z$1-$J$1+2)</f>
        <v>146.87700000000001</v>
      </c>
      <c r="AA213" s="11">
        <f>VLOOKUP($H213,output!$A$10:$AH$2201,AA$1-$J$1+2)</f>
        <v>148.21700000000001</v>
      </c>
      <c r="AB213" s="11">
        <f>VLOOKUP($H213,output!$A$10:$AH$2201,AB$1-$J$1+2)</f>
        <v>146.584</v>
      </c>
      <c r="AC213" s="11">
        <f>VLOOKUP($H213,output!$A$10:$AH$2201,AC$1-$J$1+2)</f>
        <v>146.16499999999999</v>
      </c>
      <c r="AD213" s="11">
        <f>VLOOKUP($H213,output!$A$10:$AH$2201,AD$1-$J$1+2)</f>
        <v>144.851</v>
      </c>
      <c r="AE213" s="11">
        <f>VLOOKUP($H213,output!$A$10:$AH$2201,AE$1-$J$1+2)</f>
        <v>163.74299999999999</v>
      </c>
      <c r="AF213" s="11">
        <f>VLOOKUP($H213,output!$A$10:$AH$2201,AF$1-$J$1+2)</f>
        <v>150.71</v>
      </c>
      <c r="AG213" s="11">
        <f>VLOOKUP($H213,output!$A$10:$AH$2201,AG$1-$J$1+2)</f>
        <v>151.11799999999999</v>
      </c>
      <c r="AH213" s="11">
        <f>VLOOKUP($H213,output!$A$10:$AH$2201,AH$1-$J$1+2)</f>
        <v>151.05699999999999</v>
      </c>
      <c r="AI213" s="11">
        <f>VLOOKUP($H213,output!$A$10:$AH$2201,AI$1-$J$1+2)</f>
        <v>150.68199999999999</v>
      </c>
      <c r="AJ213" s="11">
        <f>VLOOKUP($H213,output!$A$10:$AH$2201,AJ$1-$J$1+2)</f>
        <v>150.46100000000001</v>
      </c>
      <c r="AK213" s="11">
        <f>VLOOKUP($H213,output!$A$10:$AH$2201,AK$1-$J$1+2)</f>
        <v>150.155</v>
      </c>
      <c r="AL213" s="11">
        <f>VLOOKUP($H213,output!$A$10:$AH$2201,AL$1-$J$1+2)</f>
        <v>0</v>
      </c>
      <c r="AM213" s="11">
        <f>VLOOKUP($H213,output!$A$10:$AH$2201,AM$1-$J$1+2)</f>
        <v>0</v>
      </c>
      <c r="AN213" s="11">
        <f>VLOOKUP($H213,output!$A$10:$AH$2201,AN$1-$J$1+2)</f>
        <v>0</v>
      </c>
      <c r="AO213" s="11">
        <f>VLOOKUP($H213,output!$A$10:$AH$2201,AO$1-$J$1+2)</f>
        <v>0</v>
      </c>
      <c r="AP213" s="11">
        <f>VLOOKUP($H213,output!$A$10:$AH$2201,AP$1-$J$1+2)</f>
        <v>0</v>
      </c>
    </row>
    <row r="214" spans="8:42" x14ac:dyDescent="0.25"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</row>
    <row r="215" spans="8:42" x14ac:dyDescent="0.25">
      <c r="H215" t="s">
        <v>32</v>
      </c>
      <c r="J215" s="11">
        <f>VLOOKUP($H215,output!$A$10:$AH$2201,J$1-$J$1+2)</f>
        <v>0</v>
      </c>
      <c r="K215" s="11">
        <f>VLOOKUP($H215,output!$A$10:$AH$2201,K$1-$J$1+2)</f>
        <v>105.626</v>
      </c>
      <c r="L215" s="11">
        <f>VLOOKUP($H215,output!$A$10:$AH$2201,L$1-$J$1+2)</f>
        <v>159.85499999999999</v>
      </c>
      <c r="M215" s="11">
        <f>VLOOKUP($H215,output!$A$10:$AH$2201,M$1-$J$1+2)</f>
        <v>133.62200000000001</v>
      </c>
      <c r="N215" s="11">
        <f>VLOOKUP($H215,output!$A$10:$AH$2201,N$1-$J$1+2)</f>
        <v>143.84100000000001</v>
      </c>
      <c r="O215" s="11">
        <f>VLOOKUP($H215,output!$A$10:$AH$2201,O$1-$J$1+2)</f>
        <v>124.09</v>
      </c>
      <c r="P215" s="11">
        <f>VLOOKUP($H215,output!$A$10:$AH$2201,P$1-$J$1+2)</f>
        <v>101.407</v>
      </c>
      <c r="Q215" s="11">
        <f>VLOOKUP($H215,output!$A$10:$AH$2201,Q$1-$J$1+2)</f>
        <v>80.004999999999995</v>
      </c>
      <c r="R215" s="11">
        <f>VLOOKUP($H215,output!$A$10:$AH$2201,R$1-$J$1+2)</f>
        <v>110.98399999999999</v>
      </c>
      <c r="S215" s="11">
        <f>VLOOKUP($H215,output!$A$10:$AH$2201,S$1-$J$1+2)</f>
        <v>88.650999999999996</v>
      </c>
      <c r="T215" s="11">
        <f>VLOOKUP($H215,output!$A$10:$AH$2201,T$1-$J$1+2)</f>
        <v>96.700999999999993</v>
      </c>
      <c r="U215" s="11">
        <f>VLOOKUP($H215,output!$A$10:$AH$2201,U$1-$J$1+2)</f>
        <v>106.69</v>
      </c>
      <c r="V215" s="11">
        <f>VLOOKUP($H215,output!$A$10:$AH$2201,V$1-$J$1+2)</f>
        <v>115.774</v>
      </c>
      <c r="W215" s="11">
        <f>VLOOKUP($H215,output!$A$10:$AH$2201,W$1-$J$1+2)</f>
        <v>111.28400000000001</v>
      </c>
      <c r="X215" s="11">
        <f>VLOOKUP($H215,output!$A$10:$AH$2201,X$1-$J$1+2)</f>
        <v>125.464</v>
      </c>
      <c r="Y215" s="11">
        <f>VLOOKUP($H215,output!$A$10:$AH$2201,Y$1-$J$1+2)</f>
        <v>134.39400000000001</v>
      </c>
      <c r="Z215" s="11">
        <f>VLOOKUP($H215,output!$A$10:$AH$2201,Z$1-$J$1+2)</f>
        <v>136.726</v>
      </c>
      <c r="AA215" s="11">
        <f>VLOOKUP($H215,output!$A$10:$AH$2201,AA$1-$J$1+2)</f>
        <v>152.27799999999999</v>
      </c>
      <c r="AB215" s="11">
        <f>VLOOKUP($H215,output!$A$10:$AH$2201,AB$1-$J$1+2)</f>
        <v>144.83099999999999</v>
      </c>
      <c r="AC215" s="11">
        <f>VLOOKUP($H215,output!$A$10:$AH$2201,AC$1-$J$1+2)</f>
        <v>145.81200000000001</v>
      </c>
      <c r="AD215" s="11">
        <f>VLOOKUP($H215,output!$A$10:$AH$2201,AD$1-$J$1+2)</f>
        <v>142.875</v>
      </c>
      <c r="AE215" s="11">
        <f>VLOOKUP($H215,output!$A$10:$AH$2201,AE$1-$J$1+2)</f>
        <v>45.095999999999997</v>
      </c>
      <c r="AF215" s="11">
        <f>VLOOKUP($H215,output!$A$10:$AH$2201,AF$1-$J$1+2)</f>
        <v>56.726999999999997</v>
      </c>
      <c r="AG215" s="11">
        <f>VLOOKUP($H215,output!$A$10:$AH$2201,AG$1-$J$1+2)</f>
        <v>54.396999999999998</v>
      </c>
      <c r="AH215" s="11">
        <f>VLOOKUP($H215,output!$A$10:$AH$2201,AH$1-$J$1+2)</f>
        <v>52.470999999999997</v>
      </c>
      <c r="AI215" s="11">
        <f>VLOOKUP($H215,output!$A$10:$AH$2201,AI$1-$J$1+2)</f>
        <v>47.762999999999998</v>
      </c>
      <c r="AJ215" s="11">
        <f>VLOOKUP($H215,output!$A$10:$AH$2201,AJ$1-$J$1+2)</f>
        <v>42.679000000000002</v>
      </c>
      <c r="AK215" s="11">
        <f>VLOOKUP($H215,output!$A$10:$AH$2201,AK$1-$J$1+2)</f>
        <v>37.878999999999998</v>
      </c>
      <c r="AL215" s="11">
        <f>VLOOKUP($H215,output!$A$10:$AH$2201,AL$1-$J$1+2)</f>
        <v>0</v>
      </c>
      <c r="AM215" s="11">
        <f>VLOOKUP($H215,output!$A$10:$AH$2201,AM$1-$J$1+2)</f>
        <v>0</v>
      </c>
      <c r="AN215" s="11">
        <f>VLOOKUP($H215,output!$A$10:$AH$2201,AN$1-$J$1+2)</f>
        <v>0</v>
      </c>
      <c r="AO215" s="11">
        <f>VLOOKUP($H215,output!$A$10:$AH$2201,AO$1-$J$1+2)</f>
        <v>0</v>
      </c>
      <c r="AP215" s="11">
        <f>VLOOKUP($H215,output!$A$10:$AH$2201,AP$1-$J$1+2)</f>
        <v>0</v>
      </c>
    </row>
    <row r="216" spans="8:42" x14ac:dyDescent="0.25">
      <c r="H216" t="s">
        <v>31</v>
      </c>
      <c r="J216" s="11">
        <f>VLOOKUP($H216,output!$A$10:$AH$2201,J$1-$J$1+2)</f>
        <v>0</v>
      </c>
      <c r="K216" s="11">
        <f>VLOOKUP($H216,output!$A$10:$AH$2201,K$1-$J$1+2)</f>
        <v>737.38400000000001</v>
      </c>
      <c r="L216" s="11">
        <f>VLOOKUP($H216,output!$A$10:$AH$2201,L$1-$J$1+2)</f>
        <v>654.32299999999998</v>
      </c>
      <c r="M216" s="11">
        <f>VLOOKUP($H216,output!$A$10:$AH$2201,M$1-$J$1+2)</f>
        <v>613.87800000000004</v>
      </c>
      <c r="N216" s="11">
        <f>VLOOKUP($H216,output!$A$10:$AH$2201,N$1-$J$1+2)</f>
        <v>673.48400000000004</v>
      </c>
      <c r="O216" s="11">
        <f>VLOOKUP($H216,output!$A$10:$AH$2201,O$1-$J$1+2)</f>
        <v>640.39300000000003</v>
      </c>
      <c r="P216" s="11">
        <f>VLOOKUP($H216,output!$A$10:$AH$2201,P$1-$J$1+2)</f>
        <v>601.12</v>
      </c>
      <c r="Q216" s="11">
        <f>VLOOKUP($H216,output!$A$10:$AH$2201,Q$1-$J$1+2)</f>
        <v>563.495</v>
      </c>
      <c r="R216" s="11">
        <f>VLOOKUP($H216,output!$A$10:$AH$2201,R$1-$J$1+2)</f>
        <v>653.68600000000004</v>
      </c>
      <c r="S216" s="11">
        <f>VLOOKUP($H216,output!$A$10:$AH$2201,S$1-$J$1+2)</f>
        <v>611.14400000000001</v>
      </c>
      <c r="T216" s="11">
        <f>VLOOKUP($H216,output!$A$10:$AH$2201,T$1-$J$1+2)</f>
        <v>643.49900000000002</v>
      </c>
      <c r="U216" s="11">
        <f>VLOOKUP($H216,output!$A$10:$AH$2201,U$1-$J$1+2)</f>
        <v>680.94799999999998</v>
      </c>
      <c r="V216" s="11">
        <f>VLOOKUP($H216,output!$A$10:$AH$2201,V$1-$J$1+2)</f>
        <v>716.745</v>
      </c>
      <c r="W216" s="11">
        <f>VLOOKUP($H216,output!$A$10:$AH$2201,W$1-$J$1+2)</f>
        <v>596.62400000000002</v>
      </c>
      <c r="X216" s="11">
        <f>VLOOKUP($H216,output!$A$10:$AH$2201,X$1-$J$1+2)</f>
        <v>636.88400000000001</v>
      </c>
      <c r="Y216" s="11">
        <f>VLOOKUP($H216,output!$A$10:$AH$2201,Y$1-$J$1+2)</f>
        <v>656.71500000000003</v>
      </c>
      <c r="Z216" s="11">
        <f>VLOOKUP($H216,output!$A$10:$AH$2201,Z$1-$J$1+2)</f>
        <v>610.774</v>
      </c>
      <c r="AA216" s="11">
        <f>VLOOKUP($H216,output!$A$10:$AH$2201,AA$1-$J$1+2)</f>
        <v>687.846</v>
      </c>
      <c r="AB216" s="11">
        <f>VLOOKUP($H216,output!$A$10:$AH$2201,AB$1-$J$1+2)</f>
        <v>618.64300000000003</v>
      </c>
      <c r="AC216" s="11">
        <f>VLOOKUP($H216,output!$A$10:$AH$2201,AC$1-$J$1+2)</f>
        <v>613.04999999999995</v>
      </c>
      <c r="AD216" s="11">
        <f>VLOOKUP($H216,output!$A$10:$AH$2201,AD$1-$J$1+2)</f>
        <v>573.548</v>
      </c>
      <c r="AE216" s="11">
        <f>VLOOKUP($H216,output!$A$10:$AH$2201,AE$1-$J$1+2)</f>
        <v>935.62</v>
      </c>
      <c r="AF216" s="11">
        <f>VLOOKUP($H216,output!$A$10:$AH$2201,AF$1-$J$1+2)</f>
        <v>848.178</v>
      </c>
      <c r="AG216" s="11">
        <f>VLOOKUP($H216,output!$A$10:$AH$2201,AG$1-$J$1+2)</f>
        <v>837.04600000000005</v>
      </c>
      <c r="AH216" s="11">
        <f>VLOOKUP($H216,output!$A$10:$AH$2201,AH$1-$J$1+2)</f>
        <v>862.13099999999997</v>
      </c>
      <c r="AI216" s="11">
        <f>VLOOKUP($H216,output!$A$10:$AH$2201,AI$1-$J$1+2)</f>
        <v>826.197</v>
      </c>
      <c r="AJ216" s="11">
        <f>VLOOKUP($H216,output!$A$10:$AH$2201,AJ$1-$J$1+2)</f>
        <v>785.68100000000004</v>
      </c>
      <c r="AK216" s="11">
        <f>VLOOKUP($H216,output!$A$10:$AH$2201,AK$1-$J$1+2)</f>
        <v>745.76199999999994</v>
      </c>
      <c r="AL216" s="11">
        <f>VLOOKUP($H216,output!$A$10:$AH$2201,AL$1-$J$1+2)</f>
        <v>0</v>
      </c>
      <c r="AM216" s="11">
        <f>VLOOKUP($H216,output!$A$10:$AH$2201,AM$1-$J$1+2)</f>
        <v>0</v>
      </c>
      <c r="AN216" s="11">
        <f>VLOOKUP($H216,output!$A$10:$AH$2201,AN$1-$J$1+2)</f>
        <v>0</v>
      </c>
      <c r="AO216" s="11">
        <f>VLOOKUP($H216,output!$A$10:$AH$2201,AO$1-$J$1+2)</f>
        <v>0</v>
      </c>
      <c r="AP216" s="11">
        <f>VLOOKUP($H216,output!$A$10:$AH$2201,AP$1-$J$1+2)</f>
        <v>0</v>
      </c>
    </row>
    <row r="217" spans="8:42" x14ac:dyDescent="0.25">
      <c r="H217" t="s">
        <v>33</v>
      </c>
      <c r="J217" s="11">
        <f>VLOOKUP($H217,output!$A$10:$AH$2201,J$1-$J$1+2)</f>
        <v>0</v>
      </c>
      <c r="K217" s="11">
        <f>VLOOKUP($H217,output!$A$10:$AH$2201,K$1-$J$1+2)</f>
        <v>194.01900000000001</v>
      </c>
      <c r="L217" s="11">
        <f>VLOOKUP($H217,output!$A$10:$AH$2201,L$1-$J$1+2)</f>
        <v>70.945999999999998</v>
      </c>
      <c r="M217" s="11">
        <f>VLOOKUP($H217,output!$A$10:$AH$2201,M$1-$J$1+2)</f>
        <v>266.69400000000002</v>
      </c>
      <c r="N217" s="11">
        <f>VLOOKUP($H217,output!$A$10:$AH$2201,N$1-$J$1+2)</f>
        <v>196.60400000000001</v>
      </c>
      <c r="O217" s="11">
        <f>VLOOKUP($H217,output!$A$10:$AH$2201,O$1-$J$1+2)</f>
        <v>346.495</v>
      </c>
      <c r="P217" s="11">
        <f>VLOOKUP($H217,output!$A$10:$AH$2201,P$1-$J$1+2)</f>
        <v>516.37</v>
      </c>
      <c r="Q217" s="11">
        <f>VLOOKUP($H217,output!$A$10:$AH$2201,Q$1-$J$1+2)</f>
        <v>673.29899999999998</v>
      </c>
      <c r="R217" s="11">
        <f>VLOOKUP($H217,output!$A$10:$AH$2201,R$1-$J$1+2)</f>
        <v>423.09399999999999</v>
      </c>
      <c r="S217" s="11">
        <f>VLOOKUP($H217,output!$A$10:$AH$2201,S$1-$J$1+2)</f>
        <v>597.82100000000003</v>
      </c>
      <c r="T217" s="11">
        <f>VLOOKUP($H217,output!$A$10:$AH$2201,T$1-$J$1+2)</f>
        <v>532.50300000000004</v>
      </c>
      <c r="U217" s="11">
        <f>VLOOKUP($H217,output!$A$10:$AH$2201,U$1-$J$1+2)</f>
        <v>452.11500000000001</v>
      </c>
      <c r="V217" s="11">
        <f>VLOOKUP($H217,output!$A$10:$AH$2201,V$1-$J$1+2)</f>
        <v>381.79</v>
      </c>
      <c r="W217" s="11">
        <f>VLOOKUP($H217,output!$A$10:$AH$2201,W$1-$J$1+2)</f>
        <v>321.40899999999999</v>
      </c>
      <c r="X217" s="11">
        <f>VLOOKUP($H217,output!$A$10:$AH$2201,X$1-$J$1+2)</f>
        <v>221.06299999999999</v>
      </c>
      <c r="Y217" s="11">
        <f>VLOOKUP($H217,output!$A$10:$AH$2201,Y$1-$J$1+2)</f>
        <v>170.749</v>
      </c>
      <c r="Z217" s="11">
        <f>VLOOKUP($H217,output!$A$10:$AH$2201,Z$1-$J$1+2)</f>
        <v>120.506</v>
      </c>
      <c r="AA217" s="11">
        <f>VLOOKUP($H217,output!$A$10:$AH$2201,AA$1-$J$1+2)</f>
        <v>67.393000000000001</v>
      </c>
      <c r="AB217" s="11">
        <f>VLOOKUP($H217,output!$A$10:$AH$2201,AB$1-$J$1+2)</f>
        <v>98.825999999999993</v>
      </c>
      <c r="AC217" s="11">
        <f>VLOOKUP($H217,output!$A$10:$AH$2201,AC$1-$J$1+2)</f>
        <v>98.748000000000005</v>
      </c>
      <c r="AD217" s="11">
        <f>VLOOKUP($H217,output!$A$10:$AH$2201,AD$1-$J$1+2)</f>
        <v>98.75</v>
      </c>
      <c r="AE217" s="11">
        <f>VLOOKUP($H217,output!$A$10:$AH$2201,AE$1-$J$1+2)</f>
        <v>215.20500000000001</v>
      </c>
      <c r="AF217" s="11">
        <f>VLOOKUP($H217,output!$A$10:$AH$2201,AF$1-$J$1+2)</f>
        <v>98.850999999999999</v>
      </c>
      <c r="AG217" s="11">
        <f>VLOOKUP($H217,output!$A$10:$AH$2201,AG$1-$J$1+2)</f>
        <v>285.11399999999998</v>
      </c>
      <c r="AH217" s="11">
        <f>VLOOKUP($H217,output!$A$10:$AH$2201,AH$1-$J$1+2)</f>
        <v>218.958</v>
      </c>
      <c r="AI217" s="11">
        <f>VLOOKUP($H217,output!$A$10:$AH$2201,AI$1-$J$1+2)</f>
        <v>362.53699999999998</v>
      </c>
      <c r="AJ217" s="11">
        <f>VLOOKUP($H217,output!$A$10:$AH$2201,AJ$1-$J$1+2)</f>
        <v>525.41300000000001</v>
      </c>
      <c r="AK217" s="11">
        <f>VLOOKUP($H217,output!$A$10:$AH$2201,AK$1-$J$1+2)</f>
        <v>673.58699999999999</v>
      </c>
      <c r="AL217" s="11">
        <f>VLOOKUP($H217,output!$A$10:$AH$2201,AL$1-$J$1+2)</f>
        <v>0</v>
      </c>
      <c r="AM217" s="11">
        <f>VLOOKUP($H217,output!$A$10:$AH$2201,AM$1-$J$1+2)</f>
        <v>0</v>
      </c>
      <c r="AN217" s="11">
        <f>VLOOKUP($H217,output!$A$10:$AH$2201,AN$1-$J$1+2)</f>
        <v>0</v>
      </c>
      <c r="AO217" s="11">
        <f>VLOOKUP($H217,output!$A$10:$AH$2201,AO$1-$J$1+2)</f>
        <v>0</v>
      </c>
      <c r="AP217" s="11">
        <f>VLOOKUP($H217,output!$A$10:$AH$2201,AP$1-$J$1+2)</f>
        <v>0</v>
      </c>
    </row>
    <row r="218" spans="8:42" x14ac:dyDescent="0.25">
      <c r="H218" t="s">
        <v>35</v>
      </c>
      <c r="J218" s="11">
        <f>VLOOKUP($H218,output!$A$10:$AH$2201,J$1-$J$1+2)</f>
        <v>0</v>
      </c>
      <c r="K218" s="11">
        <f>VLOOKUP($H218,output!$A$10:$AH$2201,K$1-$J$1+2)</f>
        <v>608.87099999999998</v>
      </c>
      <c r="L218" s="11">
        <f>VLOOKUP($H218,output!$A$10:$AH$2201,L$1-$J$1+2)</f>
        <v>769.76099999999997</v>
      </c>
      <c r="M218" s="11">
        <f>VLOOKUP($H218,output!$A$10:$AH$2201,M$1-$J$1+2)</f>
        <v>636.90599999999995</v>
      </c>
      <c r="N218" s="11">
        <f>VLOOKUP($H218,output!$A$10:$AH$2201,N$1-$J$1+2)</f>
        <v>632.10699999999997</v>
      </c>
      <c r="O218" s="11">
        <f>VLOOKUP($H218,output!$A$10:$AH$2201,O$1-$J$1+2)</f>
        <v>531.17200000000003</v>
      </c>
      <c r="P218" s="11">
        <f>VLOOKUP($H218,output!$A$10:$AH$2201,P$1-$J$1+2)</f>
        <v>419.233</v>
      </c>
      <c r="Q218" s="11">
        <f>VLOOKUP($H218,output!$A$10:$AH$2201,Q$1-$J$1+2)</f>
        <v>317.30200000000002</v>
      </c>
      <c r="R218" s="11">
        <f>VLOOKUP($H218,output!$A$10:$AH$2201,R$1-$J$1+2)</f>
        <v>443.029</v>
      </c>
      <c r="S218" s="11">
        <f>VLOOKUP($H218,output!$A$10:$AH$2201,S$1-$J$1+2)</f>
        <v>331.30500000000001</v>
      </c>
      <c r="T218" s="11">
        <f>VLOOKUP($H218,output!$A$10:$AH$2201,T$1-$J$1+2)</f>
        <v>353.976</v>
      </c>
      <c r="U218" s="11">
        <f>VLOOKUP($H218,output!$A$10:$AH$2201,U$1-$J$1+2)</f>
        <v>384.55799999999999</v>
      </c>
      <c r="V218" s="11">
        <f>VLOOKUP($H218,output!$A$10:$AH$2201,V$1-$J$1+2)</f>
        <v>408.43200000000002</v>
      </c>
      <c r="W218" s="11">
        <f>VLOOKUP($H218,output!$A$10:$AH$2201,W$1-$J$1+2)</f>
        <v>350.42200000000003</v>
      </c>
      <c r="X218" s="11">
        <f>VLOOKUP($H218,output!$A$10:$AH$2201,X$1-$J$1+2)</f>
        <v>394.88600000000002</v>
      </c>
      <c r="Y218" s="11">
        <f>VLOOKUP($H218,output!$A$10:$AH$2201,Y$1-$J$1+2)</f>
        <v>415.048</v>
      </c>
      <c r="Z218" s="11">
        <f>VLOOKUP($H218,output!$A$10:$AH$2201,Z$1-$J$1+2)</f>
        <v>333.64</v>
      </c>
      <c r="AA218" s="11">
        <f>VLOOKUP($H218,output!$A$10:$AH$2201,AA$1-$J$1+2)</f>
        <v>448.154</v>
      </c>
      <c r="AB218" s="11">
        <f>VLOOKUP($H218,output!$A$10:$AH$2201,AB$1-$J$1+2)</f>
        <v>360.78699999999998</v>
      </c>
      <c r="AC218" s="11">
        <f>VLOOKUP($H218,output!$A$10:$AH$2201,AC$1-$J$1+2)</f>
        <v>357.05599999999998</v>
      </c>
      <c r="AD218" s="11">
        <f>VLOOKUP($H218,output!$A$10:$AH$2201,AD$1-$J$1+2)</f>
        <v>297.51900000000001</v>
      </c>
      <c r="AE218" s="11">
        <f>VLOOKUP($H218,output!$A$10:$AH$2201,AE$1-$J$1+2)</f>
        <v>225.048</v>
      </c>
      <c r="AF218" s="11">
        <f>VLOOKUP($H218,output!$A$10:$AH$2201,AF$1-$J$1+2)</f>
        <v>167.11500000000001</v>
      </c>
      <c r="AG218" s="11">
        <f>VLOOKUP($H218,output!$A$10:$AH$2201,AG$1-$J$1+2)</f>
        <v>235.55199999999999</v>
      </c>
      <c r="AH218" s="11">
        <f>VLOOKUP($H218,output!$A$10:$AH$2201,AH$1-$J$1+2)</f>
        <v>171.727</v>
      </c>
      <c r="AI218" s="11">
        <f>VLOOKUP($H218,output!$A$10:$AH$2201,AI$1-$J$1+2)</f>
        <v>182.45</v>
      </c>
      <c r="AJ218" s="11">
        <f>VLOOKUP($H218,output!$A$10:$AH$2201,AJ$1-$J$1+2)</f>
        <v>197.471</v>
      </c>
      <c r="AK218" s="11">
        <f>VLOOKUP($H218,output!$A$10:$AH$2201,AK$1-$J$1+2)</f>
        <v>209.977</v>
      </c>
      <c r="AL218" s="11">
        <f>VLOOKUP($H218,output!$A$10:$AH$2201,AL$1-$J$1+2)</f>
        <v>0</v>
      </c>
      <c r="AM218" s="11">
        <f>VLOOKUP($H218,output!$A$10:$AH$2201,AM$1-$J$1+2)</f>
        <v>0</v>
      </c>
      <c r="AN218" s="11">
        <f>VLOOKUP($H218,output!$A$10:$AH$2201,AN$1-$J$1+2)</f>
        <v>0</v>
      </c>
      <c r="AO218" s="11">
        <f>VLOOKUP($H218,output!$A$10:$AH$2201,AO$1-$J$1+2)</f>
        <v>0</v>
      </c>
      <c r="AP218" s="11">
        <f>VLOOKUP($H218,output!$A$10:$AH$2201,AP$1-$J$1+2)</f>
        <v>0</v>
      </c>
    </row>
    <row r="219" spans="8:42" x14ac:dyDescent="0.25">
      <c r="H219" t="s">
        <v>37</v>
      </c>
      <c r="J219" s="11">
        <f>VLOOKUP($H219,output!$A$10:$AH$2201,J$1-$J$1+2)</f>
        <v>0</v>
      </c>
      <c r="K219" s="11">
        <f>VLOOKUP($H219,output!$A$10:$AH$2201,K$1-$J$1+2)</f>
        <v>608.87099999999998</v>
      </c>
      <c r="L219" s="11">
        <f>VLOOKUP($H219,output!$A$10:$AH$2201,L$1-$J$1+2)</f>
        <v>769.76099999999997</v>
      </c>
      <c r="M219" s="11">
        <f>VLOOKUP($H219,output!$A$10:$AH$2201,M$1-$J$1+2)</f>
        <v>636.90599999999995</v>
      </c>
      <c r="N219" s="11">
        <f>VLOOKUP($H219,output!$A$10:$AH$2201,N$1-$J$1+2)</f>
        <v>632.10699999999997</v>
      </c>
      <c r="O219" s="11">
        <f>VLOOKUP($H219,output!$A$10:$AH$2201,O$1-$J$1+2)</f>
        <v>531.17200000000003</v>
      </c>
      <c r="P219" s="11">
        <f>VLOOKUP($H219,output!$A$10:$AH$2201,P$1-$J$1+2)</f>
        <v>419.233</v>
      </c>
      <c r="Q219" s="11">
        <f>VLOOKUP($H219,output!$A$10:$AH$2201,Q$1-$J$1+2)</f>
        <v>317.30200000000002</v>
      </c>
      <c r="R219" s="11">
        <f>VLOOKUP($H219,output!$A$10:$AH$2201,R$1-$J$1+2)</f>
        <v>443.029</v>
      </c>
      <c r="S219" s="11">
        <f>VLOOKUP($H219,output!$A$10:$AH$2201,S$1-$J$1+2)</f>
        <v>331.30500000000001</v>
      </c>
      <c r="T219" s="11">
        <f>VLOOKUP($H219,output!$A$10:$AH$2201,T$1-$J$1+2)</f>
        <v>353.976</v>
      </c>
      <c r="U219" s="11">
        <f>VLOOKUP($H219,output!$A$10:$AH$2201,U$1-$J$1+2)</f>
        <v>384.55799999999999</v>
      </c>
      <c r="V219" s="11">
        <f>VLOOKUP($H219,output!$A$10:$AH$2201,V$1-$J$1+2)</f>
        <v>408.43200000000002</v>
      </c>
      <c r="W219" s="11">
        <f>VLOOKUP($H219,output!$A$10:$AH$2201,W$1-$J$1+2)</f>
        <v>350.42200000000003</v>
      </c>
      <c r="X219" s="11">
        <f>VLOOKUP($H219,output!$A$10:$AH$2201,X$1-$J$1+2)</f>
        <v>394.88600000000002</v>
      </c>
      <c r="Y219" s="11">
        <f>VLOOKUP($H219,output!$A$10:$AH$2201,Y$1-$J$1+2)</f>
        <v>415.048</v>
      </c>
      <c r="Z219" s="11">
        <f>VLOOKUP($H219,output!$A$10:$AH$2201,Z$1-$J$1+2)</f>
        <v>333.64</v>
      </c>
      <c r="AA219" s="11">
        <f>VLOOKUP($H219,output!$A$10:$AH$2201,AA$1-$J$1+2)</f>
        <v>448.154</v>
      </c>
      <c r="AB219" s="11">
        <f>VLOOKUP($H219,output!$A$10:$AH$2201,AB$1-$J$1+2)</f>
        <v>360.78699999999998</v>
      </c>
      <c r="AC219" s="11">
        <f>VLOOKUP($H219,output!$A$10:$AH$2201,AC$1-$J$1+2)</f>
        <v>357.05599999999998</v>
      </c>
      <c r="AD219" s="11">
        <f>VLOOKUP($H219,output!$A$10:$AH$2201,AD$1-$J$1+2)</f>
        <v>297.51900000000001</v>
      </c>
      <c r="AE219" s="11">
        <f>VLOOKUP($H219,output!$A$10:$AH$2201,AE$1-$J$1+2)</f>
        <v>225.048</v>
      </c>
      <c r="AF219" s="11">
        <f>VLOOKUP($H219,output!$A$10:$AH$2201,AF$1-$J$1+2)</f>
        <v>167.11500000000001</v>
      </c>
      <c r="AG219" s="11">
        <f>VLOOKUP($H219,output!$A$10:$AH$2201,AG$1-$J$1+2)</f>
        <v>235.55199999999999</v>
      </c>
      <c r="AH219" s="11">
        <f>VLOOKUP($H219,output!$A$10:$AH$2201,AH$1-$J$1+2)</f>
        <v>171.727</v>
      </c>
      <c r="AI219" s="11">
        <f>VLOOKUP($H219,output!$A$10:$AH$2201,AI$1-$J$1+2)</f>
        <v>182.45</v>
      </c>
      <c r="AJ219" s="11">
        <f>VLOOKUP($H219,output!$A$10:$AH$2201,AJ$1-$J$1+2)</f>
        <v>197.471</v>
      </c>
      <c r="AK219" s="11">
        <f>VLOOKUP($H219,output!$A$10:$AH$2201,AK$1-$J$1+2)</f>
        <v>209.977</v>
      </c>
      <c r="AL219" s="11">
        <f>VLOOKUP($H219,output!$A$10:$AH$2201,AL$1-$J$1+2)</f>
        <v>0</v>
      </c>
      <c r="AM219" s="11">
        <f>VLOOKUP($H219,output!$A$10:$AH$2201,AM$1-$J$1+2)</f>
        <v>0</v>
      </c>
      <c r="AN219" s="11">
        <f>VLOOKUP($H219,output!$A$10:$AH$2201,AN$1-$J$1+2)</f>
        <v>0</v>
      </c>
      <c r="AO219" s="11">
        <f>VLOOKUP($H219,output!$A$10:$AH$2201,AO$1-$J$1+2)</f>
        <v>0</v>
      </c>
      <c r="AP219" s="11">
        <f>VLOOKUP($H219,output!$A$10:$AH$2201,AP$1-$J$1+2)</f>
        <v>0</v>
      </c>
    </row>
    <row r="220" spans="8:42" x14ac:dyDescent="0.25">
      <c r="H220" t="s">
        <v>38</v>
      </c>
      <c r="J220" s="11">
        <f>VLOOKUP($H220,output!$A$10:$AH$2201,J$1-$J$1+2)</f>
        <v>0</v>
      </c>
      <c r="K220" s="11">
        <f>VLOOKUP($H220,output!$A$10:$AH$2201,K$1-$J$1+2)</f>
        <v>161.881</v>
      </c>
      <c r="L220" s="11">
        <f>VLOOKUP($H220,output!$A$10:$AH$2201,L$1-$J$1+2)</f>
        <v>149.1</v>
      </c>
      <c r="M220" s="11">
        <f>VLOOKUP($H220,output!$A$10:$AH$2201,M$1-$J$1+2)</f>
        <v>149.08500000000001</v>
      </c>
      <c r="N220" s="11">
        <f>VLOOKUP($H220,output!$A$10:$AH$2201,N$1-$J$1+2)</f>
        <v>150.327</v>
      </c>
      <c r="O220" s="11">
        <f>VLOOKUP($H220,output!$A$10:$AH$2201,O$1-$J$1+2)</f>
        <v>150.38200000000001</v>
      </c>
      <c r="P220" s="11">
        <f>VLOOKUP($H220,output!$A$10:$AH$2201,P$1-$J$1+2)</f>
        <v>150.565</v>
      </c>
      <c r="Q220" s="11">
        <f>VLOOKUP($H220,output!$A$10:$AH$2201,Q$1-$J$1+2)</f>
        <v>150.75800000000001</v>
      </c>
      <c r="R220" s="11">
        <f>VLOOKUP($H220,output!$A$10:$AH$2201,R$1-$J$1+2)</f>
        <v>151.251</v>
      </c>
      <c r="S220" s="11">
        <f>VLOOKUP($H220,output!$A$10:$AH$2201,S$1-$J$1+2)</f>
        <v>151.429</v>
      </c>
      <c r="T220" s="11">
        <f>VLOOKUP($H220,output!$A$10:$AH$2201,T$1-$J$1+2)</f>
        <v>151.71899999999999</v>
      </c>
      <c r="U220" s="11">
        <f>VLOOKUP($H220,output!$A$10:$AH$2201,U$1-$J$1+2)</f>
        <v>151.90600000000001</v>
      </c>
      <c r="V220" s="11">
        <f>VLOOKUP($H220,output!$A$10:$AH$2201,V$1-$J$1+2)</f>
        <v>152.11500000000001</v>
      </c>
      <c r="W220" s="11">
        <f>VLOOKUP($H220,output!$A$10:$AH$2201,W$1-$J$1+2)</f>
        <v>147.9</v>
      </c>
      <c r="X220" s="11">
        <f>VLOOKUP($H220,output!$A$10:$AH$2201,X$1-$J$1+2)</f>
        <v>148.261</v>
      </c>
      <c r="Y220" s="11">
        <f>VLOOKUP($H220,output!$A$10:$AH$2201,Y$1-$J$1+2)</f>
        <v>148.44499999999999</v>
      </c>
      <c r="Z220" s="11">
        <f>VLOOKUP($H220,output!$A$10:$AH$2201,Z$1-$J$1+2)</f>
        <v>146.87700000000001</v>
      </c>
      <c r="AA220" s="11">
        <f>VLOOKUP($H220,output!$A$10:$AH$2201,AA$1-$J$1+2)</f>
        <v>148.21700000000001</v>
      </c>
      <c r="AB220" s="11">
        <f>VLOOKUP($H220,output!$A$10:$AH$2201,AB$1-$J$1+2)</f>
        <v>146.584</v>
      </c>
      <c r="AC220" s="11">
        <f>VLOOKUP($H220,output!$A$10:$AH$2201,AC$1-$J$1+2)</f>
        <v>146.16499999999999</v>
      </c>
      <c r="AD220" s="11">
        <f>VLOOKUP($H220,output!$A$10:$AH$2201,AD$1-$J$1+2)</f>
        <v>144.851</v>
      </c>
      <c r="AE220" s="11">
        <f>VLOOKUP($H220,output!$A$10:$AH$2201,AE$1-$J$1+2)</f>
        <v>163.74299999999999</v>
      </c>
      <c r="AF220" s="11">
        <f>VLOOKUP($H220,output!$A$10:$AH$2201,AF$1-$J$1+2)</f>
        <v>150.71</v>
      </c>
      <c r="AG220" s="11">
        <f>VLOOKUP($H220,output!$A$10:$AH$2201,AG$1-$J$1+2)</f>
        <v>151.11799999999999</v>
      </c>
      <c r="AH220" s="11">
        <f>VLOOKUP($H220,output!$A$10:$AH$2201,AH$1-$J$1+2)</f>
        <v>151.05699999999999</v>
      </c>
      <c r="AI220" s="11">
        <f>VLOOKUP($H220,output!$A$10:$AH$2201,AI$1-$J$1+2)</f>
        <v>150.68199999999999</v>
      </c>
      <c r="AJ220" s="11">
        <f>VLOOKUP($H220,output!$A$10:$AH$2201,AJ$1-$J$1+2)</f>
        <v>150.46100000000001</v>
      </c>
      <c r="AK220" s="11">
        <f>VLOOKUP($H220,output!$A$10:$AH$2201,AK$1-$J$1+2)</f>
        <v>150.155</v>
      </c>
      <c r="AL220" s="11">
        <f>VLOOKUP($H220,output!$A$10:$AH$2201,AL$1-$J$1+2)</f>
        <v>0</v>
      </c>
      <c r="AM220" s="11">
        <f>VLOOKUP($H220,output!$A$10:$AH$2201,AM$1-$J$1+2)</f>
        <v>0</v>
      </c>
      <c r="AN220" s="11">
        <f>VLOOKUP($H220,output!$A$10:$AH$2201,AN$1-$J$1+2)</f>
        <v>0</v>
      </c>
      <c r="AO220" s="11">
        <f>VLOOKUP($H220,output!$A$10:$AH$2201,AO$1-$J$1+2)</f>
        <v>0</v>
      </c>
      <c r="AP220" s="11">
        <f>VLOOKUP($H220,output!$A$10:$AH$2201,AP$1-$J$1+2)</f>
        <v>0</v>
      </c>
    </row>
    <row r="224" spans="8:42" x14ac:dyDescent="0.25">
      <c r="H224" s="2" t="s">
        <v>171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</row>
    <row r="225" spans="8:44" x14ac:dyDescent="0.25">
      <c r="H225" t="s">
        <v>158</v>
      </c>
      <c r="J225" s="11">
        <f t="shared" ref="J225:AP225" si="107">J189+J204</f>
        <v>0</v>
      </c>
      <c r="K225" s="11">
        <f t="shared" si="107"/>
        <v>321.322</v>
      </c>
      <c r="L225" s="11">
        <f t="shared" si="107"/>
        <v>446.85</v>
      </c>
      <c r="M225" s="11">
        <f t="shared" si="107"/>
        <v>415.19499999999999</v>
      </c>
      <c r="N225" s="11">
        <f t="shared" si="107"/>
        <v>455.92</v>
      </c>
      <c r="O225" s="11">
        <f t="shared" si="107"/>
        <v>429.78800000000001</v>
      </c>
      <c r="P225" s="11">
        <f t="shared" si="107"/>
        <v>399.298</v>
      </c>
      <c r="Q225" s="11">
        <f t="shared" si="107"/>
        <v>370.16200000000003</v>
      </c>
      <c r="R225" s="11">
        <f t="shared" si="107"/>
        <v>432.85</v>
      </c>
      <c r="S225" s="11">
        <f t="shared" si="107"/>
        <v>400.22700000000003</v>
      </c>
      <c r="T225" s="11">
        <f t="shared" si="107"/>
        <v>421.19299999999998</v>
      </c>
      <c r="U225" s="11">
        <f t="shared" si="107"/>
        <v>445.66700000000003</v>
      </c>
      <c r="V225" s="11">
        <f t="shared" si="107"/>
        <v>468.815</v>
      </c>
      <c r="W225" s="11">
        <f t="shared" si="107"/>
        <v>387.40199999999999</v>
      </c>
      <c r="X225" s="11">
        <f t="shared" si="107"/>
        <v>415.74200000000002</v>
      </c>
      <c r="Y225" s="11">
        <f t="shared" si="107"/>
        <v>429.72499999999997</v>
      </c>
      <c r="Z225" s="11">
        <f t="shared" si="107"/>
        <v>398.53299999999996</v>
      </c>
      <c r="AA225" s="11">
        <f t="shared" si="107"/>
        <v>451.92099999999999</v>
      </c>
      <c r="AB225" s="11">
        <f t="shared" si="107"/>
        <v>404.214</v>
      </c>
      <c r="AC225" s="11">
        <f t="shared" si="107"/>
        <v>400.43799999999999</v>
      </c>
      <c r="AD225" s="11">
        <f t="shared" si="107"/>
        <v>373.363</v>
      </c>
      <c r="AE225" s="11">
        <f t="shared" si="107"/>
        <v>600.35</v>
      </c>
      <c r="AF225" s="11">
        <f t="shared" si="107"/>
        <v>608.10599999999999</v>
      </c>
      <c r="AG225" s="11">
        <f t="shared" si="107"/>
        <v>597.33199999999999</v>
      </c>
      <c r="AH225" s="11">
        <f t="shared" si="107"/>
        <v>616.90200000000004</v>
      </c>
      <c r="AI225" s="11">
        <f t="shared" si="107"/>
        <v>589.54999999999995</v>
      </c>
      <c r="AJ225" s="11">
        <f t="shared" si="107"/>
        <v>558.75</v>
      </c>
      <c r="AK225" s="11">
        <f t="shared" si="107"/>
        <v>528.52200000000005</v>
      </c>
      <c r="AL225" s="11">
        <f t="shared" si="107"/>
        <v>0</v>
      </c>
      <c r="AM225" s="11">
        <f t="shared" si="107"/>
        <v>0</v>
      </c>
      <c r="AN225" s="11">
        <f t="shared" si="107"/>
        <v>0</v>
      </c>
      <c r="AO225" s="11">
        <f t="shared" si="107"/>
        <v>0</v>
      </c>
      <c r="AP225" s="11">
        <f t="shared" si="107"/>
        <v>0</v>
      </c>
    </row>
    <row r="226" spans="8:44" x14ac:dyDescent="0.25">
      <c r="H226" t="s">
        <v>159</v>
      </c>
      <c r="J226" s="11" t="e">
        <f>J190+#REF!</f>
        <v>#REF!</v>
      </c>
      <c r="K226" s="11" t="e">
        <f>K190+#REF!</f>
        <v>#REF!</v>
      </c>
      <c r="L226" s="11" t="e">
        <f>L190+#REF!</f>
        <v>#REF!</v>
      </c>
      <c r="M226" s="11" t="e">
        <f>M190+#REF!</f>
        <v>#REF!</v>
      </c>
      <c r="N226" s="11" t="e">
        <f>N190+#REF!</f>
        <v>#REF!</v>
      </c>
      <c r="O226" s="11" t="e">
        <f>O190+#REF!</f>
        <v>#REF!</v>
      </c>
      <c r="P226" s="11" t="e">
        <f>P190+#REF!</f>
        <v>#REF!</v>
      </c>
      <c r="Q226" s="11" t="e">
        <f>Q190+#REF!</f>
        <v>#REF!</v>
      </c>
      <c r="R226" s="11" t="e">
        <f>R190+#REF!</f>
        <v>#REF!</v>
      </c>
      <c r="S226" s="11" t="e">
        <f>S190+#REF!</f>
        <v>#REF!</v>
      </c>
      <c r="T226" s="11" t="e">
        <f>T190+#REF!</f>
        <v>#REF!</v>
      </c>
      <c r="U226" s="11" t="e">
        <f>U190+#REF!</f>
        <v>#REF!</v>
      </c>
      <c r="V226" s="11" t="e">
        <f>V190+#REF!</f>
        <v>#REF!</v>
      </c>
      <c r="W226" s="11" t="e">
        <f>W190+#REF!</f>
        <v>#REF!</v>
      </c>
      <c r="X226" s="11" t="e">
        <f>X190+#REF!</f>
        <v>#REF!</v>
      </c>
      <c r="Y226" s="11" t="e">
        <f>Y190+#REF!</f>
        <v>#REF!</v>
      </c>
      <c r="Z226" s="11" t="e">
        <f>Z190+#REF!</f>
        <v>#REF!</v>
      </c>
      <c r="AA226" s="11" t="e">
        <f>AA190+#REF!</f>
        <v>#REF!</v>
      </c>
      <c r="AB226" s="11" t="e">
        <f>AB190+#REF!</f>
        <v>#REF!</v>
      </c>
      <c r="AC226" s="11" t="e">
        <f>AC190+#REF!</f>
        <v>#REF!</v>
      </c>
      <c r="AD226" s="11" t="e">
        <f>AD190+#REF!</f>
        <v>#REF!</v>
      </c>
      <c r="AE226" s="11" t="e">
        <f>AE190+#REF!</f>
        <v>#REF!</v>
      </c>
      <c r="AF226" s="11" t="e">
        <f>AF190+#REF!</f>
        <v>#REF!</v>
      </c>
      <c r="AG226" s="11" t="e">
        <f>AG190+#REF!</f>
        <v>#REF!</v>
      </c>
      <c r="AH226" s="11" t="e">
        <f>AH190+#REF!</f>
        <v>#REF!</v>
      </c>
      <c r="AI226" s="11" t="e">
        <f>AI190+#REF!</f>
        <v>#REF!</v>
      </c>
      <c r="AJ226" s="11" t="e">
        <f>AJ190+#REF!</f>
        <v>#REF!</v>
      </c>
      <c r="AK226" s="11" t="e">
        <f>AK190+#REF!</f>
        <v>#REF!</v>
      </c>
      <c r="AL226" s="11" t="e">
        <f>AL190+#REF!</f>
        <v>#REF!</v>
      </c>
      <c r="AM226" s="11" t="e">
        <f>AM190+#REF!</f>
        <v>#REF!</v>
      </c>
      <c r="AN226" s="11" t="e">
        <f>AN190+#REF!</f>
        <v>#REF!</v>
      </c>
      <c r="AO226" s="11" t="e">
        <f>AO190+#REF!</f>
        <v>#REF!</v>
      </c>
      <c r="AP226" s="11" t="e">
        <f>AP190+#REF!</f>
        <v>#REF!</v>
      </c>
    </row>
    <row r="227" spans="8:44" x14ac:dyDescent="0.25"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</row>
    <row r="228" spans="8:44" x14ac:dyDescent="0.25">
      <c r="H228" t="s">
        <v>203</v>
      </c>
      <c r="J228" s="11">
        <f>J216</f>
        <v>0</v>
      </c>
      <c r="K228" s="11">
        <f t="shared" ref="K228:AP228" si="108">K216</f>
        <v>737.38400000000001</v>
      </c>
      <c r="L228" s="11">
        <f t="shared" si="108"/>
        <v>654.32299999999998</v>
      </c>
      <c r="M228" s="11">
        <f t="shared" si="108"/>
        <v>613.87800000000004</v>
      </c>
      <c r="N228" s="11">
        <f t="shared" si="108"/>
        <v>673.48400000000004</v>
      </c>
      <c r="O228" s="11">
        <f t="shared" si="108"/>
        <v>640.39300000000003</v>
      </c>
      <c r="P228" s="11">
        <f t="shared" si="108"/>
        <v>601.12</v>
      </c>
      <c r="Q228" s="11">
        <f t="shared" si="108"/>
        <v>563.495</v>
      </c>
      <c r="R228" s="11">
        <f t="shared" si="108"/>
        <v>653.68600000000004</v>
      </c>
      <c r="S228" s="11">
        <f t="shared" si="108"/>
        <v>611.14400000000001</v>
      </c>
      <c r="T228" s="11">
        <f t="shared" si="108"/>
        <v>643.49900000000002</v>
      </c>
      <c r="U228" s="11">
        <f t="shared" si="108"/>
        <v>680.94799999999998</v>
      </c>
      <c r="V228" s="11">
        <f t="shared" si="108"/>
        <v>716.745</v>
      </c>
      <c r="W228" s="11">
        <f t="shared" si="108"/>
        <v>596.62400000000002</v>
      </c>
      <c r="X228" s="11">
        <f t="shared" si="108"/>
        <v>636.88400000000001</v>
      </c>
      <c r="Y228" s="11">
        <f t="shared" si="108"/>
        <v>656.71500000000003</v>
      </c>
      <c r="Z228" s="11">
        <f t="shared" si="108"/>
        <v>610.774</v>
      </c>
      <c r="AA228" s="11">
        <f t="shared" si="108"/>
        <v>687.846</v>
      </c>
      <c r="AB228" s="11">
        <f t="shared" si="108"/>
        <v>618.64300000000003</v>
      </c>
      <c r="AC228" s="11">
        <f t="shared" si="108"/>
        <v>613.04999999999995</v>
      </c>
      <c r="AD228" s="11">
        <f t="shared" si="108"/>
        <v>573.548</v>
      </c>
      <c r="AE228" s="11">
        <f t="shared" si="108"/>
        <v>935.62</v>
      </c>
      <c r="AF228" s="11">
        <f t="shared" si="108"/>
        <v>848.178</v>
      </c>
      <c r="AG228" s="11">
        <f t="shared" si="108"/>
        <v>837.04600000000005</v>
      </c>
      <c r="AH228" s="11">
        <f t="shared" si="108"/>
        <v>862.13099999999997</v>
      </c>
      <c r="AI228" s="11">
        <f t="shared" si="108"/>
        <v>826.197</v>
      </c>
      <c r="AJ228" s="11">
        <f t="shared" si="108"/>
        <v>785.68100000000004</v>
      </c>
      <c r="AK228" s="11">
        <f t="shared" si="108"/>
        <v>745.76199999999994</v>
      </c>
      <c r="AL228" s="11">
        <f t="shared" si="108"/>
        <v>0</v>
      </c>
      <c r="AM228" s="11">
        <f t="shared" si="108"/>
        <v>0</v>
      </c>
      <c r="AN228" s="11">
        <f t="shared" si="108"/>
        <v>0</v>
      </c>
      <c r="AO228" s="11">
        <f t="shared" si="108"/>
        <v>0</v>
      </c>
      <c r="AP228" s="11">
        <f t="shared" si="108"/>
        <v>0</v>
      </c>
    </row>
    <row r="229" spans="8:44" x14ac:dyDescent="0.25">
      <c r="H229" t="s">
        <v>160</v>
      </c>
      <c r="J229" s="11">
        <f>J218</f>
        <v>0</v>
      </c>
      <c r="K229" s="11">
        <f t="shared" ref="K229:AP229" si="109">K218</f>
        <v>608.87099999999998</v>
      </c>
      <c r="L229" s="11">
        <f t="shared" si="109"/>
        <v>769.76099999999997</v>
      </c>
      <c r="M229" s="11">
        <f t="shared" si="109"/>
        <v>636.90599999999995</v>
      </c>
      <c r="N229" s="11">
        <f t="shared" si="109"/>
        <v>632.10699999999997</v>
      </c>
      <c r="O229" s="11">
        <f t="shared" si="109"/>
        <v>531.17200000000003</v>
      </c>
      <c r="P229" s="11">
        <f t="shared" si="109"/>
        <v>419.233</v>
      </c>
      <c r="Q229" s="11">
        <f t="shared" si="109"/>
        <v>317.30200000000002</v>
      </c>
      <c r="R229" s="11">
        <f t="shared" si="109"/>
        <v>443.029</v>
      </c>
      <c r="S229" s="11">
        <f t="shared" si="109"/>
        <v>331.30500000000001</v>
      </c>
      <c r="T229" s="11">
        <f t="shared" si="109"/>
        <v>353.976</v>
      </c>
      <c r="U229" s="11">
        <f t="shared" si="109"/>
        <v>384.55799999999999</v>
      </c>
      <c r="V229" s="11">
        <f t="shared" si="109"/>
        <v>408.43200000000002</v>
      </c>
      <c r="W229" s="11">
        <f t="shared" si="109"/>
        <v>350.42200000000003</v>
      </c>
      <c r="X229" s="11">
        <f t="shared" si="109"/>
        <v>394.88600000000002</v>
      </c>
      <c r="Y229" s="11">
        <f t="shared" si="109"/>
        <v>415.048</v>
      </c>
      <c r="Z229" s="11">
        <f t="shared" si="109"/>
        <v>333.64</v>
      </c>
      <c r="AA229" s="11">
        <f t="shared" si="109"/>
        <v>448.154</v>
      </c>
      <c r="AB229" s="11">
        <f t="shared" si="109"/>
        <v>360.78699999999998</v>
      </c>
      <c r="AC229" s="11">
        <f t="shared" si="109"/>
        <v>357.05599999999998</v>
      </c>
      <c r="AD229" s="11">
        <f t="shared" si="109"/>
        <v>297.51900000000001</v>
      </c>
      <c r="AE229" s="11">
        <f t="shared" si="109"/>
        <v>225.048</v>
      </c>
      <c r="AF229" s="11">
        <f t="shared" si="109"/>
        <v>167.11500000000001</v>
      </c>
      <c r="AG229" s="11">
        <f t="shared" si="109"/>
        <v>235.55199999999999</v>
      </c>
      <c r="AH229" s="11">
        <f t="shared" si="109"/>
        <v>171.727</v>
      </c>
      <c r="AI229" s="11">
        <f t="shared" si="109"/>
        <v>182.45</v>
      </c>
      <c r="AJ229" s="11">
        <f t="shared" si="109"/>
        <v>197.471</v>
      </c>
      <c r="AK229" s="11">
        <f t="shared" si="109"/>
        <v>209.977</v>
      </c>
      <c r="AL229" s="11">
        <f t="shared" si="109"/>
        <v>0</v>
      </c>
      <c r="AM229" s="11">
        <f t="shared" si="109"/>
        <v>0</v>
      </c>
      <c r="AN229" s="11">
        <f t="shared" si="109"/>
        <v>0</v>
      </c>
      <c r="AO229" s="11">
        <f t="shared" si="109"/>
        <v>0</v>
      </c>
      <c r="AP229" s="11">
        <f t="shared" si="109"/>
        <v>0</v>
      </c>
    </row>
    <row r="230" spans="8:44" x14ac:dyDescent="0.25">
      <c r="H230" t="s">
        <v>161</v>
      </c>
      <c r="J230" s="11">
        <f>J219</f>
        <v>0</v>
      </c>
      <c r="K230" s="11">
        <f t="shared" ref="K230:AP230" si="110">K219</f>
        <v>608.87099999999998</v>
      </c>
      <c r="L230" s="11">
        <f t="shared" si="110"/>
        <v>769.76099999999997</v>
      </c>
      <c r="M230" s="11">
        <f t="shared" si="110"/>
        <v>636.90599999999995</v>
      </c>
      <c r="N230" s="11">
        <f t="shared" si="110"/>
        <v>632.10699999999997</v>
      </c>
      <c r="O230" s="11">
        <f t="shared" si="110"/>
        <v>531.17200000000003</v>
      </c>
      <c r="P230" s="11">
        <f t="shared" si="110"/>
        <v>419.233</v>
      </c>
      <c r="Q230" s="11">
        <f t="shared" si="110"/>
        <v>317.30200000000002</v>
      </c>
      <c r="R230" s="11">
        <f t="shared" si="110"/>
        <v>443.029</v>
      </c>
      <c r="S230" s="11">
        <f t="shared" si="110"/>
        <v>331.30500000000001</v>
      </c>
      <c r="T230" s="11">
        <f t="shared" si="110"/>
        <v>353.976</v>
      </c>
      <c r="U230" s="11">
        <f t="shared" si="110"/>
        <v>384.55799999999999</v>
      </c>
      <c r="V230" s="11">
        <f t="shared" si="110"/>
        <v>408.43200000000002</v>
      </c>
      <c r="W230" s="11">
        <f t="shared" si="110"/>
        <v>350.42200000000003</v>
      </c>
      <c r="X230" s="11">
        <f t="shared" si="110"/>
        <v>394.88600000000002</v>
      </c>
      <c r="Y230" s="11">
        <f t="shared" si="110"/>
        <v>415.048</v>
      </c>
      <c r="Z230" s="11">
        <f t="shared" si="110"/>
        <v>333.64</v>
      </c>
      <c r="AA230" s="11">
        <f t="shared" si="110"/>
        <v>448.154</v>
      </c>
      <c r="AB230" s="11">
        <f t="shared" si="110"/>
        <v>360.78699999999998</v>
      </c>
      <c r="AC230" s="11">
        <f t="shared" si="110"/>
        <v>357.05599999999998</v>
      </c>
      <c r="AD230" s="11">
        <f t="shared" si="110"/>
        <v>297.51900000000001</v>
      </c>
      <c r="AE230" s="11">
        <f t="shared" si="110"/>
        <v>225.048</v>
      </c>
      <c r="AF230" s="11">
        <f t="shared" si="110"/>
        <v>167.11500000000001</v>
      </c>
      <c r="AG230" s="11">
        <f t="shared" si="110"/>
        <v>235.55199999999999</v>
      </c>
      <c r="AH230" s="11">
        <f t="shared" si="110"/>
        <v>171.727</v>
      </c>
      <c r="AI230" s="11">
        <f t="shared" si="110"/>
        <v>182.45</v>
      </c>
      <c r="AJ230" s="11">
        <f t="shared" si="110"/>
        <v>197.471</v>
      </c>
      <c r="AK230" s="11">
        <f t="shared" si="110"/>
        <v>209.977</v>
      </c>
      <c r="AL230" s="11">
        <f t="shared" si="110"/>
        <v>0</v>
      </c>
      <c r="AM230" s="11">
        <f t="shared" si="110"/>
        <v>0</v>
      </c>
      <c r="AN230" s="11">
        <f t="shared" si="110"/>
        <v>0</v>
      </c>
      <c r="AO230" s="11">
        <f t="shared" si="110"/>
        <v>0</v>
      </c>
      <c r="AP230" s="11">
        <f t="shared" si="110"/>
        <v>0</v>
      </c>
    </row>
    <row r="231" spans="8:44" x14ac:dyDescent="0.25">
      <c r="H231" t="s">
        <v>186</v>
      </c>
      <c r="J231" s="11">
        <f>J217</f>
        <v>0</v>
      </c>
      <c r="K231" s="11">
        <f t="shared" ref="K231:AP231" si="111">K217</f>
        <v>194.01900000000001</v>
      </c>
      <c r="L231" s="11">
        <f t="shared" si="111"/>
        <v>70.945999999999998</v>
      </c>
      <c r="M231" s="11">
        <f t="shared" si="111"/>
        <v>266.69400000000002</v>
      </c>
      <c r="N231" s="11">
        <f t="shared" si="111"/>
        <v>196.60400000000001</v>
      </c>
      <c r="O231" s="11">
        <f t="shared" si="111"/>
        <v>346.495</v>
      </c>
      <c r="P231" s="11">
        <f t="shared" si="111"/>
        <v>516.37</v>
      </c>
      <c r="Q231" s="11">
        <f t="shared" si="111"/>
        <v>673.29899999999998</v>
      </c>
      <c r="R231" s="11">
        <f t="shared" si="111"/>
        <v>423.09399999999999</v>
      </c>
      <c r="S231" s="11">
        <f t="shared" si="111"/>
        <v>597.82100000000003</v>
      </c>
      <c r="T231" s="11">
        <f t="shared" si="111"/>
        <v>532.50300000000004</v>
      </c>
      <c r="U231" s="11">
        <f t="shared" si="111"/>
        <v>452.11500000000001</v>
      </c>
      <c r="V231" s="11">
        <f t="shared" si="111"/>
        <v>381.79</v>
      </c>
      <c r="W231" s="11">
        <f t="shared" si="111"/>
        <v>321.40899999999999</v>
      </c>
      <c r="X231" s="11">
        <f t="shared" si="111"/>
        <v>221.06299999999999</v>
      </c>
      <c r="Y231" s="11">
        <f t="shared" si="111"/>
        <v>170.749</v>
      </c>
      <c r="Z231" s="11">
        <f t="shared" si="111"/>
        <v>120.506</v>
      </c>
      <c r="AA231" s="11">
        <f t="shared" si="111"/>
        <v>67.393000000000001</v>
      </c>
      <c r="AB231" s="11">
        <f t="shared" si="111"/>
        <v>98.825999999999993</v>
      </c>
      <c r="AC231" s="11">
        <f t="shared" si="111"/>
        <v>98.748000000000005</v>
      </c>
      <c r="AD231" s="11">
        <f t="shared" si="111"/>
        <v>98.75</v>
      </c>
      <c r="AE231" s="11">
        <f t="shared" si="111"/>
        <v>215.20500000000001</v>
      </c>
      <c r="AF231" s="11">
        <f t="shared" si="111"/>
        <v>98.850999999999999</v>
      </c>
      <c r="AG231" s="11">
        <f t="shared" si="111"/>
        <v>285.11399999999998</v>
      </c>
      <c r="AH231" s="11">
        <f t="shared" si="111"/>
        <v>218.958</v>
      </c>
      <c r="AI231" s="11">
        <f t="shared" si="111"/>
        <v>362.53699999999998</v>
      </c>
      <c r="AJ231" s="11">
        <f t="shared" si="111"/>
        <v>525.41300000000001</v>
      </c>
      <c r="AK231" s="11">
        <f t="shared" si="111"/>
        <v>673.58699999999999</v>
      </c>
      <c r="AL231" s="11">
        <f t="shared" si="111"/>
        <v>0</v>
      </c>
      <c r="AM231" s="11">
        <f t="shared" si="111"/>
        <v>0</v>
      </c>
      <c r="AN231" s="11">
        <f t="shared" si="111"/>
        <v>0</v>
      </c>
      <c r="AO231" s="11">
        <f t="shared" si="111"/>
        <v>0</v>
      </c>
      <c r="AP231" s="11">
        <f t="shared" si="111"/>
        <v>0</v>
      </c>
    </row>
    <row r="232" spans="8:44" x14ac:dyDescent="0.25">
      <c r="H232" t="s">
        <v>162</v>
      </c>
      <c r="J232" s="11">
        <f>J215</f>
        <v>0</v>
      </c>
      <c r="K232" s="11">
        <f t="shared" ref="K232:AP232" si="112">K215</f>
        <v>105.626</v>
      </c>
      <c r="L232" s="11">
        <f t="shared" si="112"/>
        <v>159.85499999999999</v>
      </c>
      <c r="M232" s="11">
        <f t="shared" si="112"/>
        <v>133.62200000000001</v>
      </c>
      <c r="N232" s="11">
        <f t="shared" si="112"/>
        <v>143.84100000000001</v>
      </c>
      <c r="O232" s="11">
        <f t="shared" si="112"/>
        <v>124.09</v>
      </c>
      <c r="P232" s="11">
        <f t="shared" si="112"/>
        <v>101.407</v>
      </c>
      <c r="Q232" s="11">
        <f t="shared" si="112"/>
        <v>80.004999999999995</v>
      </c>
      <c r="R232" s="11">
        <f t="shared" si="112"/>
        <v>110.98399999999999</v>
      </c>
      <c r="S232" s="11">
        <f t="shared" si="112"/>
        <v>88.650999999999996</v>
      </c>
      <c r="T232" s="11">
        <f t="shared" si="112"/>
        <v>96.700999999999993</v>
      </c>
      <c r="U232" s="11">
        <f t="shared" si="112"/>
        <v>106.69</v>
      </c>
      <c r="V232" s="11">
        <f t="shared" si="112"/>
        <v>115.774</v>
      </c>
      <c r="W232" s="11">
        <f t="shared" si="112"/>
        <v>111.28400000000001</v>
      </c>
      <c r="X232" s="11">
        <f t="shared" si="112"/>
        <v>125.464</v>
      </c>
      <c r="Y232" s="11">
        <f t="shared" si="112"/>
        <v>134.39400000000001</v>
      </c>
      <c r="Z232" s="11">
        <f t="shared" si="112"/>
        <v>136.726</v>
      </c>
      <c r="AA232" s="11">
        <f t="shared" si="112"/>
        <v>152.27799999999999</v>
      </c>
      <c r="AB232" s="11">
        <f t="shared" si="112"/>
        <v>144.83099999999999</v>
      </c>
      <c r="AC232" s="11">
        <f t="shared" si="112"/>
        <v>145.81200000000001</v>
      </c>
      <c r="AD232" s="11">
        <f t="shared" si="112"/>
        <v>142.875</v>
      </c>
      <c r="AE232" s="11">
        <f t="shared" si="112"/>
        <v>45.095999999999997</v>
      </c>
      <c r="AF232" s="11">
        <f t="shared" si="112"/>
        <v>56.726999999999997</v>
      </c>
      <c r="AG232" s="11">
        <f t="shared" si="112"/>
        <v>54.396999999999998</v>
      </c>
      <c r="AH232" s="11">
        <f t="shared" si="112"/>
        <v>52.470999999999997</v>
      </c>
      <c r="AI232" s="11">
        <f t="shared" si="112"/>
        <v>47.762999999999998</v>
      </c>
      <c r="AJ232" s="11">
        <f t="shared" si="112"/>
        <v>42.679000000000002</v>
      </c>
      <c r="AK232" s="11">
        <f t="shared" si="112"/>
        <v>37.878999999999998</v>
      </c>
      <c r="AL232" s="11">
        <f t="shared" si="112"/>
        <v>0</v>
      </c>
      <c r="AM232" s="11">
        <f t="shared" si="112"/>
        <v>0</v>
      </c>
      <c r="AN232" s="11">
        <f t="shared" si="112"/>
        <v>0</v>
      </c>
      <c r="AO232" s="11">
        <f t="shared" si="112"/>
        <v>0</v>
      </c>
      <c r="AP232" s="11">
        <f t="shared" si="112"/>
        <v>0</v>
      </c>
    </row>
    <row r="233" spans="8:44" x14ac:dyDescent="0.25">
      <c r="H233" t="s">
        <v>163</v>
      </c>
      <c r="J233" s="11">
        <f>J220</f>
        <v>0</v>
      </c>
      <c r="K233" s="11">
        <f t="shared" ref="K233:AP233" si="113">K220</f>
        <v>161.881</v>
      </c>
      <c r="L233" s="11">
        <f t="shared" si="113"/>
        <v>149.1</v>
      </c>
      <c r="M233" s="11">
        <f t="shared" si="113"/>
        <v>149.08500000000001</v>
      </c>
      <c r="N233" s="11">
        <f t="shared" si="113"/>
        <v>150.327</v>
      </c>
      <c r="O233" s="11">
        <f t="shared" si="113"/>
        <v>150.38200000000001</v>
      </c>
      <c r="P233" s="11">
        <f t="shared" si="113"/>
        <v>150.565</v>
      </c>
      <c r="Q233" s="11">
        <f t="shared" si="113"/>
        <v>150.75800000000001</v>
      </c>
      <c r="R233" s="11">
        <f t="shared" si="113"/>
        <v>151.251</v>
      </c>
      <c r="S233" s="11">
        <f t="shared" si="113"/>
        <v>151.429</v>
      </c>
      <c r="T233" s="11">
        <f t="shared" si="113"/>
        <v>151.71899999999999</v>
      </c>
      <c r="U233" s="11">
        <f t="shared" si="113"/>
        <v>151.90600000000001</v>
      </c>
      <c r="V233" s="11">
        <f t="shared" si="113"/>
        <v>152.11500000000001</v>
      </c>
      <c r="W233" s="11">
        <f t="shared" si="113"/>
        <v>147.9</v>
      </c>
      <c r="X233" s="11">
        <f t="shared" si="113"/>
        <v>148.261</v>
      </c>
      <c r="Y233" s="11">
        <f t="shared" si="113"/>
        <v>148.44499999999999</v>
      </c>
      <c r="Z233" s="11">
        <f t="shared" si="113"/>
        <v>146.87700000000001</v>
      </c>
      <c r="AA233" s="11">
        <f t="shared" si="113"/>
        <v>148.21700000000001</v>
      </c>
      <c r="AB233" s="11">
        <f t="shared" si="113"/>
        <v>146.584</v>
      </c>
      <c r="AC233" s="11">
        <f t="shared" si="113"/>
        <v>146.16499999999999</v>
      </c>
      <c r="AD233" s="11">
        <f t="shared" si="113"/>
        <v>144.851</v>
      </c>
      <c r="AE233" s="11">
        <f t="shared" si="113"/>
        <v>163.74299999999999</v>
      </c>
      <c r="AF233" s="11">
        <f t="shared" si="113"/>
        <v>150.71</v>
      </c>
      <c r="AG233" s="11">
        <f t="shared" si="113"/>
        <v>151.11799999999999</v>
      </c>
      <c r="AH233" s="11">
        <f t="shared" si="113"/>
        <v>151.05699999999999</v>
      </c>
      <c r="AI233" s="11">
        <f t="shared" si="113"/>
        <v>150.68199999999999</v>
      </c>
      <c r="AJ233" s="11">
        <f t="shared" si="113"/>
        <v>150.46100000000001</v>
      </c>
      <c r="AK233" s="11">
        <f t="shared" si="113"/>
        <v>150.155</v>
      </c>
      <c r="AL233" s="11">
        <f t="shared" si="113"/>
        <v>0</v>
      </c>
      <c r="AM233" s="11">
        <f t="shared" si="113"/>
        <v>0</v>
      </c>
      <c r="AN233" s="11">
        <f t="shared" si="113"/>
        <v>0</v>
      </c>
      <c r="AO233" s="11">
        <f t="shared" si="113"/>
        <v>0</v>
      </c>
      <c r="AP233" s="11">
        <f t="shared" si="113"/>
        <v>0</v>
      </c>
    </row>
    <row r="236" spans="8:44" x14ac:dyDescent="0.25">
      <c r="H236" s="2" t="s">
        <v>204</v>
      </c>
    </row>
    <row r="237" spans="8:44" x14ac:dyDescent="0.25">
      <c r="H237" t="s">
        <v>192</v>
      </c>
      <c r="J237" s="11">
        <f>VLOOKUP($H237,output!$A$10:$AH$2201,J$1-$J$1+2)</f>
        <v>0</v>
      </c>
      <c r="K237" s="11">
        <f>VLOOKUP($H237,output!$A$10:$AH$2201,K$1-$J$1+2)</f>
        <v>68.069999999999993</v>
      </c>
      <c r="L237" s="11">
        <f>VLOOKUP($H237,output!$A$10:$AH$2201,L$1-$J$1+2)</f>
        <v>52.066000000000003</v>
      </c>
      <c r="M237" s="11">
        <f>VLOOKUP($H237,output!$A$10:$AH$2201,M$1-$J$1+2)</f>
        <v>133.673</v>
      </c>
      <c r="N237" s="11">
        <f>VLOOKUP($H237,output!$A$10:$AH$2201,N$1-$J$1+2)</f>
        <v>127.437</v>
      </c>
      <c r="O237" s="11">
        <f>VLOOKUP($H237,output!$A$10:$AH$2201,O$1-$J$1+2)</f>
        <v>99.521000000000001</v>
      </c>
      <c r="P237" s="11">
        <f>VLOOKUP($H237,output!$A$10:$AH$2201,P$1-$J$1+2)</f>
        <v>77.313999999999993</v>
      </c>
      <c r="Q237" s="11">
        <f>VLOOKUP($H237,output!$A$10:$AH$2201,Q$1-$J$1+2)</f>
        <v>120.532</v>
      </c>
      <c r="R237" s="11">
        <f>VLOOKUP($H237,output!$A$10:$AH$2201,R$1-$J$1+2)</f>
        <v>326.61399999999998</v>
      </c>
      <c r="S237" s="11">
        <f>VLOOKUP($H237,output!$A$10:$AH$2201,S$1-$J$1+2)</f>
        <v>259.52999999999997</v>
      </c>
      <c r="T237" s="11">
        <f>VLOOKUP($H237,output!$A$10:$AH$2201,T$1-$J$1+2)</f>
        <v>205.79400000000001</v>
      </c>
      <c r="U237" s="11">
        <f>VLOOKUP($H237,output!$A$10:$AH$2201,U$1-$J$1+2)</f>
        <v>162.74199999999999</v>
      </c>
      <c r="V237" s="11">
        <f>VLOOKUP($H237,output!$A$10:$AH$2201,V$1-$J$1+2)</f>
        <v>128.255</v>
      </c>
      <c r="W237" s="11">
        <f>VLOOKUP($H237,output!$A$10:$AH$2201,W$1-$J$1+2)</f>
        <v>153.61699999999999</v>
      </c>
      <c r="X237" s="11">
        <f>VLOOKUP($H237,output!$A$10:$AH$2201,X$1-$J$1+2)</f>
        <v>633.76099999999997</v>
      </c>
      <c r="Y237" s="11">
        <f>VLOOKUP($H237,output!$A$10:$AH$2201,Y$1-$J$1+2)</f>
        <v>562.96600000000001</v>
      </c>
      <c r="Z237" s="11">
        <f>VLOOKUP($H237,output!$A$10:$AH$2201,Z$1-$J$1+2)</f>
        <v>501.72500000000002</v>
      </c>
      <c r="AA237" s="11">
        <f>VLOOKUP($H237,output!$A$10:$AH$2201,AA$1-$J$1+2)</f>
        <v>654.22400000000005</v>
      </c>
      <c r="AB237" s="11">
        <f>VLOOKUP($H237,output!$A$10:$AH$2201,AB$1-$J$1+2)</f>
        <v>592.13199999999995</v>
      </c>
      <c r="AC237" s="11">
        <f>VLOOKUP($H237,output!$A$10:$AH$2201,AC$1-$J$1+2)</f>
        <v>538.66499999999996</v>
      </c>
      <c r="AD237" s="11">
        <f>VLOOKUP($H237,output!$A$10:$AH$2201,AD$1-$J$1+2)</f>
        <v>490.613</v>
      </c>
      <c r="AE237" s="11">
        <f>VLOOKUP($H237,output!$A$10:$AH$2201,AE$1-$J$1+2)</f>
        <v>459.47199999999998</v>
      </c>
      <c r="AF237" s="11">
        <f>VLOOKUP($H237,output!$A$10:$AH$2201,AF$1-$J$1+2)</f>
        <v>429.56599999999997</v>
      </c>
      <c r="AG237" s="11">
        <f>VLOOKUP($H237,output!$A$10:$AH$2201,AG$1-$J$1+2)</f>
        <v>401.36399999999998</v>
      </c>
      <c r="AH237" s="11">
        <f>VLOOKUP($H237,output!$A$10:$AH$2201,AH$1-$J$1+2)</f>
        <v>375.87900000000002</v>
      </c>
      <c r="AI237" s="11">
        <f>VLOOKUP($H237,output!$A$10:$AH$2201,AI$1-$J$1+2)</f>
        <v>352.49200000000002</v>
      </c>
      <c r="AJ237" s="11">
        <f>VLOOKUP($H237,output!$A$10:$AH$2201,AJ$1-$J$1+2)</f>
        <v>331.02499999999998</v>
      </c>
      <c r="AK237" s="11">
        <f>VLOOKUP($H237,output!$A$10:$AH$2201,AK$1-$J$1+2)</f>
        <v>311.02499999999998</v>
      </c>
      <c r="AL237" s="11">
        <f>VLOOKUP($H237,output!$A$10:$AH$2201,AL$1-$J$1+2)</f>
        <v>0</v>
      </c>
      <c r="AM237" s="11">
        <f>VLOOKUP($H237,output!$A$10:$AH$2201,AM$1-$J$1+2)</f>
        <v>0</v>
      </c>
      <c r="AN237" s="11">
        <f>VLOOKUP($H237,output!$A$10:$AH$2201,AN$1-$J$1+2)</f>
        <v>0</v>
      </c>
      <c r="AO237" s="11">
        <f>VLOOKUP($H237,output!$A$10:$AH$2201,AO$1-$J$1+2)</f>
        <v>0</v>
      </c>
      <c r="AP237" s="11">
        <f>VLOOKUP($H237,output!$A$10:$AH$2201,AP$1-$J$1+2)</f>
        <v>0</v>
      </c>
      <c r="AQ237" s="11"/>
      <c r="AR237" s="11"/>
    </row>
    <row r="238" spans="8:44" x14ac:dyDescent="0.25">
      <c r="H238" t="s">
        <v>193</v>
      </c>
      <c r="J238" s="11">
        <f>VLOOKUP($H238,output!$A$10:$AH$2201,J$1-$J$1+2)</f>
        <v>0</v>
      </c>
      <c r="K238" s="11">
        <f>VLOOKUP($H238,output!$A$10:$AH$2201,K$1-$J$1+2)</f>
        <v>68.069999999999993</v>
      </c>
      <c r="L238" s="11">
        <f>VLOOKUP($H238,output!$A$10:$AH$2201,L$1-$J$1+2)</f>
        <v>52.066000000000003</v>
      </c>
      <c r="M238" s="11">
        <f>VLOOKUP($H238,output!$A$10:$AH$2201,M$1-$J$1+2)</f>
        <v>133.673</v>
      </c>
      <c r="N238" s="11">
        <f>VLOOKUP($H238,output!$A$10:$AH$2201,N$1-$J$1+2)</f>
        <v>102.73099999999999</v>
      </c>
      <c r="O238" s="11">
        <f>VLOOKUP($H238,output!$A$10:$AH$2201,O$1-$J$1+2)</f>
        <v>78.596000000000004</v>
      </c>
      <c r="P238" s="11">
        <f>VLOOKUP($H238,output!$A$10:$AH$2201,P$1-$J$1+2)</f>
        <v>59.808999999999997</v>
      </c>
      <c r="Q238" s="11">
        <f>VLOOKUP($H238,output!$A$10:$AH$2201,Q$1-$J$1+2)</f>
        <v>45.231999999999999</v>
      </c>
      <c r="R238" s="11">
        <f>VLOOKUP($H238,output!$A$10:$AH$2201,R$1-$J$1+2)</f>
        <v>260.471</v>
      </c>
      <c r="S238" s="11">
        <f>VLOOKUP($H238,output!$A$10:$AH$2201,S$1-$J$1+2)</f>
        <v>202.197</v>
      </c>
      <c r="T238" s="11">
        <f>VLOOKUP($H238,output!$A$10:$AH$2201,T$1-$J$1+2)</f>
        <v>156.464</v>
      </c>
      <c r="U238" s="11">
        <f>VLOOKUP($H238,output!$A$10:$AH$2201,U$1-$J$1+2)</f>
        <v>120.634</v>
      </c>
      <c r="V238" s="11">
        <f>VLOOKUP($H238,output!$A$10:$AH$2201,V$1-$J$1+2)</f>
        <v>92.623000000000005</v>
      </c>
      <c r="W238" s="11">
        <f>VLOOKUP($H238,output!$A$10:$AH$2201,W$1-$J$1+2)</f>
        <v>72.070999999999998</v>
      </c>
      <c r="X238" s="11">
        <f>VLOOKUP($H238,output!$A$10:$AH$2201,X$1-$J$1+2)</f>
        <v>561.36500000000001</v>
      </c>
      <c r="Y238" s="11">
        <f>VLOOKUP($H238,output!$A$10:$AH$2201,Y$1-$J$1+2)</f>
        <v>499.01600000000002</v>
      </c>
      <c r="Z238" s="11">
        <f>VLOOKUP($H238,output!$A$10:$AH$2201,Z$1-$J$1+2)</f>
        <v>445.29</v>
      </c>
      <c r="AA238" s="11">
        <f>VLOOKUP($H238,output!$A$10:$AH$2201,AA$1-$J$1+2)</f>
        <v>395.56200000000001</v>
      </c>
      <c r="AB238" s="11">
        <f>VLOOKUP($H238,output!$A$10:$AH$2201,AB$1-$J$1+2)</f>
        <v>349.15800000000002</v>
      </c>
      <c r="AC238" s="11">
        <f>VLOOKUP($H238,output!$A$10:$AH$2201,AC$1-$J$1+2)</f>
        <v>310.48</v>
      </c>
      <c r="AD238" s="11">
        <f>VLOOKUP($H238,output!$A$10:$AH$2201,AD$1-$J$1+2)</f>
        <v>276.08300000000003</v>
      </c>
      <c r="AE238" s="11">
        <f>VLOOKUP($H238,output!$A$10:$AH$2201,AE$1-$J$1+2)</f>
        <v>253.64599999999999</v>
      </c>
      <c r="AF238" s="11">
        <f>VLOOKUP($H238,output!$A$10:$AH$2201,AF$1-$J$1+2)</f>
        <v>232.267</v>
      </c>
      <c r="AG238" s="11">
        <f>VLOOKUP($H238,output!$A$10:$AH$2201,AG$1-$J$1+2)</f>
        <v>212.96299999999999</v>
      </c>
      <c r="AH238" s="11">
        <f>VLOOKUP($H238,output!$A$10:$AH$2201,AH$1-$J$1+2)</f>
        <v>195.55199999999999</v>
      </c>
      <c r="AI238" s="11">
        <f>VLOOKUP($H238,output!$A$10:$AH$2201,AI$1-$J$1+2)</f>
        <v>180.00299999999999</v>
      </c>
      <c r="AJ238" s="11">
        <f>VLOOKUP($H238,output!$A$10:$AH$2201,AJ$1-$J$1+2)</f>
        <v>166.155</v>
      </c>
      <c r="AK238" s="11">
        <f>VLOOKUP($H238,output!$A$10:$AH$2201,AK$1-$J$1+2)</f>
        <v>153.797</v>
      </c>
      <c r="AL238" s="11">
        <f>VLOOKUP($H238,output!$A$10:$AH$2201,AL$1-$J$1+2)</f>
        <v>0</v>
      </c>
      <c r="AM238" s="11">
        <f>VLOOKUP($H238,output!$A$10:$AH$2201,AM$1-$J$1+2)</f>
        <v>0</v>
      </c>
      <c r="AN238" s="11">
        <f>VLOOKUP($H238,output!$A$10:$AH$2201,AN$1-$J$1+2)</f>
        <v>0</v>
      </c>
      <c r="AO238" s="11">
        <f>VLOOKUP($H238,output!$A$10:$AH$2201,AO$1-$J$1+2)</f>
        <v>0</v>
      </c>
      <c r="AP238" s="11">
        <f>VLOOKUP($H238,output!$A$10:$AH$2201,AP$1-$J$1+2)</f>
        <v>0</v>
      </c>
      <c r="AQ238" s="11"/>
      <c r="AR238" s="11"/>
    </row>
    <row r="239" spans="8:44" x14ac:dyDescent="0.25">
      <c r="H239" t="s">
        <v>196</v>
      </c>
      <c r="J239" s="11">
        <f>VLOOKUP($H239,output!$A$10:$AH$2201,J$1-$J$1+2)</f>
        <v>0</v>
      </c>
      <c r="K239" s="11">
        <f>VLOOKUP($H239,output!$A$10:$AH$2201,K$1-$J$1+2)</f>
        <v>0</v>
      </c>
      <c r="L239" s="11">
        <f>VLOOKUP($H239,output!$A$10:$AH$2201,L$1-$J$1+2)</f>
        <v>0</v>
      </c>
      <c r="M239" s="11">
        <f>VLOOKUP($H239,output!$A$10:$AH$2201,M$1-$J$1+2)</f>
        <v>0</v>
      </c>
      <c r="N239" s="11">
        <f>VLOOKUP($H239,output!$A$10:$AH$2201,N$1-$J$1+2)</f>
        <v>24.707000000000001</v>
      </c>
      <c r="O239" s="11">
        <f>VLOOKUP($H239,output!$A$10:$AH$2201,O$1-$J$1+2)</f>
        <v>20.923999999999999</v>
      </c>
      <c r="P239" s="11">
        <f>VLOOKUP($H239,output!$A$10:$AH$2201,P$1-$J$1+2)</f>
        <v>17.504999999999999</v>
      </c>
      <c r="Q239" s="11">
        <f>VLOOKUP($H239,output!$A$10:$AH$2201,Q$1-$J$1+2)</f>
        <v>75.299000000000007</v>
      </c>
      <c r="R239" s="11">
        <f>VLOOKUP($H239,output!$A$10:$AH$2201,R$1-$J$1+2)</f>
        <v>66.143000000000001</v>
      </c>
      <c r="S239" s="11">
        <f>VLOOKUP($H239,output!$A$10:$AH$2201,S$1-$J$1+2)</f>
        <v>57.332999999999998</v>
      </c>
      <c r="T239" s="11">
        <f>VLOOKUP($H239,output!$A$10:$AH$2201,T$1-$J$1+2)</f>
        <v>49.33</v>
      </c>
      <c r="U239" s="11">
        <f>VLOOKUP($H239,output!$A$10:$AH$2201,U$1-$J$1+2)</f>
        <v>42.107999999999997</v>
      </c>
      <c r="V239" s="11">
        <f>VLOOKUP($H239,output!$A$10:$AH$2201,V$1-$J$1+2)</f>
        <v>35.631</v>
      </c>
      <c r="W239" s="11">
        <f>VLOOKUP($H239,output!$A$10:$AH$2201,W$1-$J$1+2)</f>
        <v>81.546000000000006</v>
      </c>
      <c r="X239" s="11">
        <f>VLOOKUP($H239,output!$A$10:$AH$2201,X$1-$J$1+2)</f>
        <v>72.396000000000001</v>
      </c>
      <c r="Y239" s="11">
        <f>VLOOKUP($H239,output!$A$10:$AH$2201,Y$1-$J$1+2)</f>
        <v>63.95</v>
      </c>
      <c r="Z239" s="11">
        <f>VLOOKUP($H239,output!$A$10:$AH$2201,Z$1-$J$1+2)</f>
        <v>56.435000000000002</v>
      </c>
      <c r="AA239" s="11">
        <f>VLOOKUP($H239,output!$A$10:$AH$2201,AA$1-$J$1+2)</f>
        <v>258.66300000000001</v>
      </c>
      <c r="AB239" s="11">
        <f>VLOOKUP($H239,output!$A$10:$AH$2201,AB$1-$J$1+2)</f>
        <v>242.97399999999999</v>
      </c>
      <c r="AC239" s="11">
        <f>VLOOKUP($H239,output!$A$10:$AH$2201,AC$1-$J$1+2)</f>
        <v>228.185</v>
      </c>
      <c r="AD239" s="11">
        <f>VLOOKUP($H239,output!$A$10:$AH$2201,AD$1-$J$1+2)</f>
        <v>214.53</v>
      </c>
      <c r="AE239" s="11">
        <f>VLOOKUP($H239,output!$A$10:$AH$2201,AE$1-$J$1+2)</f>
        <v>205.82599999999999</v>
      </c>
      <c r="AF239" s="11">
        <f>VLOOKUP($H239,output!$A$10:$AH$2201,AF$1-$J$1+2)</f>
        <v>197.29900000000001</v>
      </c>
      <c r="AG239" s="11">
        <f>VLOOKUP($H239,output!$A$10:$AH$2201,AG$1-$J$1+2)</f>
        <v>188.40100000000001</v>
      </c>
      <c r="AH239" s="11">
        <f>VLOOKUP($H239,output!$A$10:$AH$2201,AH$1-$J$1+2)</f>
        <v>180.327</v>
      </c>
      <c r="AI239" s="11">
        <f>VLOOKUP($H239,output!$A$10:$AH$2201,AI$1-$J$1+2)</f>
        <v>172.49</v>
      </c>
      <c r="AJ239" s="11">
        <f>VLOOKUP($H239,output!$A$10:$AH$2201,AJ$1-$J$1+2)</f>
        <v>164.87</v>
      </c>
      <c r="AK239" s="11">
        <f>VLOOKUP($H239,output!$A$10:$AH$2201,AK$1-$J$1+2)</f>
        <v>157.227</v>
      </c>
      <c r="AL239" s="11">
        <f>VLOOKUP($H239,output!$A$10:$AH$2201,AL$1-$J$1+2)</f>
        <v>0</v>
      </c>
      <c r="AM239" s="11">
        <f>VLOOKUP($H239,output!$A$10:$AH$2201,AM$1-$J$1+2)</f>
        <v>0</v>
      </c>
      <c r="AN239" s="11">
        <f>VLOOKUP($H239,output!$A$10:$AH$2201,AN$1-$J$1+2)</f>
        <v>0</v>
      </c>
      <c r="AO239" s="11">
        <f>VLOOKUP($H239,output!$A$10:$AH$2201,AO$1-$J$1+2)</f>
        <v>0</v>
      </c>
      <c r="AP239" s="11">
        <f>VLOOKUP($H239,output!$A$10:$AH$2201,AP$1-$J$1+2)</f>
        <v>0</v>
      </c>
      <c r="AQ239" s="11"/>
      <c r="AR239" s="11"/>
    </row>
    <row r="242" spans="8:42" x14ac:dyDescent="0.25">
      <c r="H242" t="s">
        <v>39</v>
      </c>
      <c r="J242" s="11">
        <f>VLOOKUP($H242,output!$A$10:$AH$2201,J$1-$J$1+2)</f>
        <v>0</v>
      </c>
      <c r="K242" s="11">
        <f>VLOOKUP($H242,output!$A$10:$AH$2201,K$1-$J$1+2)</f>
        <v>80.271000000000001</v>
      </c>
      <c r="L242" s="11">
        <f>VLOOKUP($H242,output!$A$10:$AH$2201,L$1-$J$1+2)</f>
        <v>0</v>
      </c>
      <c r="M242" s="11">
        <f>VLOOKUP($H242,output!$A$10:$AH$2201,M$1-$J$1+2)</f>
        <v>127.508</v>
      </c>
      <c r="N242" s="11">
        <f>VLOOKUP($H242,output!$A$10:$AH$2201,N$1-$J$1+2)</f>
        <v>81.686000000000007</v>
      </c>
      <c r="O242" s="11">
        <f>VLOOKUP($H242,output!$A$10:$AH$2201,O$1-$J$1+2)</f>
        <v>178.76400000000001</v>
      </c>
      <c r="P242" s="11">
        <f>VLOOKUP($H242,output!$A$10:$AH$2201,P$1-$J$1+2)</f>
        <v>288.11799999999999</v>
      </c>
      <c r="Q242" s="11">
        <f>VLOOKUP($H242,output!$A$10:$AH$2201,Q$1-$J$1+2)</f>
        <v>387.96</v>
      </c>
      <c r="R242" s="11">
        <f>VLOOKUP($H242,output!$A$10:$AH$2201,R$1-$J$1+2)</f>
        <v>225.672</v>
      </c>
      <c r="S242" s="11">
        <f>VLOOKUP($H242,output!$A$10:$AH$2201,S$1-$J$1+2)</f>
        <v>336.52</v>
      </c>
      <c r="T242" s="11">
        <f>VLOOKUP($H242,output!$A$10:$AH$2201,T$1-$J$1+2)</f>
        <v>293.64999999999998</v>
      </c>
      <c r="U242" s="11">
        <f>VLOOKUP($H242,output!$A$10:$AH$2201,U$1-$J$1+2)</f>
        <v>241.90600000000001</v>
      </c>
      <c r="V242" s="11">
        <f>VLOOKUP($H242,output!$A$10:$AH$2201,V$1-$J$1+2)</f>
        <v>196.95500000000001</v>
      </c>
      <c r="W242" s="11">
        <f>VLOOKUP($H242,output!$A$10:$AH$2201,W$1-$J$1+2)</f>
        <v>172.11799999999999</v>
      </c>
      <c r="X242" s="11">
        <f>VLOOKUP($H242,output!$A$10:$AH$2201,X$1-$J$1+2)</f>
        <v>104.04900000000001</v>
      </c>
      <c r="Y242" s="11">
        <f>VLOOKUP($H242,output!$A$10:$AH$2201,Y$1-$J$1+2)</f>
        <v>70.097999999999999</v>
      </c>
      <c r="Z242" s="11">
        <f>VLOOKUP($H242,output!$A$10:$AH$2201,Z$1-$J$1+2)</f>
        <v>33.027999999999999</v>
      </c>
      <c r="AA242" s="11">
        <f>VLOOKUP($H242,output!$A$10:$AH$2201,AA$1-$J$1+2)</f>
        <v>0</v>
      </c>
      <c r="AB242" s="11">
        <f>VLOOKUP($H242,output!$A$10:$AH$2201,AB$1-$J$1+2)</f>
        <v>20.146999999999998</v>
      </c>
      <c r="AC242" s="11">
        <f>VLOOKUP($H242,output!$A$10:$AH$2201,AC$1-$J$1+2)</f>
        <v>20.14</v>
      </c>
      <c r="AD242" s="11">
        <f>VLOOKUP($H242,output!$A$10:$AH$2201,AD$1-$J$1+2)</f>
        <v>18.898</v>
      </c>
      <c r="AE242" s="11">
        <f>VLOOKUP($H242,output!$A$10:$AH$2201,AE$1-$J$1+2)</f>
        <v>26.012</v>
      </c>
      <c r="AF242" s="11">
        <f>VLOOKUP($H242,output!$A$10:$AH$2201,AF$1-$J$1+2)</f>
        <v>22.178999999999998</v>
      </c>
      <c r="AG242" s="11">
        <f>VLOOKUP($H242,output!$A$10:$AH$2201,AG$1-$J$1+2)</f>
        <v>25.236999999999998</v>
      </c>
      <c r="AH242" s="11">
        <f>VLOOKUP($H242,output!$A$10:$AH$2201,AH$1-$J$1+2)</f>
        <v>23.263000000000002</v>
      </c>
      <c r="AI242" s="11">
        <f>VLOOKUP($H242,output!$A$10:$AH$2201,AI$1-$J$1+2)</f>
        <v>24.57</v>
      </c>
      <c r="AJ242" s="11">
        <f>VLOOKUP($H242,output!$A$10:$AH$2201,AJ$1-$J$1+2)</f>
        <v>26.058</v>
      </c>
      <c r="AK242" s="11">
        <f>VLOOKUP($H242,output!$A$10:$AH$2201,AK$1-$J$1+2)</f>
        <v>25.954000000000001</v>
      </c>
      <c r="AL242" s="11">
        <f>VLOOKUP($H242,output!$A$10:$AH$2201,AL$1-$J$1+2)</f>
        <v>0</v>
      </c>
      <c r="AM242" s="11">
        <f>VLOOKUP($H242,output!$A$10:$AH$2201,AM$1-$J$1+2)</f>
        <v>0</v>
      </c>
      <c r="AN242" s="11">
        <f>VLOOKUP($H242,output!$A$10:$AH$2201,AN$1-$J$1+2)</f>
        <v>0</v>
      </c>
      <c r="AO242" s="11">
        <f>VLOOKUP($H242,output!$A$10:$AH$2201,AO$1-$J$1+2)</f>
        <v>0</v>
      </c>
      <c r="AP242" s="11">
        <f>VLOOKUP($H242,output!$A$10:$AH$2201,AP$1-$J$1+2)</f>
        <v>0</v>
      </c>
    </row>
    <row r="243" spans="8:42" x14ac:dyDescent="0.25">
      <c r="H243" t="s">
        <v>40</v>
      </c>
      <c r="J243" s="11">
        <f>VLOOKUP($H243,output!$A$10:$AH$2201,J$1-$J$1+2)</f>
        <v>0</v>
      </c>
      <c r="K243" s="11">
        <f>VLOOKUP($H243,output!$A$10:$AH$2201,K$1-$J$1+2)</f>
        <v>174.619</v>
      </c>
      <c r="L243" s="11">
        <f>VLOOKUP($H243,output!$A$10:$AH$2201,L$1-$J$1+2)</f>
        <v>133.69</v>
      </c>
      <c r="M243" s="11">
        <f>VLOOKUP($H243,output!$A$10:$AH$2201,M$1-$J$1+2)</f>
        <v>125.655</v>
      </c>
      <c r="N243" s="11">
        <f>VLOOKUP($H243,output!$A$10:$AH$2201,N$1-$J$1+2)</f>
        <v>158.42599999999999</v>
      </c>
      <c r="O243" s="11">
        <f>VLOOKUP($H243,output!$A$10:$AH$2201,O$1-$J$1+2)</f>
        <v>151.721</v>
      </c>
      <c r="P243" s="11">
        <f>VLOOKUP($H243,output!$A$10:$AH$2201,P$1-$J$1+2)</f>
        <v>142.83199999999999</v>
      </c>
      <c r="Q243" s="11">
        <f>VLOOKUP($H243,output!$A$10:$AH$2201,Q$1-$J$1+2)</f>
        <v>134.17699999999999</v>
      </c>
      <c r="R243" s="11">
        <f>VLOOKUP($H243,output!$A$10:$AH$2201,R$1-$J$1+2)</f>
        <v>171.322</v>
      </c>
      <c r="S243" s="11">
        <f>VLOOKUP($H243,output!$A$10:$AH$2201,S$1-$J$1+2)</f>
        <v>161.572</v>
      </c>
      <c r="T243" s="11">
        <f>VLOOKUP($H243,output!$A$10:$AH$2201,T$1-$J$1+2)</f>
        <v>179.059</v>
      </c>
      <c r="U243" s="11">
        <f>VLOOKUP($H243,output!$A$10:$AH$2201,U$1-$J$1+2)</f>
        <v>198.381</v>
      </c>
      <c r="V243" s="11">
        <f>VLOOKUP($H243,output!$A$10:$AH$2201,V$1-$J$1+2)</f>
        <v>217.12899999999999</v>
      </c>
      <c r="W243" s="11">
        <f>VLOOKUP($H243,output!$A$10:$AH$2201,W$1-$J$1+2)</f>
        <v>228.785</v>
      </c>
      <c r="X243" s="11">
        <f>VLOOKUP($H243,output!$A$10:$AH$2201,X$1-$J$1+2)</f>
        <v>249.29</v>
      </c>
      <c r="Y243" s="11">
        <f>VLOOKUP($H243,output!$A$10:$AH$2201,Y$1-$J$1+2)</f>
        <v>260.67599999999999</v>
      </c>
      <c r="Z243" s="11">
        <f>VLOOKUP($H243,output!$A$10:$AH$2201,Z$1-$J$1+2)</f>
        <v>208.41800000000001</v>
      </c>
      <c r="AA243" s="11">
        <f>VLOOKUP($H243,output!$A$10:$AH$2201,AA$1-$J$1+2)</f>
        <v>275.66300000000001</v>
      </c>
      <c r="AB243" s="11">
        <f>VLOOKUP($H243,output!$A$10:$AH$2201,AB$1-$J$1+2)</f>
        <v>216.58500000000001</v>
      </c>
      <c r="AC243" s="11">
        <f>VLOOKUP($H243,output!$A$10:$AH$2201,AC$1-$J$1+2)</f>
        <v>214.316</v>
      </c>
      <c r="AD243" s="11">
        <f>VLOOKUP($H243,output!$A$10:$AH$2201,AD$1-$J$1+2)</f>
        <v>179.24600000000001</v>
      </c>
      <c r="AE243" s="11">
        <f>VLOOKUP($H243,output!$A$10:$AH$2201,AE$1-$J$1+2)</f>
        <v>139.40600000000001</v>
      </c>
      <c r="AF243" s="11">
        <f>VLOOKUP($H243,output!$A$10:$AH$2201,AF$1-$J$1+2)</f>
        <v>105.514</v>
      </c>
      <c r="AG243" s="11">
        <f>VLOOKUP($H243,output!$A$10:$AH$2201,AG$1-$J$1+2)</f>
        <v>149.63200000000001</v>
      </c>
      <c r="AH243" s="11">
        <f>VLOOKUP($H243,output!$A$10:$AH$2201,AH$1-$J$1+2)</f>
        <v>111.46</v>
      </c>
      <c r="AI243" s="11">
        <f>VLOOKUP($H243,output!$A$10:$AH$2201,AI$1-$J$1+2)</f>
        <v>120.236</v>
      </c>
      <c r="AJ243" s="11">
        <f>VLOOKUP($H243,output!$A$10:$AH$2201,AJ$1-$J$1+2)</f>
        <v>131.83799999999999</v>
      </c>
      <c r="AK243" s="11">
        <f>VLOOKUP($H243,output!$A$10:$AH$2201,AK$1-$J$1+2)</f>
        <v>141.38200000000001</v>
      </c>
      <c r="AL243" s="11">
        <f>VLOOKUP($H243,output!$A$10:$AH$2201,AL$1-$J$1+2)</f>
        <v>0</v>
      </c>
      <c r="AM243" s="11">
        <f>VLOOKUP($H243,output!$A$10:$AH$2201,AM$1-$J$1+2)</f>
        <v>0</v>
      </c>
      <c r="AN243" s="11">
        <f>VLOOKUP($H243,output!$A$10:$AH$2201,AN$1-$J$1+2)</f>
        <v>0</v>
      </c>
      <c r="AO243" s="11">
        <f>VLOOKUP($H243,output!$A$10:$AH$2201,AO$1-$J$1+2)</f>
        <v>0</v>
      </c>
      <c r="AP243" s="11">
        <f>VLOOKUP($H243,output!$A$10:$AH$2201,AP$1-$J$1+2)</f>
        <v>0</v>
      </c>
    </row>
    <row r="244" spans="8:42" x14ac:dyDescent="0.25">
      <c r="H244" t="s">
        <v>41</v>
      </c>
      <c r="J244" s="11">
        <f>VLOOKUP($H244,output!$A$10:$AH$2201,J$1-$J$1+2)</f>
        <v>0</v>
      </c>
      <c r="K244" s="11">
        <f>VLOOKUP($H244,output!$A$10:$AH$2201,K$1-$J$1+2)</f>
        <v>514.33500000000004</v>
      </c>
      <c r="L244" s="11">
        <f>VLOOKUP($H244,output!$A$10:$AH$2201,L$1-$J$1+2)</f>
        <v>636.47299999999996</v>
      </c>
      <c r="M244" s="11">
        <f>VLOOKUP($H244,output!$A$10:$AH$2201,M$1-$J$1+2)</f>
        <v>517.43600000000004</v>
      </c>
      <c r="N244" s="11">
        <f>VLOOKUP($H244,output!$A$10:$AH$2201,N$1-$J$1+2)</f>
        <v>525.29</v>
      </c>
      <c r="O244" s="11">
        <f>VLOOKUP($H244,output!$A$10:$AH$2201,O$1-$J$1+2)</f>
        <v>434.74</v>
      </c>
      <c r="P244" s="11">
        <f>VLOOKUP($H244,output!$A$10:$AH$2201,P$1-$J$1+2)</f>
        <v>334.22500000000002</v>
      </c>
      <c r="Q244" s="11">
        <f>VLOOKUP($H244,output!$A$10:$AH$2201,Q$1-$J$1+2)</f>
        <v>242.89</v>
      </c>
      <c r="R244" s="11">
        <f>VLOOKUP($H244,output!$A$10:$AH$2201,R$1-$J$1+2)</f>
        <v>361.96199999999999</v>
      </c>
      <c r="S244" s="11">
        <f>VLOOKUP($H244,output!$A$10:$AH$2201,S$1-$J$1+2)</f>
        <v>262.10000000000002</v>
      </c>
      <c r="T244" s="11">
        <f>VLOOKUP($H244,output!$A$10:$AH$2201,T$1-$J$1+2)</f>
        <v>285.238</v>
      </c>
      <c r="U244" s="11">
        <f>VLOOKUP($H244,output!$A$10:$AH$2201,U$1-$J$1+2)</f>
        <v>315.29700000000003</v>
      </c>
      <c r="V244" s="11">
        <f>VLOOKUP($H244,output!$A$10:$AH$2201,V$1-$J$1+2)</f>
        <v>339.197</v>
      </c>
      <c r="W244" s="11">
        <f>VLOOKUP($H244,output!$A$10:$AH$2201,W$1-$J$1+2)</f>
        <v>350.42200000000003</v>
      </c>
      <c r="X244" s="11">
        <f>VLOOKUP($H244,output!$A$10:$AH$2201,X$1-$J$1+2)</f>
        <v>394.88600000000002</v>
      </c>
      <c r="Y244" s="11">
        <f>VLOOKUP($H244,output!$A$10:$AH$2201,Y$1-$J$1+2)</f>
        <v>415.048</v>
      </c>
      <c r="Z244" s="11">
        <f>VLOOKUP($H244,output!$A$10:$AH$2201,Z$1-$J$1+2)</f>
        <v>333.64</v>
      </c>
      <c r="AA244" s="11">
        <f>VLOOKUP($H244,output!$A$10:$AH$2201,AA$1-$J$1+2)</f>
        <v>448.154</v>
      </c>
      <c r="AB244" s="11">
        <f>VLOOKUP($H244,output!$A$10:$AH$2201,AB$1-$J$1+2)</f>
        <v>360.78699999999998</v>
      </c>
      <c r="AC244" s="11">
        <f>VLOOKUP($H244,output!$A$10:$AH$2201,AC$1-$J$1+2)</f>
        <v>357.05599999999998</v>
      </c>
      <c r="AD244" s="11">
        <f>VLOOKUP($H244,output!$A$10:$AH$2201,AD$1-$J$1+2)</f>
        <v>297.51900000000001</v>
      </c>
      <c r="AE244" s="11">
        <f>VLOOKUP($H244,output!$A$10:$AH$2201,AE$1-$J$1+2)</f>
        <v>225.048</v>
      </c>
      <c r="AF244" s="11">
        <f>VLOOKUP($H244,output!$A$10:$AH$2201,AF$1-$J$1+2)</f>
        <v>167.11500000000001</v>
      </c>
      <c r="AG244" s="11">
        <f>VLOOKUP($H244,output!$A$10:$AH$2201,AG$1-$J$1+2)</f>
        <v>235.55199999999999</v>
      </c>
      <c r="AH244" s="11">
        <f>VLOOKUP($H244,output!$A$10:$AH$2201,AH$1-$J$1+2)</f>
        <v>171.727</v>
      </c>
      <c r="AI244" s="11">
        <f>VLOOKUP($H244,output!$A$10:$AH$2201,AI$1-$J$1+2)</f>
        <v>182.45</v>
      </c>
      <c r="AJ244" s="11">
        <f>VLOOKUP($H244,output!$A$10:$AH$2201,AJ$1-$J$1+2)</f>
        <v>197.471</v>
      </c>
      <c r="AK244" s="11">
        <f>VLOOKUP($H244,output!$A$10:$AH$2201,AK$1-$J$1+2)</f>
        <v>209.977</v>
      </c>
      <c r="AL244" s="11">
        <f>VLOOKUP($H244,output!$A$10:$AH$2201,AL$1-$J$1+2)</f>
        <v>0</v>
      </c>
      <c r="AM244" s="11">
        <f>VLOOKUP($H244,output!$A$10:$AH$2201,AM$1-$J$1+2)</f>
        <v>0</v>
      </c>
      <c r="AN244" s="11">
        <f>VLOOKUP($H244,output!$A$10:$AH$2201,AN$1-$J$1+2)</f>
        <v>0</v>
      </c>
      <c r="AO244" s="11">
        <f>VLOOKUP($H244,output!$A$10:$AH$2201,AO$1-$J$1+2)</f>
        <v>0</v>
      </c>
      <c r="AP244" s="11">
        <f>VLOOKUP($H244,output!$A$10:$AH$2201,AP$1-$J$1+2)</f>
        <v>0</v>
      </c>
    </row>
    <row r="245" spans="8:42" x14ac:dyDescent="0.25">
      <c r="H245" t="s">
        <v>42</v>
      </c>
      <c r="J245" s="11">
        <f>VLOOKUP($H245,output!$A$10:$AH$2201,J$1-$J$1+2)</f>
        <v>0</v>
      </c>
      <c r="K245" s="11">
        <f>VLOOKUP($H245,output!$A$10:$AH$2201,K$1-$J$1+2)</f>
        <v>6.7770000000000001</v>
      </c>
      <c r="L245" s="11">
        <f>VLOOKUP($H245,output!$A$10:$AH$2201,L$1-$J$1+2)</f>
        <v>1.9530000000000001</v>
      </c>
      <c r="M245" s="11">
        <f>VLOOKUP($H245,output!$A$10:$AH$2201,M$1-$J$1+2)</f>
        <v>2.073</v>
      </c>
      <c r="N245" s="11">
        <f>VLOOKUP($H245,output!$A$10:$AH$2201,N$1-$J$1+2)</f>
        <v>3.07</v>
      </c>
      <c r="O245" s="11">
        <f>VLOOKUP($H245,output!$A$10:$AH$2201,O$1-$J$1+2)</f>
        <v>3.2749999999999999</v>
      </c>
      <c r="P245" s="11">
        <f>VLOOKUP($H245,output!$A$10:$AH$2201,P$1-$J$1+2)</f>
        <v>3.5830000000000002</v>
      </c>
      <c r="Q245" s="11">
        <f>VLOOKUP($H245,output!$A$10:$AH$2201,Q$1-$J$1+2)</f>
        <v>3.8919999999999999</v>
      </c>
      <c r="R245" s="11">
        <f>VLOOKUP($H245,output!$A$10:$AH$2201,R$1-$J$1+2)</f>
        <v>4.4219999999999997</v>
      </c>
      <c r="S245" s="11">
        <f>VLOOKUP($H245,output!$A$10:$AH$2201,S$1-$J$1+2)</f>
        <v>4.7080000000000002</v>
      </c>
      <c r="T245" s="11">
        <f>VLOOKUP($H245,output!$A$10:$AH$2201,T$1-$J$1+2)</f>
        <v>5.0999999999999996</v>
      </c>
      <c r="U245" s="11">
        <f>VLOOKUP($H245,output!$A$10:$AH$2201,U$1-$J$1+2)</f>
        <v>5.4210000000000003</v>
      </c>
      <c r="V245" s="11">
        <f>VLOOKUP($H245,output!$A$10:$AH$2201,V$1-$J$1+2)</f>
        <v>5.7089999999999996</v>
      </c>
      <c r="W245" s="11">
        <f>VLOOKUP($H245,output!$A$10:$AH$2201,W$1-$J$1+2)</f>
        <v>6.0709999999999997</v>
      </c>
      <c r="X245" s="11">
        <f>VLOOKUP($H245,output!$A$10:$AH$2201,X$1-$J$1+2)</f>
        <v>6.4820000000000002</v>
      </c>
      <c r="Y245" s="11">
        <f>VLOOKUP($H245,output!$A$10:$AH$2201,Y$1-$J$1+2)</f>
        <v>6.7830000000000004</v>
      </c>
      <c r="Z245" s="11">
        <f>VLOOKUP($H245,output!$A$10:$AH$2201,Z$1-$J$1+2)</f>
        <v>5.3570000000000002</v>
      </c>
      <c r="AA245" s="11">
        <f>VLOOKUP($H245,output!$A$10:$AH$2201,AA$1-$J$1+2)</f>
        <v>6.9390000000000001</v>
      </c>
      <c r="AB245" s="11">
        <f>VLOOKUP($H245,output!$A$10:$AH$2201,AB$1-$J$1+2)</f>
        <v>5.6630000000000003</v>
      </c>
      <c r="AC245" s="11">
        <f>VLOOKUP($H245,output!$A$10:$AH$2201,AC$1-$J$1+2)</f>
        <v>5.6319999999999997</v>
      </c>
      <c r="AD245" s="11">
        <f>VLOOKUP($H245,output!$A$10:$AH$2201,AD$1-$J$1+2)</f>
        <v>4.7380000000000004</v>
      </c>
      <c r="AE245" s="11">
        <f>VLOOKUP($H245,output!$A$10:$AH$2201,AE$1-$J$1+2)</f>
        <v>3.7549999999999999</v>
      </c>
      <c r="AF245" s="11">
        <f>VLOOKUP($H245,output!$A$10:$AH$2201,AF$1-$J$1+2)</f>
        <v>2.8679999999999999</v>
      </c>
      <c r="AG245" s="11">
        <f>VLOOKUP($H245,output!$A$10:$AH$2201,AG$1-$J$1+2)</f>
        <v>4.0549999999999997</v>
      </c>
      <c r="AH245" s="11">
        <f>VLOOKUP($H245,output!$A$10:$AH$2201,AH$1-$J$1+2)</f>
        <v>3.0569999999999999</v>
      </c>
      <c r="AI245" s="11">
        <f>VLOOKUP($H245,output!$A$10:$AH$2201,AI$1-$J$1+2)</f>
        <v>3.3130000000000002</v>
      </c>
      <c r="AJ245" s="11">
        <f>VLOOKUP($H245,output!$A$10:$AH$2201,AJ$1-$J$1+2)</f>
        <v>3.637</v>
      </c>
      <c r="AK245" s="11">
        <f>VLOOKUP($H245,output!$A$10:$AH$2201,AK$1-$J$1+2)</f>
        <v>3.8940000000000001</v>
      </c>
      <c r="AL245" s="11">
        <f>VLOOKUP($H245,output!$A$10:$AH$2201,AL$1-$J$1+2)</f>
        <v>0</v>
      </c>
      <c r="AM245" s="11">
        <f>VLOOKUP($H245,output!$A$10:$AH$2201,AM$1-$J$1+2)</f>
        <v>0</v>
      </c>
      <c r="AN245" s="11">
        <f>VLOOKUP($H245,output!$A$10:$AH$2201,AN$1-$J$1+2)</f>
        <v>0</v>
      </c>
      <c r="AO245" s="11">
        <f>VLOOKUP($H245,output!$A$10:$AH$2201,AO$1-$J$1+2)</f>
        <v>0</v>
      </c>
      <c r="AP245" s="11">
        <f>VLOOKUP($H245,output!$A$10:$AH$2201,AP$1-$J$1+2)</f>
        <v>0</v>
      </c>
    </row>
    <row r="247" spans="8:42" x14ac:dyDescent="0.25">
      <c r="H247" t="s">
        <v>43</v>
      </c>
      <c r="J247" s="11">
        <f>VLOOKUP($H247,output!$A$10:$AH$2201,J$1-$J$1+2)</f>
        <v>0</v>
      </c>
      <c r="K247" s="11">
        <f>VLOOKUP($H247,output!$A$10:$AH$2201,K$1-$J$1+2)</f>
        <v>8.5440000000000005</v>
      </c>
      <c r="L247" s="11">
        <f>VLOOKUP($H247,output!$A$10:$AH$2201,L$1-$J$1+2)</f>
        <v>0</v>
      </c>
      <c r="M247" s="11">
        <f>VLOOKUP($H247,output!$A$10:$AH$2201,M$1-$J$1+2)</f>
        <v>13.557</v>
      </c>
      <c r="N247" s="11">
        <f>VLOOKUP($H247,output!$A$10:$AH$2201,N$1-$J$1+2)</f>
        <v>8.7490000000000006</v>
      </c>
      <c r="O247" s="11">
        <f>VLOOKUP($H247,output!$A$10:$AH$2201,O$1-$J$1+2)</f>
        <v>19.196999999999999</v>
      </c>
      <c r="P247" s="11">
        <f>VLOOKUP($H247,output!$A$10:$AH$2201,P$1-$J$1+2)</f>
        <v>31.212</v>
      </c>
      <c r="Q247" s="11">
        <f>VLOOKUP($H247,output!$A$10:$AH$2201,Q$1-$J$1+2)</f>
        <v>42.710999999999999</v>
      </c>
      <c r="R247" s="11">
        <f>VLOOKUP($H247,output!$A$10:$AH$2201,R$1-$J$1+2)</f>
        <v>25.559000000000001</v>
      </c>
      <c r="S247" s="11">
        <f>VLOOKUP($H247,output!$A$10:$AH$2201,S$1-$J$1+2)</f>
        <v>38.691000000000003</v>
      </c>
      <c r="T247" s="11">
        <f>VLOOKUP($H247,output!$A$10:$AH$2201,T$1-$J$1+2)</f>
        <v>34.564</v>
      </c>
      <c r="U247" s="11">
        <f>VLOOKUP($H247,output!$A$10:$AH$2201,U$1-$J$1+2)</f>
        <v>29.053999999999998</v>
      </c>
      <c r="V247" s="11">
        <f>VLOOKUP($H247,output!$A$10:$AH$2201,V$1-$J$1+2)</f>
        <v>24.024000000000001</v>
      </c>
      <c r="W247" s="11">
        <f>VLOOKUP($H247,output!$A$10:$AH$2201,W$1-$J$1+2)</f>
        <v>0</v>
      </c>
      <c r="X247" s="11">
        <f>VLOOKUP($H247,output!$A$10:$AH$2201,X$1-$J$1+2)</f>
        <v>0</v>
      </c>
      <c r="Y247" s="11">
        <f>VLOOKUP($H247,output!$A$10:$AH$2201,Y$1-$J$1+2)</f>
        <v>0</v>
      </c>
      <c r="Z247" s="11">
        <f>VLOOKUP($H247,output!$A$10:$AH$2201,Z$1-$J$1+2)</f>
        <v>0</v>
      </c>
      <c r="AA247" s="11">
        <f>VLOOKUP($H247,output!$A$10:$AH$2201,AA$1-$J$1+2)</f>
        <v>0</v>
      </c>
      <c r="AB247" s="11">
        <f>VLOOKUP($H247,output!$A$10:$AH$2201,AB$1-$J$1+2)</f>
        <v>0</v>
      </c>
      <c r="AC247" s="11">
        <f>VLOOKUP($H247,output!$A$10:$AH$2201,AC$1-$J$1+2)</f>
        <v>0</v>
      </c>
      <c r="AD247" s="11">
        <f>VLOOKUP($H247,output!$A$10:$AH$2201,AD$1-$J$1+2)</f>
        <v>0</v>
      </c>
      <c r="AE247" s="11">
        <f>VLOOKUP($H247,output!$A$10:$AH$2201,AE$1-$J$1+2)</f>
        <v>0</v>
      </c>
      <c r="AF247" s="11">
        <f>VLOOKUP($H247,output!$A$10:$AH$2201,AF$1-$J$1+2)</f>
        <v>0</v>
      </c>
      <c r="AG247" s="11">
        <f>VLOOKUP($H247,output!$A$10:$AH$2201,AG$1-$J$1+2)</f>
        <v>0</v>
      </c>
      <c r="AH247" s="11">
        <f>VLOOKUP($H247,output!$A$10:$AH$2201,AH$1-$J$1+2)</f>
        <v>0</v>
      </c>
      <c r="AI247" s="11">
        <f>VLOOKUP($H247,output!$A$10:$AH$2201,AI$1-$J$1+2)</f>
        <v>0</v>
      </c>
      <c r="AJ247" s="11">
        <f>VLOOKUP($H247,output!$A$10:$AH$2201,AJ$1-$J$1+2)</f>
        <v>0</v>
      </c>
      <c r="AK247" s="11">
        <f>VLOOKUP($H247,output!$A$10:$AH$2201,AK$1-$J$1+2)</f>
        <v>0</v>
      </c>
      <c r="AL247" s="11">
        <f>VLOOKUP($H247,output!$A$10:$AH$2201,AL$1-$J$1+2)</f>
        <v>0</v>
      </c>
      <c r="AM247" s="11">
        <f>VLOOKUP($H247,output!$A$10:$AH$2201,AM$1-$J$1+2)</f>
        <v>0</v>
      </c>
      <c r="AN247" s="11">
        <f>VLOOKUP($H247,output!$A$10:$AH$2201,AN$1-$J$1+2)</f>
        <v>0</v>
      </c>
      <c r="AO247" s="11">
        <f>VLOOKUP($H247,output!$A$10:$AH$2201,AO$1-$J$1+2)</f>
        <v>0</v>
      </c>
      <c r="AP247" s="11">
        <f>VLOOKUP($H247,output!$A$10:$AH$2201,AP$1-$J$1+2)</f>
        <v>0</v>
      </c>
    </row>
    <row r="248" spans="8:42" x14ac:dyDescent="0.25">
      <c r="H248" t="s">
        <v>44</v>
      </c>
      <c r="J248" s="11">
        <f>VLOOKUP($H248,output!$A$10:$AH$2201,J$1-$J$1+2)</f>
        <v>0</v>
      </c>
      <c r="K248" s="11">
        <f>VLOOKUP($H248,output!$A$10:$AH$2201,K$1-$J$1+2)</f>
        <v>137.66499999999999</v>
      </c>
      <c r="L248" s="11">
        <f>VLOOKUP($H248,output!$A$10:$AH$2201,L$1-$J$1+2)</f>
        <v>107.455</v>
      </c>
      <c r="M248" s="11">
        <f>VLOOKUP($H248,output!$A$10:$AH$2201,M$1-$J$1+2)</f>
        <v>107.03400000000001</v>
      </c>
      <c r="N248" s="11">
        <f>VLOOKUP($H248,output!$A$10:$AH$2201,N$1-$J$1+2)</f>
        <v>121.91200000000001</v>
      </c>
      <c r="O248" s="11">
        <f>VLOOKUP($H248,output!$A$10:$AH$2201,O$1-$J$1+2)</f>
        <v>120.974</v>
      </c>
      <c r="P248" s="11">
        <f>VLOOKUP($H248,output!$A$10:$AH$2201,P$1-$J$1+2)</f>
        <v>119.73</v>
      </c>
      <c r="Q248" s="11">
        <f>VLOOKUP($H248,output!$A$10:$AH$2201,Q$1-$J$1+2)</f>
        <v>118.252</v>
      </c>
      <c r="R248" s="11">
        <f>VLOOKUP($H248,output!$A$10:$AH$2201,R$1-$J$1+2)</f>
        <v>127.758</v>
      </c>
      <c r="S248" s="11">
        <f>VLOOKUP($H248,output!$A$10:$AH$2201,S$1-$J$1+2)</f>
        <v>126.67100000000001</v>
      </c>
      <c r="T248" s="11">
        <f>VLOOKUP($H248,output!$A$10:$AH$2201,T$1-$J$1+2)</f>
        <v>130.482</v>
      </c>
      <c r="U248" s="11">
        <f>VLOOKUP($H248,output!$A$10:$AH$2201,U$1-$J$1+2)</f>
        <v>134.49299999999999</v>
      </c>
      <c r="V248" s="11">
        <f>VLOOKUP($H248,output!$A$10:$AH$2201,V$1-$J$1+2)</f>
        <v>138.35900000000001</v>
      </c>
      <c r="W248" s="11">
        <f>VLOOKUP($H248,output!$A$10:$AH$2201,W$1-$J$1+2)</f>
        <v>0</v>
      </c>
      <c r="X248" s="11">
        <f>VLOOKUP($H248,output!$A$10:$AH$2201,X$1-$J$1+2)</f>
        <v>0</v>
      </c>
      <c r="Y248" s="11">
        <f>VLOOKUP($H248,output!$A$10:$AH$2201,Y$1-$J$1+2)</f>
        <v>0</v>
      </c>
      <c r="Z248" s="11">
        <f>VLOOKUP($H248,output!$A$10:$AH$2201,Z$1-$J$1+2)</f>
        <v>0</v>
      </c>
      <c r="AA248" s="11">
        <f>VLOOKUP($H248,output!$A$10:$AH$2201,AA$1-$J$1+2)</f>
        <v>0</v>
      </c>
      <c r="AB248" s="11">
        <f>VLOOKUP($H248,output!$A$10:$AH$2201,AB$1-$J$1+2)</f>
        <v>0</v>
      </c>
      <c r="AC248" s="11">
        <f>VLOOKUP($H248,output!$A$10:$AH$2201,AC$1-$J$1+2)</f>
        <v>0</v>
      </c>
      <c r="AD248" s="11">
        <f>VLOOKUP($H248,output!$A$10:$AH$2201,AD$1-$J$1+2)</f>
        <v>0</v>
      </c>
      <c r="AE248" s="11">
        <f>VLOOKUP($H248,output!$A$10:$AH$2201,AE$1-$J$1+2)</f>
        <v>0</v>
      </c>
      <c r="AF248" s="11">
        <f>VLOOKUP($H248,output!$A$10:$AH$2201,AF$1-$J$1+2)</f>
        <v>0</v>
      </c>
      <c r="AG248" s="11">
        <f>VLOOKUP($H248,output!$A$10:$AH$2201,AG$1-$J$1+2)</f>
        <v>0</v>
      </c>
      <c r="AH248" s="11">
        <f>VLOOKUP($H248,output!$A$10:$AH$2201,AH$1-$J$1+2)</f>
        <v>0</v>
      </c>
      <c r="AI248" s="11">
        <f>VLOOKUP($H248,output!$A$10:$AH$2201,AI$1-$J$1+2)</f>
        <v>0</v>
      </c>
      <c r="AJ248" s="11">
        <f>VLOOKUP($H248,output!$A$10:$AH$2201,AJ$1-$J$1+2)</f>
        <v>0</v>
      </c>
      <c r="AK248" s="11">
        <f>VLOOKUP($H248,output!$A$10:$AH$2201,AK$1-$J$1+2)</f>
        <v>0</v>
      </c>
      <c r="AL248" s="11">
        <f>VLOOKUP($H248,output!$A$10:$AH$2201,AL$1-$J$1+2)</f>
        <v>0</v>
      </c>
      <c r="AM248" s="11">
        <f>VLOOKUP($H248,output!$A$10:$AH$2201,AM$1-$J$1+2)</f>
        <v>0</v>
      </c>
      <c r="AN248" s="11">
        <f>VLOOKUP($H248,output!$A$10:$AH$2201,AN$1-$J$1+2)</f>
        <v>0</v>
      </c>
      <c r="AO248" s="11">
        <f>VLOOKUP($H248,output!$A$10:$AH$2201,AO$1-$J$1+2)</f>
        <v>0</v>
      </c>
      <c r="AP248" s="11">
        <f>VLOOKUP($H248,output!$A$10:$AH$2201,AP$1-$J$1+2)</f>
        <v>0</v>
      </c>
    </row>
    <row r="249" spans="8:42" x14ac:dyDescent="0.25">
      <c r="H249" t="s">
        <v>45</v>
      </c>
      <c r="J249" s="11">
        <f>VLOOKUP($H249,output!$A$10:$AH$2201,J$1-$J$1+2)</f>
        <v>0</v>
      </c>
      <c r="K249" s="11">
        <f>VLOOKUP($H249,output!$A$10:$AH$2201,K$1-$J$1+2)</f>
        <v>94.536000000000001</v>
      </c>
      <c r="L249" s="11">
        <f>VLOOKUP($H249,output!$A$10:$AH$2201,L$1-$J$1+2)</f>
        <v>133.28800000000001</v>
      </c>
      <c r="M249" s="11">
        <f>VLOOKUP($H249,output!$A$10:$AH$2201,M$1-$J$1+2)</f>
        <v>119.46899999999999</v>
      </c>
      <c r="N249" s="11">
        <f>VLOOKUP($H249,output!$A$10:$AH$2201,N$1-$J$1+2)</f>
        <v>106.818</v>
      </c>
      <c r="O249" s="11">
        <f>VLOOKUP($H249,output!$A$10:$AH$2201,O$1-$J$1+2)</f>
        <v>96.432000000000002</v>
      </c>
      <c r="P249" s="11">
        <f>VLOOKUP($H249,output!$A$10:$AH$2201,P$1-$J$1+2)</f>
        <v>85.007000000000005</v>
      </c>
      <c r="Q249" s="11">
        <f>VLOOKUP($H249,output!$A$10:$AH$2201,Q$1-$J$1+2)</f>
        <v>74.412000000000006</v>
      </c>
      <c r="R249" s="11">
        <f>VLOOKUP($H249,output!$A$10:$AH$2201,R$1-$J$1+2)</f>
        <v>81.066999999999993</v>
      </c>
      <c r="S249" s="11">
        <f>VLOOKUP($H249,output!$A$10:$AH$2201,S$1-$J$1+2)</f>
        <v>69.204999999999998</v>
      </c>
      <c r="T249" s="11">
        <f>VLOOKUP($H249,output!$A$10:$AH$2201,T$1-$J$1+2)</f>
        <v>68.738</v>
      </c>
      <c r="U249" s="11">
        <f>VLOOKUP($H249,output!$A$10:$AH$2201,U$1-$J$1+2)</f>
        <v>69.262</v>
      </c>
      <c r="V249" s="11">
        <f>VLOOKUP($H249,output!$A$10:$AH$2201,V$1-$J$1+2)</f>
        <v>69.234999999999999</v>
      </c>
      <c r="W249" s="11">
        <f>VLOOKUP($H249,output!$A$10:$AH$2201,W$1-$J$1+2)</f>
        <v>0</v>
      </c>
      <c r="X249" s="11">
        <f>VLOOKUP($H249,output!$A$10:$AH$2201,X$1-$J$1+2)</f>
        <v>0</v>
      </c>
      <c r="Y249" s="11">
        <f>VLOOKUP($H249,output!$A$10:$AH$2201,Y$1-$J$1+2)</f>
        <v>0</v>
      </c>
      <c r="Z249" s="11">
        <f>VLOOKUP($H249,output!$A$10:$AH$2201,Z$1-$J$1+2)</f>
        <v>0</v>
      </c>
      <c r="AA249" s="11">
        <f>VLOOKUP($H249,output!$A$10:$AH$2201,AA$1-$J$1+2)</f>
        <v>0</v>
      </c>
      <c r="AB249" s="11">
        <f>VLOOKUP($H249,output!$A$10:$AH$2201,AB$1-$J$1+2)</f>
        <v>0</v>
      </c>
      <c r="AC249" s="11">
        <f>VLOOKUP($H249,output!$A$10:$AH$2201,AC$1-$J$1+2)</f>
        <v>0</v>
      </c>
      <c r="AD249" s="11">
        <f>VLOOKUP($H249,output!$A$10:$AH$2201,AD$1-$J$1+2)</f>
        <v>0</v>
      </c>
      <c r="AE249" s="11">
        <f>VLOOKUP($H249,output!$A$10:$AH$2201,AE$1-$J$1+2)</f>
        <v>0</v>
      </c>
      <c r="AF249" s="11">
        <f>VLOOKUP($H249,output!$A$10:$AH$2201,AF$1-$J$1+2)</f>
        <v>0</v>
      </c>
      <c r="AG249" s="11">
        <f>VLOOKUP($H249,output!$A$10:$AH$2201,AG$1-$J$1+2)</f>
        <v>0</v>
      </c>
      <c r="AH249" s="11">
        <f>VLOOKUP($H249,output!$A$10:$AH$2201,AH$1-$J$1+2)</f>
        <v>0</v>
      </c>
      <c r="AI249" s="11">
        <f>VLOOKUP($H249,output!$A$10:$AH$2201,AI$1-$J$1+2)</f>
        <v>0</v>
      </c>
      <c r="AJ249" s="11">
        <f>VLOOKUP($H249,output!$A$10:$AH$2201,AJ$1-$J$1+2)</f>
        <v>0</v>
      </c>
      <c r="AK249" s="11">
        <f>VLOOKUP($H249,output!$A$10:$AH$2201,AK$1-$J$1+2)</f>
        <v>0</v>
      </c>
      <c r="AL249" s="11">
        <f>VLOOKUP($H249,output!$A$10:$AH$2201,AL$1-$J$1+2)</f>
        <v>0</v>
      </c>
      <c r="AM249" s="11">
        <f>VLOOKUP($H249,output!$A$10:$AH$2201,AM$1-$J$1+2)</f>
        <v>0</v>
      </c>
      <c r="AN249" s="11">
        <f>VLOOKUP($H249,output!$A$10:$AH$2201,AN$1-$J$1+2)</f>
        <v>0</v>
      </c>
      <c r="AO249" s="11">
        <f>VLOOKUP($H249,output!$A$10:$AH$2201,AO$1-$J$1+2)</f>
        <v>0</v>
      </c>
      <c r="AP249" s="11">
        <f>VLOOKUP($H249,output!$A$10:$AH$2201,AP$1-$J$1+2)</f>
        <v>0</v>
      </c>
    </row>
    <row r="250" spans="8:42" x14ac:dyDescent="0.25">
      <c r="H250" t="s">
        <v>46</v>
      </c>
      <c r="J250" s="11">
        <f>VLOOKUP($H250,output!$A$10:$AH$2201,J$1-$J$1+2)</f>
        <v>0</v>
      </c>
      <c r="K250" s="11">
        <f>VLOOKUP($H250,output!$A$10:$AH$2201,K$1-$J$1+2)</f>
        <v>94.536000000000001</v>
      </c>
      <c r="L250" s="11">
        <f>VLOOKUP($H250,output!$A$10:$AH$2201,L$1-$J$1+2)</f>
        <v>133.28800000000001</v>
      </c>
      <c r="M250" s="11">
        <f>VLOOKUP($H250,output!$A$10:$AH$2201,M$1-$J$1+2)</f>
        <v>119.46899999999999</v>
      </c>
      <c r="N250" s="11">
        <f>VLOOKUP($H250,output!$A$10:$AH$2201,N$1-$J$1+2)</f>
        <v>106.818</v>
      </c>
      <c r="O250" s="11">
        <f>VLOOKUP($H250,output!$A$10:$AH$2201,O$1-$J$1+2)</f>
        <v>96.432000000000002</v>
      </c>
      <c r="P250" s="11">
        <f>VLOOKUP($H250,output!$A$10:$AH$2201,P$1-$J$1+2)</f>
        <v>85.007000000000005</v>
      </c>
      <c r="Q250" s="11">
        <f>VLOOKUP($H250,output!$A$10:$AH$2201,Q$1-$J$1+2)</f>
        <v>74.412000000000006</v>
      </c>
      <c r="R250" s="11">
        <f>VLOOKUP($H250,output!$A$10:$AH$2201,R$1-$J$1+2)</f>
        <v>81.066999999999993</v>
      </c>
      <c r="S250" s="11">
        <f>VLOOKUP($H250,output!$A$10:$AH$2201,S$1-$J$1+2)</f>
        <v>69.204999999999998</v>
      </c>
      <c r="T250" s="11">
        <f>VLOOKUP($H250,output!$A$10:$AH$2201,T$1-$J$1+2)</f>
        <v>68.738</v>
      </c>
      <c r="U250" s="11">
        <f>VLOOKUP($H250,output!$A$10:$AH$2201,U$1-$J$1+2)</f>
        <v>69.262</v>
      </c>
      <c r="V250" s="11">
        <f>VLOOKUP($H250,output!$A$10:$AH$2201,V$1-$J$1+2)</f>
        <v>69.234999999999999</v>
      </c>
      <c r="W250" s="11">
        <f>VLOOKUP($H250,output!$A$10:$AH$2201,W$1-$J$1+2)</f>
        <v>0</v>
      </c>
      <c r="X250" s="11">
        <f>VLOOKUP($H250,output!$A$10:$AH$2201,X$1-$J$1+2)</f>
        <v>0</v>
      </c>
      <c r="Y250" s="11">
        <f>VLOOKUP($H250,output!$A$10:$AH$2201,Y$1-$J$1+2)</f>
        <v>0</v>
      </c>
      <c r="Z250" s="11">
        <f>VLOOKUP($H250,output!$A$10:$AH$2201,Z$1-$J$1+2)</f>
        <v>0</v>
      </c>
      <c r="AA250" s="11">
        <f>VLOOKUP($H250,output!$A$10:$AH$2201,AA$1-$J$1+2)</f>
        <v>0</v>
      </c>
      <c r="AB250" s="11">
        <f>VLOOKUP($H250,output!$A$10:$AH$2201,AB$1-$J$1+2)</f>
        <v>0</v>
      </c>
      <c r="AC250" s="11">
        <f>VLOOKUP($H250,output!$A$10:$AH$2201,AC$1-$J$1+2)</f>
        <v>0</v>
      </c>
      <c r="AD250" s="11">
        <f>VLOOKUP($H250,output!$A$10:$AH$2201,AD$1-$J$1+2)</f>
        <v>0</v>
      </c>
      <c r="AE250" s="11">
        <f>VLOOKUP($H250,output!$A$10:$AH$2201,AE$1-$J$1+2)</f>
        <v>0</v>
      </c>
      <c r="AF250" s="11">
        <f>VLOOKUP($H250,output!$A$10:$AH$2201,AF$1-$J$1+2)</f>
        <v>0</v>
      </c>
      <c r="AG250" s="11">
        <f>VLOOKUP($H250,output!$A$10:$AH$2201,AG$1-$J$1+2)</f>
        <v>0</v>
      </c>
      <c r="AH250" s="11">
        <f>VLOOKUP($H250,output!$A$10:$AH$2201,AH$1-$J$1+2)</f>
        <v>0</v>
      </c>
      <c r="AI250" s="11">
        <f>VLOOKUP($H250,output!$A$10:$AH$2201,AI$1-$J$1+2)</f>
        <v>0</v>
      </c>
      <c r="AJ250" s="11">
        <f>VLOOKUP($H250,output!$A$10:$AH$2201,AJ$1-$J$1+2)</f>
        <v>0</v>
      </c>
      <c r="AK250" s="11">
        <f>VLOOKUP($H250,output!$A$10:$AH$2201,AK$1-$J$1+2)</f>
        <v>0</v>
      </c>
      <c r="AL250" s="11">
        <f>VLOOKUP($H250,output!$A$10:$AH$2201,AL$1-$J$1+2)</f>
        <v>0</v>
      </c>
      <c r="AM250" s="11">
        <f>VLOOKUP($H250,output!$A$10:$AH$2201,AM$1-$J$1+2)</f>
        <v>0</v>
      </c>
      <c r="AN250" s="11">
        <f>VLOOKUP($H250,output!$A$10:$AH$2201,AN$1-$J$1+2)</f>
        <v>0</v>
      </c>
      <c r="AO250" s="11">
        <f>VLOOKUP($H250,output!$A$10:$AH$2201,AO$1-$J$1+2)</f>
        <v>0</v>
      </c>
      <c r="AP250" s="11">
        <f>VLOOKUP($H250,output!$A$10:$AH$2201,AP$1-$J$1+2)</f>
        <v>0</v>
      </c>
    </row>
    <row r="251" spans="8:42" x14ac:dyDescent="0.25">
      <c r="H251" t="s">
        <v>47</v>
      </c>
      <c r="J251" s="11">
        <f>VLOOKUP($H251,output!$A$10:$AH$2201,J$1-$J$1+2)</f>
        <v>0</v>
      </c>
      <c r="K251" s="11">
        <f>VLOOKUP($H251,output!$A$10:$AH$2201,K$1-$J$1+2)</f>
        <v>7.0380000000000003</v>
      </c>
      <c r="L251" s="11">
        <f>VLOOKUP($H251,output!$A$10:$AH$2201,L$1-$J$1+2)</f>
        <v>3.5990000000000002</v>
      </c>
      <c r="M251" s="11">
        <f>VLOOKUP($H251,output!$A$10:$AH$2201,M$1-$J$1+2)</f>
        <v>3.645</v>
      </c>
      <c r="N251" s="11">
        <f>VLOOKUP($H251,output!$A$10:$AH$2201,N$1-$J$1+2)</f>
        <v>4.0659999999999998</v>
      </c>
      <c r="O251" s="11">
        <f>VLOOKUP($H251,output!$A$10:$AH$2201,O$1-$J$1+2)</f>
        <v>4.1020000000000003</v>
      </c>
      <c r="P251" s="11">
        <f>VLOOKUP($H251,output!$A$10:$AH$2201,P$1-$J$1+2)</f>
        <v>4.1470000000000002</v>
      </c>
      <c r="Q251" s="11">
        <f>VLOOKUP($H251,output!$A$10:$AH$2201,Q$1-$J$1+2)</f>
        <v>4.1820000000000004</v>
      </c>
      <c r="R251" s="11">
        <f>VLOOKUP($H251,output!$A$10:$AH$2201,R$1-$J$1+2)</f>
        <v>4.2880000000000003</v>
      </c>
      <c r="S251" s="11">
        <f>VLOOKUP($H251,output!$A$10:$AH$2201,S$1-$J$1+2)</f>
        <v>4.3639999999999999</v>
      </c>
      <c r="T251" s="11">
        <f>VLOOKUP($H251,output!$A$10:$AH$2201,T$1-$J$1+2)</f>
        <v>4.4279999999999999</v>
      </c>
      <c r="U251" s="11">
        <f>VLOOKUP($H251,output!$A$10:$AH$2201,U$1-$J$1+2)</f>
        <v>4.4770000000000003</v>
      </c>
      <c r="V251" s="11">
        <f>VLOOKUP($H251,output!$A$10:$AH$2201,V$1-$J$1+2)</f>
        <v>4.5220000000000002</v>
      </c>
      <c r="W251" s="11">
        <f>VLOOKUP($H251,output!$A$10:$AH$2201,W$1-$J$1+2)</f>
        <v>0</v>
      </c>
      <c r="X251" s="11">
        <f>VLOOKUP($H251,output!$A$10:$AH$2201,X$1-$J$1+2)</f>
        <v>0</v>
      </c>
      <c r="Y251" s="11">
        <f>VLOOKUP($H251,output!$A$10:$AH$2201,Y$1-$J$1+2)</f>
        <v>0</v>
      </c>
      <c r="Z251" s="11">
        <f>VLOOKUP($H251,output!$A$10:$AH$2201,Z$1-$J$1+2)</f>
        <v>0</v>
      </c>
      <c r="AA251" s="11">
        <f>VLOOKUP($H251,output!$A$10:$AH$2201,AA$1-$J$1+2)</f>
        <v>0</v>
      </c>
      <c r="AB251" s="11">
        <f>VLOOKUP($H251,output!$A$10:$AH$2201,AB$1-$J$1+2)</f>
        <v>0</v>
      </c>
      <c r="AC251" s="11">
        <f>VLOOKUP($H251,output!$A$10:$AH$2201,AC$1-$J$1+2)</f>
        <v>0</v>
      </c>
      <c r="AD251" s="11">
        <f>VLOOKUP($H251,output!$A$10:$AH$2201,AD$1-$J$1+2)</f>
        <v>0</v>
      </c>
      <c r="AE251" s="11">
        <f>VLOOKUP($H251,output!$A$10:$AH$2201,AE$1-$J$1+2)</f>
        <v>0</v>
      </c>
      <c r="AF251" s="11">
        <f>VLOOKUP($H251,output!$A$10:$AH$2201,AF$1-$J$1+2)</f>
        <v>0</v>
      </c>
      <c r="AG251" s="11">
        <f>VLOOKUP($H251,output!$A$10:$AH$2201,AG$1-$J$1+2)</f>
        <v>0</v>
      </c>
      <c r="AH251" s="11">
        <f>VLOOKUP($H251,output!$A$10:$AH$2201,AH$1-$J$1+2)</f>
        <v>0</v>
      </c>
      <c r="AI251" s="11">
        <f>VLOOKUP($H251,output!$A$10:$AH$2201,AI$1-$J$1+2)</f>
        <v>0</v>
      </c>
      <c r="AJ251" s="11">
        <f>VLOOKUP($H251,output!$A$10:$AH$2201,AJ$1-$J$1+2)</f>
        <v>0</v>
      </c>
      <c r="AK251" s="11">
        <f>VLOOKUP($H251,output!$A$10:$AH$2201,AK$1-$J$1+2)</f>
        <v>0</v>
      </c>
      <c r="AL251" s="11">
        <f>VLOOKUP($H251,output!$A$10:$AH$2201,AL$1-$J$1+2)</f>
        <v>0</v>
      </c>
      <c r="AM251" s="11">
        <f>VLOOKUP($H251,output!$A$10:$AH$2201,AM$1-$J$1+2)</f>
        <v>0</v>
      </c>
      <c r="AN251" s="11">
        <f>VLOOKUP($H251,output!$A$10:$AH$2201,AN$1-$J$1+2)</f>
        <v>0</v>
      </c>
      <c r="AO251" s="11">
        <f>VLOOKUP($H251,output!$A$10:$AH$2201,AO$1-$J$1+2)</f>
        <v>0</v>
      </c>
      <c r="AP251" s="11">
        <f>VLOOKUP($H251,output!$A$10:$AH$2201,AP$1-$J$1+2)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F90F-9C00-402D-BA42-7A9DAFA1F9DB}">
  <dimension ref="A1:AI9"/>
  <sheetViews>
    <sheetView tabSelected="1" workbookViewId="0">
      <pane ySplit="3" topLeftCell="A4" activePane="bottomLeft" state="frozen"/>
      <selection pane="bottomLeft" activeCell="B5" sqref="B5"/>
    </sheetView>
  </sheetViews>
  <sheetFormatPr baseColWidth="10" defaultRowHeight="15" x14ac:dyDescent="0.25"/>
  <cols>
    <col min="1" max="1" width="38.42578125" bestFit="1" customWidth="1"/>
  </cols>
  <sheetData>
    <row r="1" spans="1:35" x14ac:dyDescent="0.25">
      <c r="A1" t="s">
        <v>450</v>
      </c>
      <c r="E1" s="35"/>
      <c r="F1" s="35"/>
      <c r="G1" s="35"/>
      <c r="H1" s="35"/>
      <c r="I1" s="35"/>
      <c r="J1" s="34"/>
      <c r="K1" s="34"/>
      <c r="L1" s="34"/>
      <c r="M1" s="34"/>
      <c r="N1" s="34"/>
      <c r="O1" s="35"/>
    </row>
    <row r="3" spans="1:35" x14ac:dyDescent="0.25">
      <c r="B3" s="2">
        <v>2023</v>
      </c>
      <c r="C3" s="2">
        <v>2024</v>
      </c>
      <c r="D3" s="2">
        <v>2025</v>
      </c>
      <c r="E3" s="2">
        <v>2026</v>
      </c>
      <c r="F3" s="2">
        <v>2027</v>
      </c>
      <c r="G3" s="2">
        <v>2028</v>
      </c>
      <c r="H3" s="2">
        <v>2029</v>
      </c>
      <c r="I3" s="2">
        <v>2030</v>
      </c>
      <c r="J3" s="2">
        <v>2031</v>
      </c>
      <c r="K3" s="2">
        <v>2032</v>
      </c>
      <c r="L3" s="2">
        <v>2033</v>
      </c>
      <c r="M3" s="2">
        <v>2034</v>
      </c>
      <c r="N3" s="2">
        <v>2035</v>
      </c>
      <c r="O3" s="2">
        <v>2036</v>
      </c>
      <c r="P3" s="2">
        <v>2037</v>
      </c>
      <c r="Q3" s="2">
        <v>2038</v>
      </c>
      <c r="R3" s="2">
        <v>2039</v>
      </c>
      <c r="S3" s="2">
        <v>2040</v>
      </c>
      <c r="T3" s="2">
        <v>2041</v>
      </c>
      <c r="U3" s="2">
        <v>2042</v>
      </c>
      <c r="V3" s="2">
        <v>2043</v>
      </c>
      <c r="W3" s="2">
        <v>2044</v>
      </c>
      <c r="X3" s="2">
        <v>2045</v>
      </c>
      <c r="Y3" s="2">
        <v>2046</v>
      </c>
      <c r="Z3" s="2">
        <v>2047</v>
      </c>
      <c r="AA3" s="2">
        <v>2048</v>
      </c>
      <c r="AB3" s="2">
        <v>2049</v>
      </c>
      <c r="AC3" s="2">
        <v>2050</v>
      </c>
      <c r="AD3" s="2">
        <v>2045</v>
      </c>
      <c r="AE3" s="2">
        <v>2046</v>
      </c>
      <c r="AF3" s="2">
        <v>2047</v>
      </c>
      <c r="AG3" s="2">
        <v>2048</v>
      </c>
      <c r="AH3" s="2">
        <v>2049</v>
      </c>
      <c r="AI3" s="2">
        <v>2050</v>
      </c>
    </row>
    <row r="4" spans="1:35" x14ac:dyDescent="0.25">
      <c r="A4" t="s">
        <v>358</v>
      </c>
      <c r="B4" s="11">
        <f>VLOOKUP($A4,output!$A$9:$AI$2200,B$3-$B$3+2)</f>
        <v>220</v>
      </c>
      <c r="C4" s="11">
        <f>VLOOKUP($A4,output!$A$9:$AI$2200,C$3-$B$3+2)</f>
        <v>220</v>
      </c>
      <c r="D4" s="11">
        <f>VLOOKUP($A4,output!$A$9:$AI$2200,D$3-$B$3+2)</f>
        <v>220</v>
      </c>
      <c r="E4" s="11">
        <f>VLOOKUP($A4,output!$A$9:$AI$2200,E$3-$B$3+2)</f>
        <v>220</v>
      </c>
      <c r="F4" s="11">
        <f>VLOOKUP($A4,output!$A$9:$AI$2200,F$3-$B$3+2)</f>
        <v>220</v>
      </c>
      <c r="G4" s="11">
        <f>VLOOKUP($A4,output!$A$9:$AI$2200,G$3-$B$3+2)</f>
        <v>220</v>
      </c>
      <c r="H4" s="11">
        <f>VLOOKUP($A4,output!$A$9:$AI$2200,H$3-$B$3+2)</f>
        <v>220</v>
      </c>
      <c r="I4" s="11">
        <f>VLOOKUP($A4,output!$A$9:$AI$2200,I$3-$B$3+2)</f>
        <v>220</v>
      </c>
      <c r="J4" s="11">
        <f>VLOOKUP($A4,output!$A$9:$AI$2200,J$3-$B$3+2)</f>
        <v>220</v>
      </c>
      <c r="K4" s="11">
        <f>VLOOKUP($A4,output!$A$9:$AI$2200,K$3-$B$3+2)</f>
        <v>220</v>
      </c>
      <c r="L4" s="11">
        <f>VLOOKUP($A4,output!$A$9:$AI$2200,L$3-$B$3+2)</f>
        <v>220</v>
      </c>
      <c r="M4" s="11">
        <f>VLOOKUP($A4,output!$A$9:$AI$2200,M$3-$B$3+2)</f>
        <v>220</v>
      </c>
      <c r="N4" s="11">
        <f>VLOOKUP($A4,output!$A$9:$AI$2200,N$3-$B$3+2)</f>
        <v>220</v>
      </c>
      <c r="O4" s="11">
        <f>VLOOKUP($A4,output!$A$9:$AI$2200,O$3-$B$3+2)</f>
        <v>220</v>
      </c>
      <c r="P4" s="11">
        <f>VLOOKUP($A4,output!$A$9:$AI$2200,P$3-$B$3+2)</f>
        <v>220</v>
      </c>
      <c r="Q4" s="11">
        <f>VLOOKUP($A4,output!$A$9:$AI$2200,Q$3-$B$3+2)</f>
        <v>220</v>
      </c>
      <c r="R4" s="11">
        <f>VLOOKUP($A4,output!$A$9:$AI$2200,R$3-$B$3+2)</f>
        <v>220</v>
      </c>
      <c r="S4" s="11">
        <f>VLOOKUP($A4,output!$A$9:$AI$2200,S$3-$B$3+2)</f>
        <v>220</v>
      </c>
      <c r="T4" s="11">
        <f>VLOOKUP($A4,output!$A$9:$AI$2200,T$3-$B$3+2)</f>
        <v>220</v>
      </c>
      <c r="U4" s="11">
        <f>VLOOKUP($A4,output!$A$9:$AI$2200,U$3-$B$3+2)</f>
        <v>220</v>
      </c>
      <c r="V4" s="11">
        <f>VLOOKUP($A4,output!$A$9:$AI$2200,V$3-$B$3+2)</f>
        <v>220</v>
      </c>
      <c r="W4" s="11">
        <f>VLOOKUP($A4,output!$A$9:$AI$2200,W$3-$B$3+2)</f>
        <v>220</v>
      </c>
      <c r="X4" s="11">
        <f>VLOOKUP($A4,output!$A$9:$AI$2200,X$3-$B$3+2)</f>
        <v>220</v>
      </c>
      <c r="Y4" s="11">
        <f>VLOOKUP($A4,output!$A$9:$AI$2200,Y$3-$B$3+2)</f>
        <v>220</v>
      </c>
      <c r="Z4" s="11">
        <f>VLOOKUP($A4,output!$A$9:$AI$2200,Z$3-$B$3+2)</f>
        <v>220</v>
      </c>
      <c r="AA4" s="11">
        <f>VLOOKUP($A4,output!$A$9:$AI$2200,AA$3-$B$3+2)</f>
        <v>220</v>
      </c>
      <c r="AB4" s="11">
        <f>VLOOKUP($A4,output!$A$9:$AI$2200,AB$3-$B$3+2)</f>
        <v>220</v>
      </c>
      <c r="AC4" s="11">
        <f>VLOOKUP($A4,output!$A$9:$AI$2200,AC$3-$B$3+2)</f>
        <v>220</v>
      </c>
      <c r="AD4" s="11">
        <f>VLOOKUP($A4,output!$A$9:$AI$2200,AD$3-$B$3+2)</f>
        <v>220</v>
      </c>
      <c r="AE4" s="11">
        <f>VLOOKUP($A4,output!$A$9:$AI$2200,AE$3-$B$3+2)</f>
        <v>220</v>
      </c>
      <c r="AF4" s="11">
        <f>VLOOKUP($A4,output!$A$9:$AI$2200,AF$3-$B$3+2)</f>
        <v>220</v>
      </c>
      <c r="AG4" s="11">
        <f>VLOOKUP($A4,output!$A$9:$AI$2200,AG$3-$B$3+2)</f>
        <v>220</v>
      </c>
      <c r="AH4" s="11">
        <f>VLOOKUP($A4,output!$A$9:$AI$2200,AH$3-$B$3+2)</f>
        <v>220</v>
      </c>
      <c r="AI4" s="11">
        <f>VLOOKUP($A4,output!$A$9:$AI$2200,AI$3-$B$3+2)</f>
        <v>220</v>
      </c>
    </row>
    <row r="5" spans="1:35" x14ac:dyDescent="0.25">
      <c r="A5" t="s">
        <v>1</v>
      </c>
      <c r="B5" s="11">
        <f>VLOOKUP($A5,output!$A$9:$AI$2200,B$3-$B$3+2)</f>
        <v>91</v>
      </c>
      <c r="C5" s="11">
        <f>VLOOKUP($A5,output!$A$9:$AI$2200,C$3-$B$3+2)</f>
        <v>89.096999999999994</v>
      </c>
      <c r="D5" s="11">
        <f>VLOOKUP($A5,output!$A$9:$AI$2200,D$3-$B$3+2)</f>
        <v>88.978999999999999</v>
      </c>
      <c r="E5" s="11">
        <f>VLOOKUP($A5,output!$A$9:$AI$2200,E$3-$B$3+2)</f>
        <v>86.763999999999996</v>
      </c>
      <c r="F5" s="11">
        <f>VLOOKUP($A5,output!$A$9:$AI$2200,F$3-$B$3+2)</f>
        <v>82.988</v>
      </c>
      <c r="G5" s="11">
        <f>VLOOKUP($A5,output!$A$9:$AI$2200,G$3-$B$3+2)</f>
        <v>79.971999999999994</v>
      </c>
      <c r="H5" s="11">
        <f>VLOOKUP($A5,output!$A$9:$AI$2200,H$3-$B$3+2)</f>
        <v>76.412000000000006</v>
      </c>
      <c r="I5" s="11">
        <f>VLOOKUP($A5,output!$A$9:$AI$2200,I$3-$B$3+2)</f>
        <v>72.209000000000003</v>
      </c>
      <c r="J5" s="11">
        <f>VLOOKUP($A5,output!$A$9:$AI$2200,J$3-$B$3+2)</f>
        <v>68.207999999999998</v>
      </c>
      <c r="K5" s="11">
        <f>VLOOKUP($A5,output!$A$9:$AI$2200,K$3-$B$3+2)</f>
        <v>63.76</v>
      </c>
      <c r="L5" s="11">
        <f>VLOOKUP($A5,output!$A$9:$AI$2200,L$3-$B$3+2)</f>
        <v>59.594999999999999</v>
      </c>
      <c r="M5" s="11">
        <f>VLOOKUP($A5,output!$A$9:$AI$2200,M$3-$B$3+2)</f>
        <v>55.725999999999999</v>
      </c>
      <c r="N5" s="11">
        <f>VLOOKUP($A5,output!$A$9:$AI$2200,N$3-$B$3+2)</f>
        <v>52.078000000000003</v>
      </c>
      <c r="O5" s="11">
        <f>VLOOKUP($A5,output!$A$9:$AI$2200,O$3-$B$3+2)</f>
        <v>48.137</v>
      </c>
      <c r="P5" s="11">
        <f>VLOOKUP($A5,output!$A$9:$AI$2200,P$3-$B$3+2)</f>
        <v>44.374000000000002</v>
      </c>
      <c r="Q5" s="11">
        <f>VLOOKUP($A5,output!$A$9:$AI$2200,Q$3-$B$3+2)</f>
        <v>40.872999999999998</v>
      </c>
      <c r="R5" s="11">
        <f>VLOOKUP($A5,output!$A$9:$AI$2200,R$3-$B$3+2)</f>
        <v>38.146999999999998</v>
      </c>
      <c r="S5" s="11">
        <f>VLOOKUP($A5,output!$A$9:$AI$2200,S$3-$B$3+2)</f>
        <v>30.309000000000001</v>
      </c>
      <c r="T5" s="11">
        <f>VLOOKUP($A5,output!$A$9:$AI$2200,T$3-$B$3+2)</f>
        <v>31.925000000000001</v>
      </c>
      <c r="U5" s="11">
        <f>VLOOKUP($A5,output!$A$9:$AI$2200,U$3-$B$3+2)</f>
        <v>29.616</v>
      </c>
      <c r="V5" s="11">
        <f>VLOOKUP($A5,output!$A$9:$AI$2200,V$3-$B$3+2)</f>
        <v>27.670999999999999</v>
      </c>
      <c r="W5" s="11">
        <f>VLOOKUP($A5,output!$A$9:$AI$2200,W$3-$B$3+2)</f>
        <v>26.053999999999998</v>
      </c>
      <c r="X5" s="11">
        <f>VLOOKUP($A5,output!$A$9:$AI$2200,X$3-$B$3+2)</f>
        <v>24.747</v>
      </c>
      <c r="Y5" s="11">
        <f>VLOOKUP($A5,output!$A$9:$AI$2200,Y$3-$B$3+2)</f>
        <v>23.207000000000001</v>
      </c>
      <c r="Z5" s="11">
        <f>VLOOKUP($A5,output!$A$9:$AI$2200,Z$3-$B$3+2)</f>
        <v>21.984999999999999</v>
      </c>
      <c r="AA5" s="11">
        <f>VLOOKUP($A5,output!$A$9:$AI$2200,AA$3-$B$3+2)</f>
        <v>20.742999999999999</v>
      </c>
      <c r="AB5" s="11">
        <f>VLOOKUP($A5,output!$A$9:$AI$2200,AB$3-$B$3+2)</f>
        <v>19.463999999999999</v>
      </c>
      <c r="AC5" s="11">
        <f>VLOOKUP($A5,output!$A$9:$AI$2200,AC$3-$B$3+2)</f>
        <v>18.158999999999999</v>
      </c>
      <c r="AD5" s="11">
        <f>VLOOKUP($A5,output!$A$9:$AI$2200,AD$3-$B$3+2)</f>
        <v>24.747</v>
      </c>
      <c r="AE5" s="11">
        <f>VLOOKUP($A5,output!$A$9:$AI$2200,AE$3-$B$3+2)</f>
        <v>23.207000000000001</v>
      </c>
      <c r="AF5" s="11">
        <f>VLOOKUP($A5,output!$A$9:$AI$2200,AF$3-$B$3+2)</f>
        <v>21.984999999999999</v>
      </c>
      <c r="AG5" s="11">
        <f>VLOOKUP($A5,output!$A$9:$AI$2200,AG$3-$B$3+2)</f>
        <v>20.742999999999999</v>
      </c>
      <c r="AH5" s="11">
        <f>VLOOKUP($A5,output!$A$9:$AI$2200,AH$3-$B$3+2)</f>
        <v>19.463999999999999</v>
      </c>
      <c r="AI5" s="11">
        <f>VLOOKUP($A5,output!$A$9:$AI$2200,AI$3-$B$3+2)</f>
        <v>18.158999999999999</v>
      </c>
    </row>
    <row r="7" spans="1:35" x14ac:dyDescent="0.25">
      <c r="A7" t="s">
        <v>359</v>
      </c>
      <c r="B7" s="27">
        <v>220.0992</v>
      </c>
      <c r="C7" s="27">
        <v>217.87460000000002</v>
      </c>
      <c r="D7" s="27">
        <v>215.65</v>
      </c>
      <c r="E7" s="27">
        <v>211.11</v>
      </c>
      <c r="F7" s="27">
        <v>206.57</v>
      </c>
      <c r="G7" s="27">
        <v>202.03</v>
      </c>
      <c r="H7" s="27">
        <v>197.49</v>
      </c>
      <c r="I7" s="27">
        <v>192.95000000000002</v>
      </c>
      <c r="J7" s="27">
        <v>187.50200000000001</v>
      </c>
      <c r="K7" s="27">
        <v>182.054</v>
      </c>
      <c r="L7" s="27">
        <v>176.60599999999999</v>
      </c>
      <c r="M7" s="27">
        <v>171.15800000000002</v>
      </c>
      <c r="N7" s="27">
        <v>165.71</v>
      </c>
      <c r="O7" s="27">
        <v>157.53800000000001</v>
      </c>
      <c r="P7" s="27">
        <v>149.36599999999999</v>
      </c>
      <c r="Q7" s="27">
        <v>141.19400000000002</v>
      </c>
      <c r="R7" s="27">
        <v>133.02200000000002</v>
      </c>
      <c r="S7" s="27">
        <v>124.85000000000002</v>
      </c>
      <c r="T7" s="27">
        <v>117.58600000000001</v>
      </c>
      <c r="U7" s="27">
        <v>110.32200000000002</v>
      </c>
      <c r="V7" s="27">
        <v>103.05800000000001</v>
      </c>
      <c r="W7" s="27">
        <v>95.794000000000011</v>
      </c>
      <c r="X7" s="27">
        <v>88.530000000000015</v>
      </c>
      <c r="Y7" s="27">
        <v>70.824000000000012</v>
      </c>
      <c r="Z7" s="27">
        <v>53.118000000000002</v>
      </c>
      <c r="AA7" s="27">
        <v>35.411999999999999</v>
      </c>
      <c r="AB7" s="27">
        <v>17.706</v>
      </c>
      <c r="AC7" s="27">
        <v>0</v>
      </c>
      <c r="AD7" s="27">
        <v>88.530000000000015</v>
      </c>
      <c r="AE7" s="27">
        <v>70.824000000000012</v>
      </c>
      <c r="AF7" s="27">
        <v>53.118000000000002</v>
      </c>
      <c r="AG7" s="27">
        <v>35.411999999999999</v>
      </c>
      <c r="AH7" s="27">
        <v>17.706</v>
      </c>
      <c r="AI7" s="27">
        <v>0</v>
      </c>
    </row>
    <row r="9" spans="1:35" x14ac:dyDescent="0.25">
      <c r="A9" t="s">
        <v>360</v>
      </c>
      <c r="B9" s="27">
        <f t="shared" ref="B9:AI9" si="0">B5*B7/1000</f>
        <v>20.029027200000002</v>
      </c>
      <c r="C9" s="27">
        <f t="shared" si="0"/>
        <v>19.411973236199998</v>
      </c>
      <c r="D9" s="27">
        <f t="shared" si="0"/>
        <v>19.188321350000002</v>
      </c>
      <c r="E9" s="27">
        <f t="shared" si="0"/>
        <v>18.31674804</v>
      </c>
      <c r="F9" s="27">
        <f t="shared" si="0"/>
        <v>17.142831159999997</v>
      </c>
      <c r="G9" s="27">
        <f t="shared" si="0"/>
        <v>16.156743159999998</v>
      </c>
      <c r="H9" s="27">
        <f t="shared" si="0"/>
        <v>15.090605880000004</v>
      </c>
      <c r="I9" s="27">
        <f t="shared" si="0"/>
        <v>13.932726550000002</v>
      </c>
      <c r="J9" s="27">
        <f t="shared" si="0"/>
        <v>12.789136416000002</v>
      </c>
      <c r="K9" s="27">
        <f t="shared" si="0"/>
        <v>11.60776304</v>
      </c>
      <c r="L9" s="27">
        <f t="shared" si="0"/>
        <v>10.524834569999999</v>
      </c>
      <c r="M9" s="27">
        <f t="shared" si="0"/>
        <v>9.5379507080000003</v>
      </c>
      <c r="N9" s="27">
        <f t="shared" si="0"/>
        <v>8.6298453800000008</v>
      </c>
      <c r="O9" s="27">
        <f t="shared" si="0"/>
        <v>7.5834067060000008</v>
      </c>
      <c r="P9" s="27">
        <f t="shared" si="0"/>
        <v>6.6279668839999992</v>
      </c>
      <c r="Q9" s="27">
        <f t="shared" si="0"/>
        <v>5.771022362000001</v>
      </c>
      <c r="R9" s="27">
        <f t="shared" si="0"/>
        <v>5.074390234</v>
      </c>
      <c r="S9" s="27">
        <f t="shared" si="0"/>
        <v>3.784078650000001</v>
      </c>
      <c r="T9" s="27">
        <f t="shared" si="0"/>
        <v>3.7539330500000005</v>
      </c>
      <c r="U9" s="27">
        <f t="shared" si="0"/>
        <v>3.2672963520000002</v>
      </c>
      <c r="V9" s="27">
        <f t="shared" si="0"/>
        <v>2.8517179180000003</v>
      </c>
      <c r="W9" s="27">
        <f t="shared" si="0"/>
        <v>2.4958168760000001</v>
      </c>
      <c r="X9" s="27">
        <f t="shared" si="0"/>
        <v>2.1908519100000001</v>
      </c>
      <c r="Y9" s="27">
        <f t="shared" si="0"/>
        <v>1.6436125680000002</v>
      </c>
      <c r="Z9" s="27">
        <f t="shared" si="0"/>
        <v>1.1677992300000002</v>
      </c>
      <c r="AA9" s="27">
        <f t="shared" si="0"/>
        <v>0.734551116</v>
      </c>
      <c r="AB9" s="27">
        <f t="shared" si="0"/>
        <v>0.34462958399999999</v>
      </c>
      <c r="AC9" s="27">
        <f t="shared" si="0"/>
        <v>0</v>
      </c>
      <c r="AD9" s="27">
        <f t="shared" si="0"/>
        <v>2.1908519100000001</v>
      </c>
      <c r="AE9" s="27">
        <f t="shared" si="0"/>
        <v>1.6436125680000002</v>
      </c>
      <c r="AF9" s="27">
        <f t="shared" si="0"/>
        <v>1.1677992300000002</v>
      </c>
      <c r="AG9" s="27">
        <f t="shared" si="0"/>
        <v>0.734551116</v>
      </c>
      <c r="AH9" s="27">
        <f t="shared" si="0"/>
        <v>0.34462958399999999</v>
      </c>
      <c r="AI9" s="27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7A11-7F3C-42CF-91FC-FEA1770D1304}">
  <dimension ref="H1:AL45"/>
  <sheetViews>
    <sheetView topLeftCell="AD1" zoomScale="90" zoomScaleNormal="90" workbookViewId="0">
      <pane ySplit="1" topLeftCell="A17" activePane="bottomLeft" state="frozen"/>
      <selection pane="bottomLeft" activeCell="AL30" sqref="AL30"/>
    </sheetView>
  </sheetViews>
  <sheetFormatPr baseColWidth="10" defaultRowHeight="15" x14ac:dyDescent="0.25"/>
  <cols>
    <col min="1" max="1" width="33" bestFit="1" customWidth="1"/>
    <col min="7" max="7" width="61.5703125" customWidth="1"/>
    <col min="8" max="8" width="33" bestFit="1" customWidth="1"/>
  </cols>
  <sheetData>
    <row r="1" spans="8:37" x14ac:dyDescent="0.25"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</row>
    <row r="2" spans="8:37" x14ac:dyDescent="0.25">
      <c r="H2" s="2" t="s">
        <v>177</v>
      </c>
    </row>
    <row r="3" spans="8:37" x14ac:dyDescent="0.25">
      <c r="H3" t="s">
        <v>7</v>
      </c>
      <c r="I3" t="s">
        <v>107</v>
      </c>
      <c r="J3" s="11">
        <f>'Post traitement FE'!B9</f>
        <v>20.029027200000002</v>
      </c>
      <c r="K3" s="11">
        <f>'Post traitement FE'!C9</f>
        <v>19.411973236199998</v>
      </c>
      <c r="L3" s="11">
        <f>'Post traitement FE'!D9</f>
        <v>19.188321350000002</v>
      </c>
      <c r="M3" s="11">
        <f>'Post traitement FE'!E9</f>
        <v>18.31674804</v>
      </c>
      <c r="N3" s="11">
        <f>'Post traitement FE'!F9</f>
        <v>17.142831159999997</v>
      </c>
      <c r="O3" s="11">
        <f>'Post traitement FE'!G9</f>
        <v>16.156743159999998</v>
      </c>
      <c r="P3" s="11">
        <f>'Post traitement FE'!H9</f>
        <v>15.090605880000004</v>
      </c>
      <c r="Q3" s="11">
        <f>'Post traitement FE'!I9</f>
        <v>13.932726550000002</v>
      </c>
      <c r="R3" s="11">
        <f>'Post traitement FE'!J9</f>
        <v>12.789136416000002</v>
      </c>
      <c r="S3" s="11">
        <f>'Post traitement FE'!K9</f>
        <v>11.60776304</v>
      </c>
      <c r="T3" s="11">
        <f>'Post traitement FE'!L9</f>
        <v>10.524834569999999</v>
      </c>
      <c r="U3" s="11">
        <f>'Post traitement FE'!M9</f>
        <v>9.5379507080000003</v>
      </c>
      <c r="V3" s="11">
        <f>'Post traitement FE'!N9</f>
        <v>8.6298453800000008</v>
      </c>
      <c r="W3" s="11">
        <f>'Post traitement FE'!O9</f>
        <v>7.5834067060000008</v>
      </c>
      <c r="X3" s="11">
        <f>'Post traitement FE'!P9</f>
        <v>6.6279668839999992</v>
      </c>
      <c r="Y3" s="11">
        <f>'Post traitement FE'!Q9</f>
        <v>5.771022362000001</v>
      </c>
      <c r="Z3" s="11">
        <f>'Post traitement FE'!R9</f>
        <v>5.074390234</v>
      </c>
      <c r="AA3" s="11">
        <f>'Post traitement FE'!S9</f>
        <v>3.784078650000001</v>
      </c>
      <c r="AB3" s="11">
        <f>'Post traitement FE'!T9</f>
        <v>3.7539330500000005</v>
      </c>
      <c r="AC3" s="11">
        <f>'Post traitement FE'!U9</f>
        <v>3.2672963520000002</v>
      </c>
      <c r="AD3" s="11">
        <f>'Post traitement FE'!V9</f>
        <v>2.8517179180000003</v>
      </c>
      <c r="AE3" s="11">
        <f>'Post traitement FE'!W9</f>
        <v>2.4958168760000001</v>
      </c>
      <c r="AF3" s="11">
        <f>'Post traitement FE'!X9</f>
        <v>2.1908519100000001</v>
      </c>
      <c r="AG3" s="11">
        <f>'Post traitement FE'!Y9</f>
        <v>1.6436125680000002</v>
      </c>
      <c r="AH3" s="11">
        <f>'Post traitement FE'!Z9</f>
        <v>1.1677992300000002</v>
      </c>
      <c r="AI3" s="11">
        <f>'Post traitement FE'!AA9</f>
        <v>0.734551116</v>
      </c>
      <c r="AJ3" s="11">
        <f>'Post traitement FE'!AB9</f>
        <v>0.34462958399999999</v>
      </c>
      <c r="AK3" s="11">
        <f>'Post traitement FE'!AC9</f>
        <v>0</v>
      </c>
    </row>
    <row r="4" spans="8:37" x14ac:dyDescent="0.25">
      <c r="H4" t="s">
        <v>8</v>
      </c>
      <c r="I4" t="s">
        <v>108</v>
      </c>
      <c r="J4" s="11">
        <f>VLOOKUP($H4,output!$A$9:$AI$2200,J$1-$J$1+2)</f>
        <v>10.044</v>
      </c>
      <c r="K4" s="11">
        <f>VLOOKUP($H4,output!$A$9:$AI$2200,K$1-$J$1+2)</f>
        <v>9.0399999999999991</v>
      </c>
      <c r="L4" s="11">
        <f>VLOOKUP($H4,output!$A$9:$AI$2200,L$1-$J$1+2)</f>
        <v>8.1820000000000004</v>
      </c>
      <c r="M4" s="11">
        <f>VLOOKUP($H4,output!$A$9:$AI$2200,M$1-$J$1+2)</f>
        <v>7.23</v>
      </c>
      <c r="N4" s="11">
        <f>VLOOKUP($H4,output!$A$9:$AI$2200,N$1-$J$1+2)</f>
        <v>6.14</v>
      </c>
      <c r="O4" s="11">
        <f>VLOOKUP($H4,output!$A$9:$AI$2200,O$1-$J$1+2)</f>
        <v>5.2370000000000001</v>
      </c>
      <c r="P4" s="11">
        <f>VLOOKUP($H4,output!$A$9:$AI$2200,P$1-$J$1+2)</f>
        <v>4.3789999999999996</v>
      </c>
      <c r="Q4" s="11">
        <f>VLOOKUP($H4,output!$A$9:$AI$2200,Q$1-$J$1+2)</f>
        <v>3.5590000000000002</v>
      </c>
      <c r="R4" s="11">
        <f>VLOOKUP($H4,output!$A$9:$AI$2200,R$1-$J$1+2)</f>
        <v>2.7570000000000001</v>
      </c>
      <c r="S4" s="11">
        <f>VLOOKUP($H4,output!$A$9:$AI$2200,S$1-$J$1+2)</f>
        <v>1.996</v>
      </c>
      <c r="T4" s="11">
        <f>VLOOKUP($H4,output!$A$9:$AI$2200,T$1-$J$1+2)</f>
        <v>1.2849999999999999</v>
      </c>
      <c r="U4" s="11">
        <f>VLOOKUP($H4,output!$A$9:$AI$2200,U$1-$J$1+2)</f>
        <v>0.622</v>
      </c>
      <c r="V4" s="11">
        <f>VLOOKUP($H4,output!$A$9:$AI$2200,V$1-$J$1+2)</f>
        <v>0</v>
      </c>
      <c r="W4" s="11">
        <f>VLOOKUP($H4,output!$A$9:$AI$2200,W$1-$J$1+2)</f>
        <v>0</v>
      </c>
      <c r="X4" s="11">
        <f>VLOOKUP($H4,output!$A$9:$AI$2200,X$1-$J$1+2)</f>
        <v>0</v>
      </c>
      <c r="Y4" s="11">
        <f>VLOOKUP($H4,output!$A$9:$AI$2200,Y$1-$J$1+2)</f>
        <v>0</v>
      </c>
      <c r="Z4" s="11">
        <f>VLOOKUP($H4,output!$A$9:$AI$2200,Z$1-$J$1+2)</f>
        <v>0</v>
      </c>
      <c r="AA4" s="11">
        <f>VLOOKUP($H4,output!$A$9:$AI$2200,AA$1-$J$1+2)</f>
        <v>0</v>
      </c>
      <c r="AB4" s="11">
        <f>VLOOKUP($H4,output!$A$9:$AI$2200,AB$1-$J$1+2)</f>
        <v>0</v>
      </c>
      <c r="AC4" s="11">
        <f>VLOOKUP($H4,output!$A$9:$AI$2200,AC$1-$J$1+2)</f>
        <v>0</v>
      </c>
      <c r="AD4" s="11">
        <f>VLOOKUP($H4,output!$A$9:$AI$2200,AD$1-$J$1+2)</f>
        <v>0</v>
      </c>
      <c r="AE4" s="11">
        <f>VLOOKUP($H4,output!$A$9:$AI$2200,AE$1-$J$1+2)</f>
        <v>0</v>
      </c>
      <c r="AF4" s="11">
        <f>VLOOKUP($H4,output!$A$9:$AI$2200,AF$1-$J$1+2)</f>
        <v>0</v>
      </c>
      <c r="AG4" s="11">
        <f>VLOOKUP($H4,output!$A$9:$AI$2200,AG$1-$J$1+2)</f>
        <v>0</v>
      </c>
      <c r="AH4" s="11">
        <f>VLOOKUP($H4,output!$A$9:$AI$2200,AH$1-$J$1+2)</f>
        <v>0</v>
      </c>
      <c r="AI4" s="11">
        <f>VLOOKUP($H4,output!$A$9:$AI$2200,AI$1-$J$1+2)</f>
        <v>0</v>
      </c>
      <c r="AJ4" s="11">
        <f>VLOOKUP($H4,output!$A$9:$AI$2200,AJ$1-$J$1+2)</f>
        <v>0</v>
      </c>
      <c r="AK4" s="11">
        <f>VLOOKUP($H4,output!$A$9:$AI$2200,AK$1-$J$1+2)</f>
        <v>0</v>
      </c>
    </row>
    <row r="5" spans="8:37" x14ac:dyDescent="0.25">
      <c r="H5" t="s">
        <v>6</v>
      </c>
      <c r="I5" t="s">
        <v>109</v>
      </c>
      <c r="J5" s="11">
        <f>VLOOKUP($H5,output!$A$9:$AI$2200,J$1-$J$1+2)</f>
        <v>4.0209999999999999</v>
      </c>
      <c r="K5" s="11">
        <f>VLOOKUP($H5,output!$A$9:$AI$2200,K$1-$J$1+2)</f>
        <v>3.9380000000000002</v>
      </c>
      <c r="L5" s="11">
        <f>VLOOKUP($H5,output!$A$9:$AI$2200,L$1-$J$1+2)</f>
        <v>3.923</v>
      </c>
      <c r="M5" s="11">
        <f>VLOOKUP($H5,output!$A$9:$AI$2200,M$1-$J$1+2)</f>
        <v>3.9079999999999999</v>
      </c>
      <c r="N5" s="11">
        <f>VLOOKUP($H5,output!$A$9:$AI$2200,N$1-$J$1+2)</f>
        <v>3.915</v>
      </c>
      <c r="O5" s="11">
        <f>VLOOKUP($H5,output!$A$9:$AI$2200,O$1-$J$1+2)</f>
        <v>3.9169999999999998</v>
      </c>
      <c r="P5" s="11">
        <f>VLOOKUP($H5,output!$A$9:$AI$2200,P$1-$J$1+2)</f>
        <v>3.915</v>
      </c>
      <c r="Q5" s="11">
        <f>VLOOKUP($H5,output!$A$9:$AI$2200,Q$1-$J$1+2)</f>
        <v>3.8889999999999998</v>
      </c>
      <c r="R5" s="11">
        <f>VLOOKUP($H5,output!$A$9:$AI$2200,R$1-$J$1+2)</f>
        <v>3.8849999999999998</v>
      </c>
      <c r="S5" s="11">
        <f>VLOOKUP($H5,output!$A$9:$AI$2200,S$1-$J$1+2)</f>
        <v>3.8730000000000002</v>
      </c>
      <c r="T5" s="11">
        <f>VLOOKUP($H5,output!$A$9:$AI$2200,T$1-$J$1+2)</f>
        <v>3.871</v>
      </c>
      <c r="U5" s="11">
        <f>VLOOKUP($H5,output!$A$9:$AI$2200,U$1-$J$1+2)</f>
        <v>3.8809999999999998</v>
      </c>
      <c r="V5" s="11">
        <f>VLOOKUP($H5,output!$A$9:$AI$2200,V$1-$J$1+2)</f>
        <v>3.9009999999999998</v>
      </c>
      <c r="W5" s="11">
        <f>VLOOKUP($H5,output!$A$9:$AI$2200,W$1-$J$1+2)</f>
        <v>3.8809999999999998</v>
      </c>
      <c r="X5" s="11">
        <f>VLOOKUP($H5,output!$A$9:$AI$2200,X$1-$J$1+2)</f>
        <v>3.8620000000000001</v>
      </c>
      <c r="Y5" s="11">
        <f>VLOOKUP($H5,output!$A$9:$AI$2200,Y$1-$J$1+2)</f>
        <v>3.855</v>
      </c>
      <c r="Z5" s="11">
        <f>VLOOKUP($H5,output!$A$9:$AI$2200,Z$1-$J$1+2)</f>
        <v>3.8370000000000002</v>
      </c>
      <c r="AA5" s="11">
        <f>VLOOKUP($H5,output!$A$9:$AI$2200,AA$1-$J$1+2)</f>
        <v>3.8279999999999998</v>
      </c>
      <c r="AB5" s="11">
        <f>VLOOKUP($H5,output!$A$9:$AI$2200,AB$1-$J$1+2)</f>
        <v>3.8029999999999999</v>
      </c>
      <c r="AC5" s="11">
        <f>VLOOKUP($H5,output!$A$9:$AI$2200,AC$1-$J$1+2)</f>
        <v>3.782</v>
      </c>
      <c r="AD5" s="11">
        <f>VLOOKUP($H5,output!$A$9:$AI$2200,AD$1-$J$1+2)</f>
        <v>3.7549999999999999</v>
      </c>
      <c r="AE5" s="11">
        <f>VLOOKUP($H5,output!$A$9:$AI$2200,AE$1-$J$1+2)</f>
        <v>3.7559999999999998</v>
      </c>
      <c r="AF5" s="11">
        <f>VLOOKUP($H5,output!$A$9:$AI$2200,AF$1-$J$1+2)</f>
        <v>3.7429999999999999</v>
      </c>
      <c r="AG5" s="11">
        <f>VLOOKUP($H5,output!$A$9:$AI$2200,AG$1-$J$1+2)</f>
        <v>3.7440000000000002</v>
      </c>
      <c r="AH5" s="11">
        <f>VLOOKUP($H5,output!$A$9:$AI$2200,AH$1-$J$1+2)</f>
        <v>3.7370000000000001</v>
      </c>
      <c r="AI5" s="11">
        <f>VLOOKUP($H5,output!$A$9:$AI$2200,AI$1-$J$1+2)</f>
        <v>3.7330000000000001</v>
      </c>
      <c r="AJ5" s="11">
        <f>VLOOKUP($H5,output!$A$9:$AI$2200,AJ$1-$J$1+2)</f>
        <v>3.7349999999999999</v>
      </c>
      <c r="AK5" s="11">
        <f>VLOOKUP($H5,output!$A$9:$AI$2200,AK$1-$J$1+2)</f>
        <v>3.74</v>
      </c>
    </row>
    <row r="7" spans="8:37" x14ac:dyDescent="0.25">
      <c r="I7" s="10" t="s">
        <v>137</v>
      </c>
      <c r="J7" s="11">
        <f>J3+J4</f>
        <v>30.073027200000002</v>
      </c>
      <c r="K7" s="11">
        <f t="shared" ref="K7:AK7" si="0">K3+K4</f>
        <v>28.451973236199997</v>
      </c>
      <c r="L7" s="11">
        <f t="shared" si="0"/>
        <v>27.370321350000005</v>
      </c>
      <c r="M7" s="11">
        <f t="shared" si="0"/>
        <v>25.546748040000001</v>
      </c>
      <c r="N7" s="11">
        <f t="shared" si="0"/>
        <v>23.282831159999997</v>
      </c>
      <c r="O7" s="11">
        <f t="shared" si="0"/>
        <v>21.39374316</v>
      </c>
      <c r="P7" s="11">
        <f t="shared" si="0"/>
        <v>19.469605880000003</v>
      </c>
      <c r="Q7" s="11">
        <f t="shared" si="0"/>
        <v>17.491726550000003</v>
      </c>
      <c r="R7" s="11">
        <f t="shared" si="0"/>
        <v>15.546136416000001</v>
      </c>
      <c r="S7" s="11">
        <f t="shared" si="0"/>
        <v>13.60376304</v>
      </c>
      <c r="T7" s="11">
        <f t="shared" si="0"/>
        <v>11.80983457</v>
      </c>
      <c r="U7" s="11">
        <f t="shared" si="0"/>
        <v>10.159950708</v>
      </c>
      <c r="V7" s="11">
        <f t="shared" si="0"/>
        <v>8.6298453800000008</v>
      </c>
      <c r="W7" s="11">
        <f t="shared" si="0"/>
        <v>7.5834067060000008</v>
      </c>
      <c r="X7" s="11">
        <f t="shared" si="0"/>
        <v>6.6279668839999992</v>
      </c>
      <c r="Y7" s="11">
        <f t="shared" si="0"/>
        <v>5.771022362000001</v>
      </c>
      <c r="Z7" s="11">
        <f t="shared" si="0"/>
        <v>5.074390234</v>
      </c>
      <c r="AA7" s="11">
        <f t="shared" si="0"/>
        <v>3.784078650000001</v>
      </c>
      <c r="AB7" s="11">
        <f t="shared" si="0"/>
        <v>3.7539330500000005</v>
      </c>
      <c r="AC7" s="11">
        <f t="shared" si="0"/>
        <v>3.2672963520000002</v>
      </c>
      <c r="AD7" s="11">
        <f t="shared" si="0"/>
        <v>2.8517179180000003</v>
      </c>
      <c r="AE7" s="11">
        <f t="shared" si="0"/>
        <v>2.4958168760000001</v>
      </c>
      <c r="AF7" s="11">
        <f t="shared" si="0"/>
        <v>2.1908519100000001</v>
      </c>
      <c r="AG7" s="11">
        <f t="shared" si="0"/>
        <v>1.6436125680000002</v>
      </c>
      <c r="AH7" s="11">
        <f t="shared" si="0"/>
        <v>1.1677992300000002</v>
      </c>
      <c r="AI7" s="11">
        <f t="shared" si="0"/>
        <v>0.734551116</v>
      </c>
      <c r="AJ7" s="11">
        <f t="shared" si="0"/>
        <v>0.34462958399999999</v>
      </c>
      <c r="AK7" s="11">
        <f t="shared" si="0"/>
        <v>0</v>
      </c>
    </row>
    <row r="8" spans="8:37" x14ac:dyDescent="0.25">
      <c r="I8" s="10" t="s">
        <v>142</v>
      </c>
      <c r="K8" s="1">
        <f>K7-L7</f>
        <v>1.0816518861999924</v>
      </c>
      <c r="L8" s="1">
        <f t="shared" ref="L8:AJ8" si="1">L7-M7</f>
        <v>1.823573310000004</v>
      </c>
      <c r="M8" s="1">
        <f t="shared" si="1"/>
        <v>2.2639168800000036</v>
      </c>
      <c r="N8" s="1">
        <f t="shared" si="1"/>
        <v>1.8890879999999974</v>
      </c>
      <c r="O8" s="1">
        <f t="shared" si="1"/>
        <v>1.9241372799999965</v>
      </c>
      <c r="P8" s="1">
        <f t="shared" si="1"/>
        <v>1.9778793300000004</v>
      </c>
      <c r="Q8" s="1">
        <f t="shared" si="1"/>
        <v>1.9455901340000015</v>
      </c>
      <c r="R8" s="1">
        <f t="shared" si="1"/>
        <v>1.9423733760000008</v>
      </c>
      <c r="S8" s="1">
        <f t="shared" si="1"/>
        <v>1.7939284700000009</v>
      </c>
      <c r="T8" s="1">
        <f t="shared" si="1"/>
        <v>1.6498838619999994</v>
      </c>
      <c r="U8" s="1">
        <f t="shared" si="1"/>
        <v>1.5301053279999994</v>
      </c>
      <c r="V8" s="1">
        <f t="shared" si="1"/>
        <v>1.046438674</v>
      </c>
      <c r="W8" s="1">
        <f t="shared" si="1"/>
        <v>0.95543982200000155</v>
      </c>
      <c r="X8" s="1">
        <f t="shared" si="1"/>
        <v>0.85694452199999827</v>
      </c>
      <c r="Y8" s="1">
        <f t="shared" si="1"/>
        <v>0.69663212800000096</v>
      </c>
      <c r="Z8" s="1">
        <f t="shared" si="1"/>
        <v>1.290311583999999</v>
      </c>
      <c r="AA8" s="1">
        <f t="shared" si="1"/>
        <v>3.0145600000000439E-2</v>
      </c>
      <c r="AB8" s="1">
        <f t="shared" si="1"/>
        <v>0.48663669800000031</v>
      </c>
      <c r="AC8" s="1">
        <f t="shared" si="1"/>
        <v>0.41557843399999994</v>
      </c>
      <c r="AD8" s="1">
        <f t="shared" si="1"/>
        <v>0.35590104200000017</v>
      </c>
      <c r="AE8" s="1">
        <f t="shared" si="1"/>
        <v>0.304964966</v>
      </c>
      <c r="AF8" s="1">
        <f t="shared" si="1"/>
        <v>0.54723934199999991</v>
      </c>
      <c r="AG8" s="1">
        <f t="shared" si="1"/>
        <v>0.47581333800000003</v>
      </c>
      <c r="AH8" s="1">
        <f t="shared" si="1"/>
        <v>0.43324811400000018</v>
      </c>
      <c r="AI8" s="1">
        <f t="shared" si="1"/>
        <v>0.38992153200000002</v>
      </c>
      <c r="AJ8" s="1">
        <f t="shared" si="1"/>
        <v>0.34462958399999999</v>
      </c>
      <c r="AK8" s="1" t="e">
        <f>AK7-#REF!</f>
        <v>#REF!</v>
      </c>
    </row>
    <row r="10" spans="8:37" x14ac:dyDescent="0.25">
      <c r="H10" s="119" t="s">
        <v>512</v>
      </c>
      <c r="I10" s="119"/>
      <c r="J10" s="119"/>
      <c r="K10" s="119"/>
      <c r="L10" s="119"/>
      <c r="M10" s="119"/>
      <c r="N10" s="119"/>
      <c r="O10" s="119"/>
    </row>
    <row r="11" spans="8:37" x14ac:dyDescent="0.25">
      <c r="H11" s="95" t="s">
        <v>460</v>
      </c>
      <c r="I11" s="120" t="s">
        <v>461</v>
      </c>
      <c r="J11" s="120"/>
      <c r="K11" s="120"/>
      <c r="L11" s="96">
        <v>7.0000000000000007E-2</v>
      </c>
      <c r="M11" s="69"/>
      <c r="N11" s="70"/>
      <c r="O11" s="70"/>
      <c r="V11" s="3"/>
    </row>
    <row r="12" spans="8:37" x14ac:dyDescent="0.25">
      <c r="H12" s="95"/>
      <c r="I12" s="98" t="s">
        <v>513</v>
      </c>
      <c r="J12" s="98"/>
      <c r="K12" s="98"/>
      <c r="L12" s="96">
        <v>0.03</v>
      </c>
      <c r="M12" s="71"/>
      <c r="N12" s="70"/>
      <c r="O12" s="71"/>
      <c r="V12" s="3"/>
    </row>
    <row r="13" spans="8:37" x14ac:dyDescent="0.25">
      <c r="H13" s="95"/>
      <c r="I13" s="120" t="s">
        <v>529</v>
      </c>
      <c r="J13" s="120"/>
      <c r="K13" s="120"/>
      <c r="L13" s="97">
        <f>2/3</f>
        <v>0.66666666666666663</v>
      </c>
      <c r="M13" s="69"/>
      <c r="N13" s="69"/>
      <c r="O13" s="69"/>
      <c r="P13" s="121" t="s">
        <v>462</v>
      </c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</row>
    <row r="14" spans="8:37" x14ac:dyDescent="0.25">
      <c r="H14" t="s">
        <v>173</v>
      </c>
      <c r="J14" s="26">
        <v>1</v>
      </c>
      <c r="K14" s="26">
        <f>J14-(1-$L$13)*$L$11*1/7</f>
        <v>0.9966666666666667</v>
      </c>
      <c r="L14" s="26">
        <f t="shared" ref="L14:Q14" si="2">K14-(1-$L$13)*$L$11*1/7</f>
        <v>0.9933333333333334</v>
      </c>
      <c r="M14" s="26">
        <f t="shared" si="2"/>
        <v>0.9900000000000001</v>
      </c>
      <c r="N14" s="26">
        <f t="shared" si="2"/>
        <v>0.9866666666666668</v>
      </c>
      <c r="O14" s="26">
        <f t="shared" si="2"/>
        <v>0.9833333333333335</v>
      </c>
      <c r="P14" s="26">
        <f t="shared" si="2"/>
        <v>0.9800000000000002</v>
      </c>
      <c r="Q14" s="26">
        <f t="shared" si="2"/>
        <v>0.9766666666666669</v>
      </c>
      <c r="R14" s="1">
        <f>Q14+($AK$14-$Q$14)/20</f>
        <v>0.97516666666666696</v>
      </c>
      <c r="S14" s="1">
        <f t="shared" ref="S14:AJ14" si="3">R14+($AK$14-$Q$14)/20</f>
        <v>0.9736666666666669</v>
      </c>
      <c r="T14" s="1">
        <f t="shared" si="3"/>
        <v>0.97216666666666685</v>
      </c>
      <c r="U14" s="1">
        <f t="shared" si="3"/>
        <v>0.97066666666666679</v>
      </c>
      <c r="V14" s="1">
        <f t="shared" si="3"/>
        <v>0.96916666666666673</v>
      </c>
      <c r="W14" s="1">
        <f t="shared" si="3"/>
        <v>0.96766666666666667</v>
      </c>
      <c r="X14" s="1">
        <f t="shared" si="3"/>
        <v>0.96616666666666662</v>
      </c>
      <c r="Y14" s="1">
        <f t="shared" si="3"/>
        <v>0.96466666666666656</v>
      </c>
      <c r="Z14" s="1">
        <f t="shared" si="3"/>
        <v>0.9631666666666665</v>
      </c>
      <c r="AA14" s="1">
        <f t="shared" si="3"/>
        <v>0.96166666666666645</v>
      </c>
      <c r="AB14" s="1">
        <f t="shared" si="3"/>
        <v>0.96016666666666639</v>
      </c>
      <c r="AC14" s="1">
        <f t="shared" si="3"/>
        <v>0.95866666666666633</v>
      </c>
      <c r="AD14" s="1">
        <f t="shared" si="3"/>
        <v>0.95716666666666628</v>
      </c>
      <c r="AE14" s="1">
        <f t="shared" si="3"/>
        <v>0.95566666666666622</v>
      </c>
      <c r="AF14" s="1">
        <f t="shared" si="3"/>
        <v>0.95416666666666616</v>
      </c>
      <c r="AG14" s="1">
        <f t="shared" si="3"/>
        <v>0.95266666666666611</v>
      </c>
      <c r="AH14" s="1">
        <f t="shared" si="3"/>
        <v>0.95116666666666605</v>
      </c>
      <c r="AI14" s="1">
        <f t="shared" si="3"/>
        <v>0.94966666666666599</v>
      </c>
      <c r="AJ14" s="1">
        <f t="shared" si="3"/>
        <v>0.94816666666666594</v>
      </c>
      <c r="AK14" s="1">
        <f>Q14-L12</f>
        <v>0.94666666666666688</v>
      </c>
    </row>
    <row r="15" spans="8:37" x14ac:dyDescent="0.25">
      <c r="H15" t="s">
        <v>174</v>
      </c>
      <c r="J15" s="1">
        <v>0.97</v>
      </c>
      <c r="K15" s="1">
        <v>0.96</v>
      </c>
      <c r="L15" s="1">
        <v>0.95</v>
      </c>
      <c r="M15" s="1">
        <v>0.94</v>
      </c>
      <c r="N15" s="1">
        <v>0.93</v>
      </c>
      <c r="O15" s="1">
        <v>0.92</v>
      </c>
      <c r="P15" s="1">
        <v>0.91</v>
      </c>
      <c r="Q15" s="5">
        <f>100%-10%</f>
        <v>0.9</v>
      </c>
      <c r="R15" s="1">
        <f>Q15+($AK$15-$Q$15)/20</f>
        <v>0.89749999999999996</v>
      </c>
      <c r="S15" s="1">
        <f t="shared" ref="S15:AJ15" si="4">R15+($AK$15-$Q$15)/20</f>
        <v>0.89500000000000002</v>
      </c>
      <c r="T15" s="1">
        <f t="shared" si="4"/>
        <v>0.89250000000000007</v>
      </c>
      <c r="U15" s="1">
        <f t="shared" si="4"/>
        <v>0.89000000000000012</v>
      </c>
      <c r="V15" s="1">
        <f t="shared" si="4"/>
        <v>0.88750000000000018</v>
      </c>
      <c r="W15" s="1">
        <f t="shared" si="4"/>
        <v>0.88500000000000023</v>
      </c>
      <c r="X15" s="1">
        <f t="shared" si="4"/>
        <v>0.88250000000000028</v>
      </c>
      <c r="Y15" s="1">
        <f t="shared" si="4"/>
        <v>0.88000000000000034</v>
      </c>
      <c r="Z15" s="1">
        <f t="shared" si="4"/>
        <v>0.87750000000000039</v>
      </c>
      <c r="AA15" s="1">
        <f t="shared" si="4"/>
        <v>0.87500000000000044</v>
      </c>
      <c r="AB15" s="1">
        <f t="shared" si="4"/>
        <v>0.8725000000000005</v>
      </c>
      <c r="AC15" s="1">
        <f t="shared" si="4"/>
        <v>0.87000000000000055</v>
      </c>
      <c r="AD15" s="1">
        <f t="shared" si="4"/>
        <v>0.8675000000000006</v>
      </c>
      <c r="AE15" s="1">
        <f t="shared" si="4"/>
        <v>0.86500000000000066</v>
      </c>
      <c r="AF15" s="1">
        <f t="shared" si="4"/>
        <v>0.86250000000000071</v>
      </c>
      <c r="AG15" s="1">
        <f t="shared" si="4"/>
        <v>0.86000000000000076</v>
      </c>
      <c r="AH15" s="1">
        <f t="shared" si="4"/>
        <v>0.85750000000000082</v>
      </c>
      <c r="AI15" s="1">
        <f t="shared" si="4"/>
        <v>0.85500000000000087</v>
      </c>
      <c r="AJ15" s="1">
        <f t="shared" si="4"/>
        <v>0.85250000000000092</v>
      </c>
      <c r="AK15" s="5">
        <f>100%-15%</f>
        <v>0.85</v>
      </c>
    </row>
    <row r="16" spans="8:37" x14ac:dyDescent="0.25">
      <c r="H16" s="10" t="s">
        <v>175</v>
      </c>
      <c r="J16" s="1">
        <f>J14*J15</f>
        <v>0.97</v>
      </c>
      <c r="K16" s="1">
        <f t="shared" ref="K16:AK16" si="5">K14*K15</f>
        <v>0.95679999999999998</v>
      </c>
      <c r="L16" s="1">
        <f t="shared" si="5"/>
        <v>0.94366666666666665</v>
      </c>
      <c r="M16" s="1">
        <f t="shared" si="5"/>
        <v>0.93060000000000009</v>
      </c>
      <c r="N16" s="1">
        <f t="shared" si="5"/>
        <v>0.91760000000000019</v>
      </c>
      <c r="O16" s="1">
        <f t="shared" si="5"/>
        <v>0.90466666666666684</v>
      </c>
      <c r="P16" s="1">
        <f t="shared" si="5"/>
        <v>0.89180000000000026</v>
      </c>
      <c r="Q16" s="1">
        <f t="shared" si="5"/>
        <v>0.87900000000000023</v>
      </c>
      <c r="R16" s="1">
        <f t="shared" si="5"/>
        <v>0.87521208333333356</v>
      </c>
      <c r="S16" s="1">
        <f t="shared" si="5"/>
        <v>0.87143166666666694</v>
      </c>
      <c r="T16" s="1">
        <f t="shared" si="5"/>
        <v>0.86765875000000026</v>
      </c>
      <c r="U16" s="1">
        <f t="shared" si="5"/>
        <v>0.86389333333333351</v>
      </c>
      <c r="V16" s="1">
        <f t="shared" si="5"/>
        <v>0.86013541666666693</v>
      </c>
      <c r="W16" s="1">
        <f t="shared" si="5"/>
        <v>0.85638500000000028</v>
      </c>
      <c r="X16" s="1">
        <f t="shared" si="5"/>
        <v>0.85264208333333358</v>
      </c>
      <c r="Y16" s="1">
        <f t="shared" si="5"/>
        <v>0.84890666666666692</v>
      </c>
      <c r="Z16" s="1">
        <f t="shared" si="5"/>
        <v>0.8451787500000002</v>
      </c>
      <c r="AA16" s="1">
        <f t="shared" si="5"/>
        <v>0.84145833333333353</v>
      </c>
      <c r="AB16" s="1">
        <f t="shared" si="5"/>
        <v>0.83774541666666691</v>
      </c>
      <c r="AC16" s="1">
        <f t="shared" si="5"/>
        <v>0.83404000000000023</v>
      </c>
      <c r="AD16" s="1">
        <f t="shared" si="5"/>
        <v>0.83034208333333359</v>
      </c>
      <c r="AE16" s="1">
        <f t="shared" si="5"/>
        <v>0.8266516666666669</v>
      </c>
      <c r="AF16" s="1">
        <f t="shared" si="5"/>
        <v>0.82296875000000025</v>
      </c>
      <c r="AG16" s="1">
        <f t="shared" si="5"/>
        <v>0.81929333333333354</v>
      </c>
      <c r="AH16" s="1">
        <f t="shared" si="5"/>
        <v>0.81562541666666688</v>
      </c>
      <c r="AI16" s="1">
        <f t="shared" si="5"/>
        <v>0.81196500000000027</v>
      </c>
      <c r="AJ16" s="1">
        <f t="shared" si="5"/>
        <v>0.8083120833333336</v>
      </c>
      <c r="AK16" s="1">
        <f t="shared" si="5"/>
        <v>0.80466666666666686</v>
      </c>
    </row>
    <row r="18" spans="8:38" x14ac:dyDescent="0.25">
      <c r="H18" s="2" t="s">
        <v>361</v>
      </c>
    </row>
    <row r="19" spans="8:38" x14ac:dyDescent="0.25">
      <c r="H19" t="s">
        <v>107</v>
      </c>
      <c r="J19" s="1">
        <f t="shared" ref="J19:AK19" si="6">J3*J$16</f>
        <v>19.428156384000001</v>
      </c>
      <c r="K19" s="1">
        <f t="shared" si="6"/>
        <v>18.573375992396159</v>
      </c>
      <c r="L19" s="1">
        <f t="shared" si="6"/>
        <v>18.107379247283337</v>
      </c>
      <c r="M19" s="1">
        <f t="shared" si="6"/>
        <v>17.045565726024002</v>
      </c>
      <c r="N19" s="1">
        <f t="shared" si="6"/>
        <v>15.730261872415999</v>
      </c>
      <c r="O19" s="1">
        <f t="shared" si="6"/>
        <v>14.616466978746667</v>
      </c>
      <c r="P19" s="1">
        <f t="shared" si="6"/>
        <v>13.457802323784007</v>
      </c>
      <c r="Q19" s="1">
        <f t="shared" si="6"/>
        <v>12.246866637450005</v>
      </c>
      <c r="R19" s="1">
        <f t="shared" si="6"/>
        <v>11.193206726681565</v>
      </c>
      <c r="S19" s="1">
        <f t="shared" si="6"/>
        <v>10.115372292218936</v>
      </c>
      <c r="T19" s="1">
        <f t="shared" si="6"/>
        <v>9.1319648069629888</v>
      </c>
      <c r="U19" s="1">
        <f t="shared" si="6"/>
        <v>8.2397720303031488</v>
      </c>
      <c r="V19" s="1">
        <f t="shared" si="6"/>
        <v>7.4228356516952116</v>
      </c>
      <c r="W19" s="1">
        <f t="shared" si="6"/>
        <v>6.4943157519178127</v>
      </c>
      <c r="X19" s="1">
        <f t="shared" si="6"/>
        <v>5.651283492238103</v>
      </c>
      <c r="Y19" s="1">
        <f t="shared" si="6"/>
        <v>4.8990593565842158</v>
      </c>
      <c r="Z19" s="1">
        <f t="shared" si="6"/>
        <v>4.2887667949843289</v>
      </c>
      <c r="AA19" s="1">
        <f t="shared" si="6"/>
        <v>3.1841445140312516</v>
      </c>
      <c r="AB19" s="1">
        <f t="shared" si="6"/>
        <v>3.1448402071110224</v>
      </c>
      <c r="AC19" s="1">
        <f t="shared" si="6"/>
        <v>2.7250558494220809</v>
      </c>
      <c r="AD19" s="1">
        <f t="shared" si="6"/>
        <v>2.3679013971111167</v>
      </c>
      <c r="AE19" s="1">
        <f t="shared" si="6"/>
        <v>2.063171180240194</v>
      </c>
      <c r="AF19" s="1">
        <f t="shared" si="6"/>
        <v>1.8030026578078131</v>
      </c>
      <c r="AG19" s="1">
        <f t="shared" si="6"/>
        <v>1.3466008195452805</v>
      </c>
      <c r="AH19" s="1">
        <f t="shared" si="6"/>
        <v>0.95248673355176294</v>
      </c>
      <c r="AI19" s="1">
        <f t="shared" si="6"/>
        <v>0.59642979690294018</v>
      </c>
      <c r="AJ19" s="1">
        <f t="shared" si="6"/>
        <v>0.27856825702134008</v>
      </c>
      <c r="AK19" s="1">
        <f t="shared" si="6"/>
        <v>0</v>
      </c>
    </row>
    <row r="20" spans="8:38" x14ac:dyDescent="0.25">
      <c r="H20" t="s">
        <v>108</v>
      </c>
      <c r="J20" s="1">
        <f t="shared" ref="J20:AK20" si="7">J4*J$16</f>
        <v>9.74268</v>
      </c>
      <c r="K20" s="1">
        <f t="shared" si="7"/>
        <v>8.6494719999999994</v>
      </c>
      <c r="L20" s="1">
        <f t="shared" si="7"/>
        <v>7.7210806666666665</v>
      </c>
      <c r="M20" s="1">
        <f t="shared" si="7"/>
        <v>6.7282380000000011</v>
      </c>
      <c r="N20" s="1">
        <f t="shared" si="7"/>
        <v>5.6340640000000013</v>
      </c>
      <c r="O20" s="1">
        <f t="shared" si="7"/>
        <v>4.7377393333333346</v>
      </c>
      <c r="P20" s="1">
        <f t="shared" si="7"/>
        <v>3.9051922000000006</v>
      </c>
      <c r="Q20" s="1">
        <f t="shared" si="7"/>
        <v>3.1283610000000008</v>
      </c>
      <c r="R20" s="1">
        <f t="shared" si="7"/>
        <v>2.4129597137500007</v>
      </c>
      <c r="S20" s="1">
        <f t="shared" si="7"/>
        <v>1.7393776066666673</v>
      </c>
      <c r="T20" s="1">
        <f t="shared" si="7"/>
        <v>1.1149414937500002</v>
      </c>
      <c r="U20" s="1">
        <f t="shared" si="7"/>
        <v>0.53734165333333339</v>
      </c>
      <c r="V20" s="1">
        <f t="shared" si="7"/>
        <v>0</v>
      </c>
      <c r="W20" s="1">
        <f t="shared" si="7"/>
        <v>0</v>
      </c>
      <c r="X20" s="1">
        <f t="shared" si="7"/>
        <v>0</v>
      </c>
      <c r="Y20" s="1">
        <f t="shared" si="7"/>
        <v>0</v>
      </c>
      <c r="Z20" s="1">
        <f t="shared" si="7"/>
        <v>0</v>
      </c>
      <c r="AA20" s="1">
        <f t="shared" si="7"/>
        <v>0</v>
      </c>
      <c r="AB20" s="1">
        <f t="shared" si="7"/>
        <v>0</v>
      </c>
      <c r="AC20" s="1">
        <f t="shared" si="7"/>
        <v>0</v>
      </c>
      <c r="AD20" s="1">
        <f t="shared" si="7"/>
        <v>0</v>
      </c>
      <c r="AE20" s="1">
        <f t="shared" si="7"/>
        <v>0</v>
      </c>
      <c r="AF20" s="1">
        <f t="shared" si="7"/>
        <v>0</v>
      </c>
      <c r="AG20" s="1">
        <f t="shared" si="7"/>
        <v>0</v>
      </c>
      <c r="AH20" s="1">
        <f t="shared" si="7"/>
        <v>0</v>
      </c>
      <c r="AI20" s="1">
        <f t="shared" si="7"/>
        <v>0</v>
      </c>
      <c r="AJ20" s="1">
        <f t="shared" si="7"/>
        <v>0</v>
      </c>
      <c r="AK20" s="1">
        <f t="shared" si="7"/>
        <v>0</v>
      </c>
    </row>
    <row r="21" spans="8:38" x14ac:dyDescent="0.25">
      <c r="H21" t="s">
        <v>109</v>
      </c>
      <c r="J21" s="1">
        <f t="shared" ref="J21:AK21" si="8">J5*J$16</f>
        <v>3.9003699999999997</v>
      </c>
      <c r="K21" s="1">
        <f t="shared" si="8"/>
        <v>3.7678784000000003</v>
      </c>
      <c r="L21" s="1">
        <f t="shared" si="8"/>
        <v>3.7020043333333335</v>
      </c>
      <c r="M21" s="1">
        <f t="shared" si="8"/>
        <v>3.6367848000000005</v>
      </c>
      <c r="N21" s="1">
        <f t="shared" si="8"/>
        <v>3.5924040000000006</v>
      </c>
      <c r="O21" s="1">
        <f t="shared" si="8"/>
        <v>3.5435793333333336</v>
      </c>
      <c r="P21" s="1">
        <f t="shared" si="8"/>
        <v>3.491397000000001</v>
      </c>
      <c r="Q21" s="1">
        <f t="shared" si="8"/>
        <v>3.4184310000000009</v>
      </c>
      <c r="R21" s="1">
        <f t="shared" si="8"/>
        <v>3.4001989437500009</v>
      </c>
      <c r="S21" s="1">
        <f t="shared" si="8"/>
        <v>3.3750548450000011</v>
      </c>
      <c r="T21" s="1">
        <f t="shared" si="8"/>
        <v>3.3587070212500012</v>
      </c>
      <c r="U21" s="1">
        <f t="shared" si="8"/>
        <v>3.3527700266666671</v>
      </c>
      <c r="V21" s="1">
        <f t="shared" si="8"/>
        <v>3.3553882604166674</v>
      </c>
      <c r="W21" s="1">
        <f t="shared" si="8"/>
        <v>3.3236301850000007</v>
      </c>
      <c r="X21" s="1">
        <f t="shared" si="8"/>
        <v>3.2929037258333342</v>
      </c>
      <c r="Y21" s="1">
        <f t="shared" si="8"/>
        <v>3.272535200000001</v>
      </c>
      <c r="Z21" s="1">
        <f t="shared" si="8"/>
        <v>3.2429508637500009</v>
      </c>
      <c r="AA21" s="1">
        <f t="shared" si="8"/>
        <v>3.2211025000000006</v>
      </c>
      <c r="AB21" s="1">
        <f t="shared" si="8"/>
        <v>3.1859458195833343</v>
      </c>
      <c r="AC21" s="1">
        <f t="shared" si="8"/>
        <v>3.1543392800000007</v>
      </c>
      <c r="AD21" s="1">
        <f t="shared" si="8"/>
        <v>3.1179345229166677</v>
      </c>
      <c r="AE21" s="1">
        <f t="shared" si="8"/>
        <v>3.1049036600000006</v>
      </c>
      <c r="AF21" s="1">
        <f t="shared" si="8"/>
        <v>3.0803720312500009</v>
      </c>
      <c r="AG21" s="1">
        <f t="shared" si="8"/>
        <v>3.0674342400000008</v>
      </c>
      <c r="AH21" s="1">
        <f t="shared" si="8"/>
        <v>3.047992182083334</v>
      </c>
      <c r="AI21" s="1">
        <f t="shared" si="8"/>
        <v>3.0310653450000009</v>
      </c>
      <c r="AJ21" s="1">
        <f t="shared" si="8"/>
        <v>3.0190456312500009</v>
      </c>
      <c r="AK21" s="1">
        <f t="shared" si="8"/>
        <v>3.0094533333333344</v>
      </c>
    </row>
    <row r="23" spans="8:38" x14ac:dyDescent="0.25">
      <c r="H23" t="s">
        <v>137</v>
      </c>
      <c r="J23" s="11">
        <f t="shared" ref="J23:AK23" si="9">SUM(J19:J20)</f>
        <v>29.170836384000001</v>
      </c>
      <c r="K23" s="11">
        <f t="shared" si="9"/>
        <v>27.222847992396158</v>
      </c>
      <c r="L23" s="11">
        <f t="shared" si="9"/>
        <v>25.828459913950002</v>
      </c>
      <c r="M23" s="11">
        <f t="shared" si="9"/>
        <v>23.773803726024003</v>
      </c>
      <c r="N23" s="11">
        <f t="shared" si="9"/>
        <v>21.364325872416</v>
      </c>
      <c r="O23" s="11">
        <f t="shared" si="9"/>
        <v>19.354206312080002</v>
      </c>
      <c r="P23" s="11">
        <f t="shared" si="9"/>
        <v>17.362994523784007</v>
      </c>
      <c r="Q23" s="11">
        <f t="shared" si="9"/>
        <v>15.375227637450006</v>
      </c>
      <c r="R23" s="11">
        <f t="shared" si="9"/>
        <v>13.606166440431565</v>
      </c>
      <c r="S23" s="11">
        <f t="shared" si="9"/>
        <v>11.854749898885604</v>
      </c>
      <c r="T23" s="11">
        <f t="shared" si="9"/>
        <v>10.24690630071299</v>
      </c>
      <c r="U23" s="11">
        <f t="shared" si="9"/>
        <v>8.7771136836364825</v>
      </c>
      <c r="V23" s="11">
        <f t="shared" si="9"/>
        <v>7.4228356516952116</v>
      </c>
      <c r="W23" s="11">
        <f t="shared" si="9"/>
        <v>6.4943157519178127</v>
      </c>
      <c r="X23" s="11">
        <f t="shared" si="9"/>
        <v>5.651283492238103</v>
      </c>
      <c r="Y23" s="11">
        <f t="shared" si="9"/>
        <v>4.8990593565842158</v>
      </c>
      <c r="Z23" s="11">
        <f t="shared" si="9"/>
        <v>4.2887667949843289</v>
      </c>
      <c r="AA23" s="11">
        <f t="shared" si="9"/>
        <v>3.1841445140312516</v>
      </c>
      <c r="AB23" s="11">
        <f t="shared" si="9"/>
        <v>3.1448402071110224</v>
      </c>
      <c r="AC23" s="11">
        <f t="shared" si="9"/>
        <v>2.7250558494220809</v>
      </c>
      <c r="AD23" s="11">
        <f t="shared" si="9"/>
        <v>2.3679013971111167</v>
      </c>
      <c r="AE23" s="11">
        <f t="shared" si="9"/>
        <v>2.063171180240194</v>
      </c>
      <c r="AF23" s="11">
        <f t="shared" si="9"/>
        <v>1.8030026578078131</v>
      </c>
      <c r="AG23" s="11">
        <f t="shared" si="9"/>
        <v>1.3466008195452805</v>
      </c>
      <c r="AH23" s="11">
        <f t="shared" si="9"/>
        <v>0.95248673355176294</v>
      </c>
      <c r="AI23" s="11">
        <f t="shared" si="9"/>
        <v>0.59642979690294018</v>
      </c>
      <c r="AJ23" s="11">
        <f t="shared" si="9"/>
        <v>0.27856825702134008</v>
      </c>
      <c r="AK23" s="11">
        <f t="shared" si="9"/>
        <v>0</v>
      </c>
    </row>
    <row r="24" spans="8:38" x14ac:dyDescent="0.25">
      <c r="H24" t="s">
        <v>142</v>
      </c>
      <c r="J24" s="11"/>
      <c r="K24" s="11">
        <f t="shared" ref="K24:AK24" si="10">K23-J23</f>
        <v>-1.9479883916038432</v>
      </c>
      <c r="L24" s="11">
        <f t="shared" si="10"/>
        <v>-1.3943880784461555</v>
      </c>
      <c r="M24" s="11">
        <f t="shared" si="10"/>
        <v>-2.0546561879259997</v>
      </c>
      <c r="N24" s="11">
        <f t="shared" si="10"/>
        <v>-2.4094778536080028</v>
      </c>
      <c r="O24" s="11">
        <f t="shared" si="10"/>
        <v>-2.0101195603359976</v>
      </c>
      <c r="P24" s="11">
        <f t="shared" si="10"/>
        <v>-1.9912117882959954</v>
      </c>
      <c r="Q24" s="11">
        <f t="shared" si="10"/>
        <v>-1.9877668863340006</v>
      </c>
      <c r="R24" s="11">
        <f t="shared" si="10"/>
        <v>-1.7690611970184413</v>
      </c>
      <c r="S24" s="11">
        <f t="shared" si="10"/>
        <v>-1.7514165415459608</v>
      </c>
      <c r="T24" s="11">
        <f t="shared" si="10"/>
        <v>-1.6078435981726145</v>
      </c>
      <c r="U24" s="11">
        <f t="shared" si="10"/>
        <v>-1.4697926170765072</v>
      </c>
      <c r="V24" s="11">
        <f t="shared" si="10"/>
        <v>-1.3542780319412708</v>
      </c>
      <c r="W24" s="11">
        <f t="shared" si="10"/>
        <v>-0.9285198997773989</v>
      </c>
      <c r="X24" s="11">
        <f t="shared" si="10"/>
        <v>-0.84303225967970974</v>
      </c>
      <c r="Y24" s="11">
        <f t="shared" si="10"/>
        <v>-0.75222413565388724</v>
      </c>
      <c r="Z24" s="11">
        <f t="shared" si="10"/>
        <v>-0.61029256159988687</v>
      </c>
      <c r="AA24" s="11">
        <f t="shared" si="10"/>
        <v>-1.1046222809530772</v>
      </c>
      <c r="AB24" s="11">
        <f t="shared" si="10"/>
        <v>-3.9304306920229237E-2</v>
      </c>
      <c r="AC24" s="11">
        <f t="shared" si="10"/>
        <v>-0.41978435768894151</v>
      </c>
      <c r="AD24" s="11">
        <f t="shared" si="10"/>
        <v>-0.35715445231096421</v>
      </c>
      <c r="AE24" s="11">
        <f t="shared" si="10"/>
        <v>-0.30473021687092272</v>
      </c>
      <c r="AF24" s="11">
        <f t="shared" si="10"/>
        <v>-0.26016852243238087</v>
      </c>
      <c r="AG24" s="11">
        <f t="shared" si="10"/>
        <v>-0.45640183826253256</v>
      </c>
      <c r="AH24" s="11">
        <f t="shared" si="10"/>
        <v>-0.3941140859935176</v>
      </c>
      <c r="AI24" s="11">
        <f t="shared" si="10"/>
        <v>-0.35605693664882276</v>
      </c>
      <c r="AJ24" s="11">
        <f t="shared" si="10"/>
        <v>-0.3178615398816001</v>
      </c>
      <c r="AK24" s="11">
        <f t="shared" si="10"/>
        <v>-0.27856825702134008</v>
      </c>
    </row>
    <row r="25" spans="8:38" x14ac:dyDescent="0.25">
      <c r="H25" t="s">
        <v>185</v>
      </c>
      <c r="J25" s="11"/>
      <c r="K25" s="11"/>
      <c r="L25" s="3">
        <f t="shared" ref="L25:AK25" si="11">L23/$K23-1</f>
        <v>-5.1221241761171821E-2</v>
      </c>
      <c r="M25" s="3">
        <f t="shared" si="11"/>
        <v>-0.12669667285860531</v>
      </c>
      <c r="N25" s="3">
        <f t="shared" si="11"/>
        <v>-0.21520606960802013</v>
      </c>
      <c r="O25" s="3">
        <f t="shared" si="11"/>
        <v>-0.28904549893214748</v>
      </c>
      <c r="P25" s="3">
        <f t="shared" si="11"/>
        <v>-0.36219037300455081</v>
      </c>
      <c r="Q25" s="3">
        <f t="shared" si="11"/>
        <v>-0.43520870256688093</v>
      </c>
      <c r="R25" s="3">
        <f t="shared" si="11"/>
        <v>-0.50019313026204981</v>
      </c>
      <c r="S25" s="3">
        <f t="shared" si="11"/>
        <v>-0.56452940183933531</v>
      </c>
      <c r="T25" s="3">
        <f t="shared" si="11"/>
        <v>-0.62359168652834784</v>
      </c>
      <c r="U25" s="3">
        <f t="shared" si="11"/>
        <v>-0.67758282726009811</v>
      </c>
      <c r="V25" s="3">
        <f t="shared" si="11"/>
        <v>-0.72733067261116302</v>
      </c>
      <c r="W25" s="3">
        <f t="shared" si="11"/>
        <v>-0.76143878282934263</v>
      </c>
      <c r="X25" s="3">
        <f t="shared" si="11"/>
        <v>-0.79240660294556209</v>
      </c>
      <c r="Y25" s="3">
        <f t="shared" si="11"/>
        <v>-0.82003869110415584</v>
      </c>
      <c r="Z25" s="3">
        <f t="shared" si="11"/>
        <v>-0.84245708618796022</v>
      </c>
      <c r="AA25" s="3">
        <f t="shared" si="11"/>
        <v>-0.88303411476563209</v>
      </c>
      <c r="AB25" s="3">
        <f t="shared" si="11"/>
        <v>-0.88447791325913316</v>
      </c>
      <c r="AC25" s="3">
        <f t="shared" si="11"/>
        <v>-0.89989820865975378</v>
      </c>
      <c r="AD25" s="3">
        <f t="shared" si="11"/>
        <v>-0.91301786654458361</v>
      </c>
      <c r="AE25" s="3">
        <f t="shared" si="11"/>
        <v>-0.92421178045675179</v>
      </c>
      <c r="AF25" s="3">
        <f t="shared" si="11"/>
        <v>-0.93376877179377316</v>
      </c>
      <c r="AG25" s="3">
        <f t="shared" si="11"/>
        <v>-0.95053416821335479</v>
      </c>
      <c r="AH25" s="3">
        <f t="shared" si="11"/>
        <v>-0.96501149571794209</v>
      </c>
      <c r="AI25" s="3">
        <f t="shared" si="11"/>
        <v>-0.97809083762765991</v>
      </c>
      <c r="AJ25" s="3">
        <f t="shared" si="11"/>
        <v>-0.98976711558250074</v>
      </c>
      <c r="AK25" s="3">
        <f t="shared" si="11"/>
        <v>-1</v>
      </c>
    </row>
    <row r="27" spans="8:38" x14ac:dyDescent="0.25">
      <c r="H27" s="2" t="s">
        <v>264</v>
      </c>
    </row>
    <row r="29" spans="8:38" x14ac:dyDescent="0.25">
      <c r="H29" t="s">
        <v>9</v>
      </c>
      <c r="I29" t="s">
        <v>110</v>
      </c>
      <c r="J29">
        <f>VLOOKUP($H29,output!$A$9:$AJ$2200,J$1-$J$1+2)</f>
        <v>0.39700000000000002</v>
      </c>
      <c r="K29">
        <f>VLOOKUP($H29,output!$A$9:$AJ$2200,K$1-$J$1+2)</f>
        <v>0.54500000000000004</v>
      </c>
      <c r="L29">
        <f>VLOOKUP($H29,output!$A$9:$AJ$2200,L$1-$J$1+2)</f>
        <v>0.75700000000000001</v>
      </c>
      <c r="M29">
        <f>VLOOKUP($H29,output!$A$9:$AJ$2200,M$1-$J$1+2)</f>
        <v>0.96899999999999997</v>
      </c>
      <c r="N29">
        <f>VLOOKUP($H29,output!$A$9:$AJ$2200,N$1-$J$1+2)</f>
        <v>1.1819999999999999</v>
      </c>
      <c r="O29">
        <f>VLOOKUP($H29,output!$A$9:$AJ$2200,O$1-$J$1+2)</f>
        <v>1.395</v>
      </c>
      <c r="P29">
        <f>VLOOKUP($H29,output!$A$9:$AJ$2200,P$1-$J$1+2)</f>
        <v>1.6060000000000001</v>
      </c>
      <c r="Q29">
        <f>VLOOKUP($H29,output!$A$9:$AJ$2200,Q$1-$J$1+2)</f>
        <v>1.7569999999999999</v>
      </c>
      <c r="R29">
        <f>VLOOKUP($H29,output!$A$9:$AJ$2200,R$1-$J$1+2)</f>
        <v>1.913</v>
      </c>
      <c r="S29">
        <f>VLOOKUP($H29,output!$A$9:$AJ$2200,S$1-$J$1+2)</f>
        <v>2.0670000000000002</v>
      </c>
      <c r="T29">
        <f>VLOOKUP($H29,output!$A$9:$AJ$2200,T$1-$J$1+2)</f>
        <v>2.2250000000000001</v>
      </c>
      <c r="U29">
        <f>VLOOKUP($H29,output!$A$9:$AJ$2200,U$1-$J$1+2)</f>
        <v>2.3849999999999998</v>
      </c>
      <c r="V29">
        <f>VLOOKUP($H29,output!$A$9:$AJ$2200,V$1-$J$1+2)</f>
        <v>2.5489999999999999</v>
      </c>
      <c r="W29">
        <f>VLOOKUP($H29,output!$A$9:$AJ$2200,W$1-$J$1+2)</f>
        <v>2.7130000000000001</v>
      </c>
      <c r="X29">
        <f>VLOOKUP($H29,output!$A$9:$AJ$2200,X$1-$J$1+2)</f>
        <v>2.8820000000000001</v>
      </c>
      <c r="Y29">
        <f>VLOOKUP($H29,output!$A$9:$AJ$2200,Y$1-$J$1+2)</f>
        <v>3.0539999999999998</v>
      </c>
      <c r="Z29">
        <f>VLOOKUP($H29,output!$A$9:$AJ$2200,Z$1-$J$1+2)</f>
        <v>3.2290000000000001</v>
      </c>
      <c r="AA29">
        <f>VLOOKUP($H29,output!$A$9:$AJ$2200,AA$1-$J$1+2)</f>
        <v>3.33</v>
      </c>
      <c r="AB29">
        <f>VLOOKUP($H29,output!$A$9:$AJ$2200,AB$1-$J$1+2)</f>
        <v>3.4319999999999999</v>
      </c>
      <c r="AC29">
        <f>VLOOKUP($H29,output!$A$9:$AJ$2200,AC$1-$J$1+2)</f>
        <v>3.536</v>
      </c>
      <c r="AD29">
        <f>VLOOKUP($H29,output!$A$9:$AJ$2200,AD$1-$J$1+2)</f>
        <v>3.64</v>
      </c>
      <c r="AE29">
        <f>VLOOKUP($H29,output!$A$9:$AJ$2200,AE$1-$J$1+2)</f>
        <v>3.7080000000000002</v>
      </c>
      <c r="AF29">
        <f>VLOOKUP($H29,output!$A$9:$AJ$2200,AF$1-$J$1+2)</f>
        <v>3.794</v>
      </c>
      <c r="AG29">
        <f>VLOOKUP($H29,output!$A$9:$AJ$2200,AG$1-$J$1+2)</f>
        <v>3.883</v>
      </c>
      <c r="AH29">
        <f>VLOOKUP($H29,output!$A$9:$AJ$2200,AH$1-$J$1+2)</f>
        <v>3.97</v>
      </c>
      <c r="AI29">
        <f>VLOOKUP($H29,output!$A$9:$AJ$2200,AI$1-$J$1+2)</f>
        <v>4.0570000000000004</v>
      </c>
      <c r="AJ29">
        <f>VLOOKUP($H29,output!$A$9:$AJ$2200,AJ$1-$J$1+2)</f>
        <v>4.1440000000000001</v>
      </c>
      <c r="AK29">
        <f>VLOOKUP($H29,output!$A$9:$AJ$2200,AK$1-$J$1+2)</f>
        <v>4.2320000000000002</v>
      </c>
      <c r="AL29" s="3">
        <f>(AK29+AK30)/SUM(AK29:AK35)</f>
        <v>0.44809480508051985</v>
      </c>
    </row>
    <row r="30" spans="8:38" x14ac:dyDescent="0.25">
      <c r="H30" t="s">
        <v>10</v>
      </c>
      <c r="I30" t="s">
        <v>111</v>
      </c>
      <c r="J30">
        <f>VLOOKUP($H30,output!$A$9:$AJ$2200,J$1-$J$1+2)</f>
        <v>2.1560000000000001</v>
      </c>
      <c r="K30">
        <f>VLOOKUP($H30,output!$A$9:$AJ$2200,K$1-$J$1+2)</f>
        <v>2.4350000000000001</v>
      </c>
      <c r="L30">
        <f>VLOOKUP($H30,output!$A$9:$AJ$2200,L$1-$J$1+2)</f>
        <v>2.6859999999999999</v>
      </c>
      <c r="M30">
        <f>VLOOKUP($H30,output!$A$9:$AJ$2200,M$1-$J$1+2)</f>
        <v>2.9470000000000001</v>
      </c>
      <c r="N30">
        <f>VLOOKUP($H30,output!$A$9:$AJ$2200,N$1-$J$1+2)</f>
        <v>3.2240000000000002</v>
      </c>
      <c r="O30">
        <f>VLOOKUP($H30,output!$A$9:$AJ$2200,O$1-$J$1+2)</f>
        <v>3.5190000000000001</v>
      </c>
      <c r="P30">
        <f>VLOOKUP($H30,output!$A$9:$AJ$2200,P$1-$J$1+2)</f>
        <v>3.8340000000000001</v>
      </c>
      <c r="Q30">
        <f>VLOOKUP($H30,output!$A$9:$AJ$2200,Q$1-$J$1+2)</f>
        <v>4.141</v>
      </c>
      <c r="R30">
        <f>VLOOKUP($H30,output!$A$9:$AJ$2200,R$1-$J$1+2)</f>
        <v>4.4649999999999999</v>
      </c>
      <c r="S30">
        <f>VLOOKUP($H30,output!$A$9:$AJ$2200,S$1-$J$1+2)</f>
        <v>4.8179999999999996</v>
      </c>
      <c r="T30">
        <f>VLOOKUP($H30,output!$A$9:$AJ$2200,T$1-$J$1+2)</f>
        <v>5.194</v>
      </c>
      <c r="U30">
        <f>VLOOKUP($H30,output!$A$9:$AJ$2200,U$1-$J$1+2)</f>
        <v>5.5949999999999998</v>
      </c>
      <c r="V30">
        <f>VLOOKUP($H30,output!$A$9:$AJ$2200,V$1-$J$1+2)</f>
        <v>6.0179999999999998</v>
      </c>
      <c r="W30">
        <f>VLOOKUP($H30,output!$A$9:$AJ$2200,W$1-$J$1+2)</f>
        <v>6.4039999999999999</v>
      </c>
      <c r="X30">
        <f>VLOOKUP($H30,output!$A$9:$AJ$2200,X$1-$J$1+2)</f>
        <v>6.8079999999999998</v>
      </c>
      <c r="Y30">
        <f>VLOOKUP($H30,output!$A$9:$AJ$2200,Y$1-$J$1+2)</f>
        <v>7.2309999999999999</v>
      </c>
      <c r="Z30">
        <f>VLOOKUP($H30,output!$A$9:$AJ$2200,Z$1-$J$1+2)</f>
        <v>7.6459999999999999</v>
      </c>
      <c r="AA30">
        <f>VLOOKUP($H30,output!$A$9:$AJ$2200,AA$1-$J$1+2)</f>
        <v>8.0660000000000007</v>
      </c>
      <c r="AB30">
        <f>VLOOKUP($H30,output!$A$9:$AJ$2200,AB$1-$J$1+2)</f>
        <v>8.4809999999999999</v>
      </c>
      <c r="AC30">
        <f>VLOOKUP($H30,output!$A$9:$AJ$2200,AC$1-$J$1+2)</f>
        <v>8.9030000000000005</v>
      </c>
      <c r="AD30">
        <f>VLOOKUP($H30,output!$A$9:$AJ$2200,AD$1-$J$1+2)</f>
        <v>9.3059999999999992</v>
      </c>
      <c r="AE30">
        <f>VLOOKUP($H30,output!$A$9:$AJ$2200,AE$1-$J$1+2)</f>
        <v>9.5500000000000007</v>
      </c>
      <c r="AF30">
        <f>VLOOKUP($H30,output!$A$9:$AJ$2200,AF$1-$J$1+2)</f>
        <v>9.8070000000000004</v>
      </c>
      <c r="AG30">
        <f>VLOOKUP($H30,output!$A$9:$AJ$2200,AG$1-$J$1+2)</f>
        <v>10.074999999999999</v>
      </c>
      <c r="AH30">
        <f>VLOOKUP($H30,output!$A$9:$AJ$2200,AH$1-$J$1+2)</f>
        <v>10.324</v>
      </c>
      <c r="AI30">
        <f>VLOOKUP($H30,output!$A$9:$AJ$2200,AI$1-$J$1+2)</f>
        <v>10.569000000000001</v>
      </c>
      <c r="AJ30">
        <f>VLOOKUP($H30,output!$A$9:$AJ$2200,AJ$1-$J$1+2)</f>
        <v>10.808999999999999</v>
      </c>
      <c r="AK30">
        <f>VLOOKUP($H30,output!$A$9:$AJ$2200,AK$1-$J$1+2)</f>
        <v>11.044</v>
      </c>
    </row>
    <row r="31" spans="8:38" x14ac:dyDescent="0.25">
      <c r="H31" t="s">
        <v>11</v>
      </c>
      <c r="I31" t="s">
        <v>112</v>
      </c>
      <c r="J31">
        <f>VLOOKUP($H31,output!$A$9:$AJ$2200,J$1-$J$1+2)</f>
        <v>5.55</v>
      </c>
      <c r="K31">
        <f>VLOOKUP($H31,output!$A$9:$AJ$2200,K$1-$J$1+2)</f>
        <v>6.0179999999999998</v>
      </c>
      <c r="L31">
        <f>VLOOKUP($H31,output!$A$9:$AJ$2200,L$1-$J$1+2)</f>
        <v>6.359</v>
      </c>
      <c r="M31">
        <f>VLOOKUP($H31,output!$A$9:$AJ$2200,M$1-$J$1+2)</f>
        <v>6.835</v>
      </c>
      <c r="N31">
        <f>VLOOKUP($H31,output!$A$9:$AJ$2200,N$1-$J$1+2)</f>
        <v>7.3259999999999996</v>
      </c>
      <c r="O31">
        <f>VLOOKUP($H31,output!$A$9:$AJ$2200,O$1-$J$1+2)</f>
        <v>7.843</v>
      </c>
      <c r="P31">
        <f>VLOOKUP($H31,output!$A$9:$AJ$2200,P$1-$J$1+2)</f>
        <v>8.3770000000000007</v>
      </c>
      <c r="Q31">
        <f>VLOOKUP($H31,output!$A$9:$AJ$2200,Q$1-$J$1+2)</f>
        <v>8.9450000000000003</v>
      </c>
      <c r="R31">
        <f>VLOOKUP($H31,output!$A$9:$AJ$2200,R$1-$J$1+2)</f>
        <v>9.5090000000000003</v>
      </c>
      <c r="S31">
        <f>VLOOKUP($H31,output!$A$9:$AJ$2200,S$1-$J$1+2)</f>
        <v>10.092000000000001</v>
      </c>
      <c r="T31">
        <f>VLOOKUP($H31,output!$A$9:$AJ$2200,T$1-$J$1+2)</f>
        <v>10.634</v>
      </c>
      <c r="U31">
        <f>VLOOKUP($H31,output!$A$9:$AJ$2200,U$1-$J$1+2)</f>
        <v>11.148</v>
      </c>
      <c r="V31">
        <f>VLOOKUP($H31,output!$A$9:$AJ$2200,V$1-$J$1+2)</f>
        <v>11.615</v>
      </c>
      <c r="W31">
        <f>VLOOKUP($H31,output!$A$9:$AJ$2200,W$1-$J$1+2)</f>
        <v>11.957000000000001</v>
      </c>
      <c r="X31">
        <f>VLOOKUP($H31,output!$A$9:$AJ$2200,X$1-$J$1+2)</f>
        <v>12.417</v>
      </c>
      <c r="Y31">
        <f>VLOOKUP($H31,output!$A$9:$AJ$2200,Y$1-$J$1+2)</f>
        <v>12.785</v>
      </c>
      <c r="Z31">
        <f>VLOOKUP($H31,output!$A$9:$AJ$2200,Z$1-$J$1+2)</f>
        <v>13.061</v>
      </c>
      <c r="AA31">
        <f>VLOOKUP($H31,output!$A$9:$AJ$2200,AA$1-$J$1+2)</f>
        <v>13.427</v>
      </c>
      <c r="AB31">
        <f>VLOOKUP($H31,output!$A$9:$AJ$2200,AB$1-$J$1+2)</f>
        <v>13.611000000000001</v>
      </c>
      <c r="AC31">
        <f>VLOOKUP($H31,output!$A$9:$AJ$2200,AC$1-$J$1+2)</f>
        <v>13.746</v>
      </c>
      <c r="AD31">
        <f>VLOOKUP($H31,output!$A$9:$AJ$2200,AD$1-$J$1+2)</f>
        <v>13.816000000000001</v>
      </c>
      <c r="AE31">
        <f>VLOOKUP($H31,output!$A$9:$AJ$2200,AE$1-$J$1+2)</f>
        <v>13.888</v>
      </c>
      <c r="AF31">
        <f>VLOOKUP($H31,output!$A$9:$AJ$2200,AF$1-$J$1+2)</f>
        <v>13.92</v>
      </c>
      <c r="AG31">
        <f>VLOOKUP($H31,output!$A$9:$AJ$2200,AG$1-$J$1+2)</f>
        <v>13.938000000000001</v>
      </c>
      <c r="AH31">
        <f>VLOOKUP($H31,output!$A$9:$AJ$2200,AH$1-$J$1+2)</f>
        <v>13.946</v>
      </c>
      <c r="AI31">
        <f>VLOOKUP($H31,output!$A$9:$AJ$2200,AI$1-$J$1+2)</f>
        <v>13.944000000000001</v>
      </c>
      <c r="AJ31">
        <f>VLOOKUP($H31,output!$A$9:$AJ$2200,AJ$1-$J$1+2)</f>
        <v>13.930999999999999</v>
      </c>
      <c r="AK31">
        <f>VLOOKUP($H31,output!$A$9:$AJ$2200,AK$1-$J$1+2)</f>
        <v>13.907999999999999</v>
      </c>
    </row>
    <row r="32" spans="8:38" x14ac:dyDescent="0.25">
      <c r="H32" t="s">
        <v>12</v>
      </c>
      <c r="I32" t="s">
        <v>113</v>
      </c>
      <c r="J32">
        <f>VLOOKUP($H32,output!$A$9:$AJ$2200,J$1-$J$1+2)</f>
        <v>12.773999999999999</v>
      </c>
      <c r="K32">
        <f>VLOOKUP($H32,output!$A$9:$AJ$2200,K$1-$J$1+2)</f>
        <v>12.688000000000001</v>
      </c>
      <c r="L32">
        <f>VLOOKUP($H32,output!$A$9:$AJ$2200,L$1-$J$1+2)</f>
        <v>12.638999999999999</v>
      </c>
      <c r="M32">
        <f>VLOOKUP($H32,output!$A$9:$AJ$2200,M$1-$J$1+2)</f>
        <v>12.526999999999999</v>
      </c>
      <c r="N32">
        <f>VLOOKUP($H32,output!$A$9:$AJ$2200,N$1-$J$1+2)</f>
        <v>12.387</v>
      </c>
      <c r="O32">
        <f>VLOOKUP($H32,output!$A$9:$AJ$2200,O$1-$J$1+2)</f>
        <v>12.167999999999999</v>
      </c>
      <c r="P32">
        <f>VLOOKUP($H32,output!$A$9:$AJ$2200,P$1-$J$1+2)</f>
        <v>11.875999999999999</v>
      </c>
      <c r="Q32">
        <f>VLOOKUP($H32,output!$A$9:$AJ$2200,Q$1-$J$1+2)</f>
        <v>11.561999999999999</v>
      </c>
      <c r="R32">
        <f>VLOOKUP($H32,output!$A$9:$AJ$2200,R$1-$J$1+2)</f>
        <v>11.433</v>
      </c>
      <c r="S32">
        <f>VLOOKUP($H32,output!$A$9:$AJ$2200,S$1-$J$1+2)</f>
        <v>11.183999999999999</v>
      </c>
      <c r="T32">
        <f>VLOOKUP($H32,output!$A$9:$AJ$2200,T$1-$J$1+2)</f>
        <v>10.872999999999999</v>
      </c>
      <c r="U32">
        <f>VLOOKUP($H32,output!$A$9:$AJ$2200,U$1-$J$1+2)</f>
        <v>10.478999999999999</v>
      </c>
      <c r="V32">
        <f>VLOOKUP($H32,output!$A$9:$AJ$2200,V$1-$J$1+2)</f>
        <v>10.039</v>
      </c>
      <c r="W32">
        <f>VLOOKUP($H32,output!$A$9:$AJ$2200,W$1-$J$1+2)</f>
        <v>9.6530000000000005</v>
      </c>
      <c r="X32">
        <f>VLOOKUP($H32,output!$A$9:$AJ$2200,X$1-$J$1+2)</f>
        <v>9.0909999999999993</v>
      </c>
      <c r="Y32">
        <f>VLOOKUP($H32,output!$A$9:$AJ$2200,Y$1-$J$1+2)</f>
        <v>8.5649999999999995</v>
      </c>
      <c r="Z32">
        <f>VLOOKUP($H32,output!$A$9:$AJ$2200,Z$1-$J$1+2)</f>
        <v>8.1029999999999998</v>
      </c>
      <c r="AA32">
        <f>VLOOKUP($H32,output!$A$9:$AJ$2200,AA$1-$J$1+2)</f>
        <v>7.548</v>
      </c>
      <c r="AB32">
        <f>VLOOKUP($H32,output!$A$9:$AJ$2200,AB$1-$J$1+2)</f>
        <v>7.077</v>
      </c>
      <c r="AC32">
        <f>VLOOKUP($H32,output!$A$9:$AJ$2200,AC$1-$J$1+2)</f>
        <v>6.6280000000000001</v>
      </c>
      <c r="AD32">
        <f>VLOOKUP($H32,output!$A$9:$AJ$2200,AD$1-$J$1+2)</f>
        <v>6.2430000000000003</v>
      </c>
      <c r="AE32">
        <f>VLOOKUP($H32,output!$A$9:$AJ$2200,AE$1-$J$1+2)</f>
        <v>6.0129999999999999</v>
      </c>
      <c r="AF32">
        <f>VLOOKUP($H32,output!$A$9:$AJ$2200,AF$1-$J$1+2)</f>
        <v>5.7850000000000001</v>
      </c>
      <c r="AG32">
        <f>VLOOKUP($H32,output!$A$9:$AJ$2200,AG$1-$J$1+2)</f>
        <v>5.55</v>
      </c>
      <c r="AH32">
        <f>VLOOKUP($H32,output!$A$9:$AJ$2200,AH$1-$J$1+2)</f>
        <v>5.3369999999999997</v>
      </c>
      <c r="AI32">
        <f>VLOOKUP($H32,output!$A$9:$AJ$2200,AI$1-$J$1+2)</f>
        <v>5.1319999999999997</v>
      </c>
      <c r="AJ32">
        <f>VLOOKUP($H32,output!$A$9:$AJ$2200,AJ$1-$J$1+2)</f>
        <v>4.9349999999999996</v>
      </c>
      <c r="AK32">
        <f>VLOOKUP($H32,output!$A$9:$AJ$2200,AK$1-$J$1+2)</f>
        <v>4.7460000000000004</v>
      </c>
    </row>
    <row r="33" spans="8:37" x14ac:dyDescent="0.25">
      <c r="H33" t="s">
        <v>13</v>
      </c>
      <c r="I33" t="s">
        <v>114</v>
      </c>
      <c r="J33">
        <f>VLOOKUP($H33,output!$A$9:$AJ$2200,J$1-$J$1+2)</f>
        <v>5.024</v>
      </c>
      <c r="K33">
        <f>VLOOKUP($H33,output!$A$9:$AJ$2200,K$1-$J$1+2)</f>
        <v>4.8410000000000002</v>
      </c>
      <c r="L33">
        <f>VLOOKUP($H33,output!$A$9:$AJ$2200,L$1-$J$1+2)</f>
        <v>4.6470000000000002</v>
      </c>
      <c r="M33">
        <f>VLOOKUP($H33,output!$A$9:$AJ$2200,M$1-$J$1+2)</f>
        <v>4.4459999999999997</v>
      </c>
      <c r="N33">
        <f>VLOOKUP($H33,output!$A$9:$AJ$2200,N$1-$J$1+2)</f>
        <v>4.2290000000000001</v>
      </c>
      <c r="O33">
        <f>VLOOKUP($H33,output!$A$9:$AJ$2200,O$1-$J$1+2)</f>
        <v>4.0010000000000003</v>
      </c>
      <c r="P33">
        <f>VLOOKUP($H33,output!$A$9:$AJ$2200,P$1-$J$1+2)</f>
        <v>3.77</v>
      </c>
      <c r="Q33">
        <f>VLOOKUP($H33,output!$A$9:$AJ$2200,Q$1-$J$1+2)</f>
        <v>3.54</v>
      </c>
      <c r="R33">
        <f>VLOOKUP($H33,output!$A$9:$AJ$2200,R$1-$J$1+2)</f>
        <v>3.0720000000000001</v>
      </c>
      <c r="S33">
        <f>VLOOKUP($H33,output!$A$9:$AJ$2200,S$1-$J$1+2)</f>
        <v>2.66</v>
      </c>
      <c r="T33">
        <f>VLOOKUP($H33,output!$A$9:$AJ$2200,T$1-$J$1+2)</f>
        <v>2.294</v>
      </c>
      <c r="U33">
        <f>VLOOKUP($H33,output!$A$9:$AJ$2200,U$1-$J$1+2)</f>
        <v>1.988</v>
      </c>
      <c r="V33">
        <f>VLOOKUP($H33,output!$A$9:$AJ$2200,V$1-$J$1+2)</f>
        <v>1.7230000000000001</v>
      </c>
      <c r="W33">
        <f>VLOOKUP($H33,output!$A$9:$AJ$2200,W$1-$J$1+2)</f>
        <v>1.5149999999999999</v>
      </c>
      <c r="X33">
        <f>VLOOKUP($H33,output!$A$9:$AJ$2200,X$1-$J$1+2)</f>
        <v>1.329</v>
      </c>
      <c r="Y33">
        <f>VLOOKUP($H33,output!$A$9:$AJ$2200,Y$1-$J$1+2)</f>
        <v>1.163</v>
      </c>
      <c r="Z33">
        <f>VLOOKUP($H33,output!$A$9:$AJ$2200,Z$1-$J$1+2)</f>
        <v>1.0189999999999999</v>
      </c>
      <c r="AA33">
        <f>VLOOKUP($H33,output!$A$9:$AJ$2200,AA$1-$J$1+2)</f>
        <v>0.84199999999999997</v>
      </c>
      <c r="AB33">
        <f>VLOOKUP($H33,output!$A$9:$AJ$2200,AB$1-$J$1+2)</f>
        <v>0.72299999999999998</v>
      </c>
      <c r="AC33">
        <f>VLOOKUP($H33,output!$A$9:$AJ$2200,AC$1-$J$1+2)</f>
        <v>0.61599999999999999</v>
      </c>
      <c r="AD33">
        <f>VLOOKUP($H33,output!$A$9:$AJ$2200,AD$1-$J$1+2)</f>
        <v>0.52100000000000002</v>
      </c>
      <c r="AE33">
        <f>VLOOKUP($H33,output!$A$9:$AJ$2200,AE$1-$J$1+2)</f>
        <v>0.44700000000000001</v>
      </c>
      <c r="AF33">
        <f>VLOOKUP($H33,output!$A$9:$AJ$2200,AF$1-$J$1+2)</f>
        <v>0.379</v>
      </c>
      <c r="AG33">
        <f>VLOOKUP($H33,output!$A$9:$AJ$2200,AG$1-$J$1+2)</f>
        <v>0.316</v>
      </c>
      <c r="AH33">
        <f>VLOOKUP($H33,output!$A$9:$AJ$2200,AH$1-$J$1+2)</f>
        <v>0.25900000000000001</v>
      </c>
      <c r="AI33">
        <f>VLOOKUP($H33,output!$A$9:$AJ$2200,AI$1-$J$1+2)</f>
        <v>0.20699999999999999</v>
      </c>
      <c r="AJ33">
        <f>VLOOKUP($H33,output!$A$9:$AJ$2200,AJ$1-$J$1+2)</f>
        <v>0.159</v>
      </c>
      <c r="AK33">
        <f>VLOOKUP($H33,output!$A$9:$AJ$2200,AK$1-$J$1+2)</f>
        <v>0.111</v>
      </c>
    </row>
    <row r="34" spans="8:37" x14ac:dyDescent="0.25">
      <c r="H34" t="s">
        <v>14</v>
      </c>
      <c r="I34" t="s">
        <v>115</v>
      </c>
      <c r="J34">
        <f>VLOOKUP($H34,output!$A$9:$AJ$2200,J$1-$J$1+2)</f>
        <v>2.927</v>
      </c>
      <c r="K34">
        <f>VLOOKUP($H34,output!$A$9:$AJ$2200,K$1-$J$1+2)</f>
        <v>2.7549999999999999</v>
      </c>
      <c r="L34">
        <f>VLOOKUP($H34,output!$A$9:$AJ$2200,L$1-$J$1+2)</f>
        <v>2.62</v>
      </c>
      <c r="M34">
        <f>VLOOKUP($H34,output!$A$9:$AJ$2200,M$1-$J$1+2)</f>
        <v>2.3849999999999998</v>
      </c>
      <c r="N34">
        <f>VLOOKUP($H34,output!$A$9:$AJ$2200,N$1-$J$1+2)</f>
        <v>2.17</v>
      </c>
      <c r="O34">
        <f>VLOOKUP($H34,output!$A$9:$AJ$2200,O$1-$J$1+2)</f>
        <v>1.984</v>
      </c>
      <c r="P34">
        <f>VLOOKUP($H34,output!$A$9:$AJ$2200,P$1-$J$1+2)</f>
        <v>1.823</v>
      </c>
      <c r="Q34">
        <f>VLOOKUP($H34,output!$A$9:$AJ$2200,Q$1-$J$1+2)</f>
        <v>1.613</v>
      </c>
      <c r="R34">
        <f>VLOOKUP($H34,output!$A$9:$AJ$2200,R$1-$J$1+2)</f>
        <v>1.4239999999999999</v>
      </c>
      <c r="S34">
        <f>VLOOKUP($H34,output!$A$9:$AJ$2200,S$1-$J$1+2)</f>
        <v>1.248</v>
      </c>
      <c r="T34">
        <f>VLOOKUP($H34,output!$A$9:$AJ$2200,T$1-$J$1+2)</f>
        <v>1.089</v>
      </c>
      <c r="U34">
        <f>VLOOKUP($H34,output!$A$9:$AJ$2200,U$1-$J$1+2)</f>
        <v>0.94499999999999995</v>
      </c>
      <c r="V34">
        <f>VLOOKUP($H34,output!$A$9:$AJ$2200,V$1-$J$1+2)</f>
        <v>0.81599999999999995</v>
      </c>
      <c r="W34">
        <f>VLOOKUP($H34,output!$A$9:$AJ$2200,W$1-$J$1+2)</f>
        <v>0.71</v>
      </c>
      <c r="X34">
        <f>VLOOKUP($H34,output!$A$9:$AJ$2200,X$1-$J$1+2)</f>
        <v>0.61399999999999999</v>
      </c>
      <c r="Y34">
        <f>VLOOKUP($H34,output!$A$9:$AJ$2200,Y$1-$J$1+2)</f>
        <v>0.52900000000000003</v>
      </c>
      <c r="Z34">
        <f>VLOOKUP($H34,output!$A$9:$AJ$2200,Z$1-$J$1+2)</f>
        <v>0.45600000000000002</v>
      </c>
      <c r="AA34">
        <f>VLOOKUP($H34,output!$A$9:$AJ$2200,AA$1-$J$1+2)</f>
        <v>0.35799999999999998</v>
      </c>
      <c r="AB34">
        <f>VLOOKUP($H34,output!$A$9:$AJ$2200,AB$1-$J$1+2)</f>
        <v>0.30399999999999999</v>
      </c>
      <c r="AC34">
        <f>VLOOKUP($H34,output!$A$9:$AJ$2200,AC$1-$J$1+2)</f>
        <v>0.255</v>
      </c>
      <c r="AD34">
        <f>VLOOKUP($H34,output!$A$9:$AJ$2200,AD$1-$J$1+2)</f>
        <v>0.21099999999999999</v>
      </c>
      <c r="AE34">
        <f>VLOOKUP($H34,output!$A$9:$AJ$2200,AE$1-$J$1+2)</f>
        <v>0.183</v>
      </c>
      <c r="AF34">
        <f>VLOOKUP($H34,output!$A$9:$AJ$2200,AF$1-$J$1+2)</f>
        <v>0.155</v>
      </c>
      <c r="AG34">
        <f>VLOOKUP($H34,output!$A$9:$AJ$2200,AG$1-$J$1+2)</f>
        <v>0.13</v>
      </c>
      <c r="AH34">
        <f>VLOOKUP($H34,output!$A$9:$AJ$2200,AH$1-$J$1+2)</f>
        <v>0.107</v>
      </c>
      <c r="AI34">
        <f>VLOOKUP($H34,output!$A$9:$AJ$2200,AI$1-$J$1+2)</f>
        <v>8.5999999999999993E-2</v>
      </c>
      <c r="AJ34">
        <f>VLOOKUP($H34,output!$A$9:$AJ$2200,AJ$1-$J$1+2)</f>
        <v>6.7000000000000004E-2</v>
      </c>
      <c r="AK34">
        <f>VLOOKUP($H34,output!$A$9:$AJ$2200,AK$1-$J$1+2)</f>
        <v>4.7E-2</v>
      </c>
    </row>
    <row r="35" spans="8:37" x14ac:dyDescent="0.25">
      <c r="H35" t="s">
        <v>15</v>
      </c>
      <c r="I35" t="s">
        <v>116</v>
      </c>
      <c r="J35">
        <f>VLOOKUP($H35,output!$A$9:$AJ$2200,J$1-$J$1+2)</f>
        <v>1.3979999999999999</v>
      </c>
      <c r="K35">
        <f>VLOOKUP($H35,output!$A$9:$AJ$2200,K$1-$J$1+2)</f>
        <v>1.1619999999999999</v>
      </c>
      <c r="L35">
        <f>VLOOKUP($H35,output!$A$9:$AJ$2200,L$1-$J$1+2)</f>
        <v>1.006</v>
      </c>
      <c r="M35">
        <f>VLOOKUP($H35,output!$A$9:$AJ$2200,M$1-$J$1+2)</f>
        <v>0.872</v>
      </c>
      <c r="N35">
        <f>VLOOKUP($H35,output!$A$9:$AJ$2200,N$1-$J$1+2)</f>
        <v>0.72899999999999998</v>
      </c>
      <c r="O35">
        <f>VLOOKUP($H35,output!$A$9:$AJ$2200,O$1-$J$1+2)</f>
        <v>0.60499999999999998</v>
      </c>
      <c r="P35">
        <f>VLOOKUP($H35,output!$A$9:$AJ$2200,P$1-$J$1+2)</f>
        <v>0.497</v>
      </c>
      <c r="Q35">
        <f>VLOOKUP($H35,output!$A$9:$AJ$2200,Q$1-$J$1+2)</f>
        <v>0.40300000000000002</v>
      </c>
      <c r="R35">
        <f>VLOOKUP($H35,output!$A$9:$AJ$2200,R$1-$J$1+2)</f>
        <v>0.32200000000000001</v>
      </c>
      <c r="S35">
        <f>VLOOKUP($H35,output!$A$9:$AJ$2200,S$1-$J$1+2)</f>
        <v>0.247</v>
      </c>
      <c r="T35">
        <f>VLOOKUP($H35,output!$A$9:$AJ$2200,T$1-$J$1+2)</f>
        <v>0.184</v>
      </c>
      <c r="U35">
        <f>VLOOKUP($H35,output!$A$9:$AJ$2200,U$1-$J$1+2)</f>
        <v>0.13200000000000001</v>
      </c>
      <c r="V35">
        <f>VLOOKUP($H35,output!$A$9:$AJ$2200,V$1-$J$1+2)</f>
        <v>8.8999999999999996E-2</v>
      </c>
      <c r="W35">
        <f>VLOOKUP($H35,output!$A$9:$AJ$2200,W$1-$J$1+2)</f>
        <v>7.3999999999999996E-2</v>
      </c>
      <c r="X35">
        <f>VLOOKUP($H35,output!$A$9:$AJ$2200,X$1-$J$1+2)</f>
        <v>6.2E-2</v>
      </c>
      <c r="Y35">
        <f>VLOOKUP($H35,output!$A$9:$AJ$2200,Y$1-$J$1+2)</f>
        <v>5.0999999999999997E-2</v>
      </c>
      <c r="Z35">
        <f>VLOOKUP($H35,output!$A$9:$AJ$2200,Z$1-$J$1+2)</f>
        <v>4.2999999999999997E-2</v>
      </c>
      <c r="AA35">
        <f>VLOOKUP($H35,output!$A$9:$AJ$2200,AA$1-$J$1+2)</f>
        <v>3.4000000000000002E-2</v>
      </c>
      <c r="AB35">
        <f>VLOOKUP($H35,output!$A$9:$AJ$2200,AB$1-$J$1+2)</f>
        <v>2.8000000000000001E-2</v>
      </c>
      <c r="AC35">
        <f>VLOOKUP($H35,output!$A$9:$AJ$2200,AC$1-$J$1+2)</f>
        <v>2.1999999999999999E-2</v>
      </c>
      <c r="AD35">
        <f>VLOOKUP($H35,output!$A$9:$AJ$2200,AD$1-$J$1+2)</f>
        <v>1.7999999999999999E-2</v>
      </c>
      <c r="AE35">
        <f>VLOOKUP($H35,output!$A$9:$AJ$2200,AE$1-$J$1+2)</f>
        <v>1.4999999999999999E-2</v>
      </c>
      <c r="AF35">
        <f>VLOOKUP($H35,output!$A$9:$AJ$2200,AF$1-$J$1+2)</f>
        <v>1.2E-2</v>
      </c>
      <c r="AG35">
        <f>VLOOKUP($H35,output!$A$9:$AJ$2200,AG$1-$J$1+2)</f>
        <v>0.01</v>
      </c>
      <c r="AH35">
        <f>VLOOKUP($H35,output!$A$9:$AJ$2200,AH$1-$J$1+2)</f>
        <v>8.0000000000000002E-3</v>
      </c>
      <c r="AI35">
        <f>VLOOKUP($H35,output!$A$9:$AJ$2200,AI$1-$J$1+2)</f>
        <v>6.0000000000000001E-3</v>
      </c>
      <c r="AJ35">
        <f>VLOOKUP($H35,output!$A$9:$AJ$2200,AJ$1-$J$1+2)</f>
        <v>5.0000000000000001E-3</v>
      </c>
      <c r="AK35">
        <f>VLOOKUP($H35,output!$A$9:$AJ$2200,AK$1-$J$1+2)</f>
        <v>3.0000000000000001E-3</v>
      </c>
    </row>
    <row r="37" spans="8:37" x14ac:dyDescent="0.25">
      <c r="I37" t="s">
        <v>136</v>
      </c>
      <c r="J37">
        <f>J34+J35</f>
        <v>4.3250000000000002</v>
      </c>
      <c r="K37">
        <f t="shared" ref="K37:AK37" si="12">K34+K35</f>
        <v>3.9169999999999998</v>
      </c>
      <c r="L37">
        <f t="shared" si="12"/>
        <v>3.6260000000000003</v>
      </c>
      <c r="M37">
        <f t="shared" si="12"/>
        <v>3.2569999999999997</v>
      </c>
      <c r="N37">
        <f t="shared" si="12"/>
        <v>2.899</v>
      </c>
      <c r="O37">
        <f t="shared" si="12"/>
        <v>2.589</v>
      </c>
      <c r="P37">
        <f t="shared" si="12"/>
        <v>2.3199999999999998</v>
      </c>
      <c r="Q37">
        <f t="shared" si="12"/>
        <v>2.016</v>
      </c>
      <c r="R37">
        <f t="shared" si="12"/>
        <v>1.746</v>
      </c>
      <c r="S37">
        <f t="shared" si="12"/>
        <v>1.4950000000000001</v>
      </c>
      <c r="T37">
        <f t="shared" si="12"/>
        <v>1.2729999999999999</v>
      </c>
      <c r="U37">
        <f t="shared" si="12"/>
        <v>1.077</v>
      </c>
      <c r="V37">
        <f t="shared" si="12"/>
        <v>0.90499999999999992</v>
      </c>
      <c r="W37">
        <f t="shared" si="12"/>
        <v>0.78399999999999992</v>
      </c>
      <c r="X37">
        <f t="shared" si="12"/>
        <v>0.67599999999999993</v>
      </c>
      <c r="Y37">
        <f t="shared" si="12"/>
        <v>0.58000000000000007</v>
      </c>
      <c r="Z37">
        <f t="shared" si="12"/>
        <v>0.499</v>
      </c>
      <c r="AA37">
        <f t="shared" si="12"/>
        <v>0.39200000000000002</v>
      </c>
      <c r="AB37">
        <f t="shared" si="12"/>
        <v>0.33200000000000002</v>
      </c>
      <c r="AC37">
        <f t="shared" si="12"/>
        <v>0.27700000000000002</v>
      </c>
      <c r="AD37">
        <f t="shared" si="12"/>
        <v>0.22899999999999998</v>
      </c>
      <c r="AE37">
        <f t="shared" si="12"/>
        <v>0.19800000000000001</v>
      </c>
      <c r="AF37">
        <f t="shared" si="12"/>
        <v>0.16700000000000001</v>
      </c>
      <c r="AG37">
        <f t="shared" si="12"/>
        <v>0.14000000000000001</v>
      </c>
      <c r="AH37">
        <f t="shared" si="12"/>
        <v>0.11499999999999999</v>
      </c>
      <c r="AI37">
        <f t="shared" si="12"/>
        <v>9.1999999999999998E-2</v>
      </c>
      <c r="AJ37">
        <f t="shared" si="12"/>
        <v>7.2000000000000008E-2</v>
      </c>
      <c r="AK37">
        <f t="shared" si="12"/>
        <v>0.05</v>
      </c>
    </row>
    <row r="41" spans="8:37" x14ac:dyDescent="0.25">
      <c r="H41" s="2" t="s">
        <v>265</v>
      </c>
    </row>
    <row r="42" spans="8:37" x14ac:dyDescent="0.25">
      <c r="H42" t="s">
        <v>215</v>
      </c>
      <c r="I42" t="s">
        <v>266</v>
      </c>
      <c r="J42">
        <f>VLOOKUP($H42,output!$A$9:$AJ$2200,J$1-$J$1+2)</f>
        <v>0</v>
      </c>
      <c r="K42">
        <f>VLOOKUP($H42,output!$A$9:$AJ$2200,K$1-$J$1+2)</f>
        <v>0.25</v>
      </c>
      <c r="L42">
        <f>VLOOKUP($H42,output!$A$9:$AJ$2200,L$1-$J$1+2)</f>
        <v>0.54800000000000004</v>
      </c>
      <c r="M42">
        <f>VLOOKUP($H42,output!$A$9:$AJ$2200,M$1-$J$1+2)</f>
        <v>0.84699999999999998</v>
      </c>
      <c r="N42">
        <f>VLOOKUP($H42,output!$A$9:$AJ$2200,N$1-$J$1+2)</f>
        <v>1.145</v>
      </c>
      <c r="O42">
        <f>VLOOKUP($H42,output!$A$9:$AJ$2200,O$1-$J$1+2)</f>
        <v>1.444</v>
      </c>
      <c r="P42">
        <f>VLOOKUP($H42,output!$A$9:$AJ$2200,P$1-$J$1+2)</f>
        <v>1.742</v>
      </c>
      <c r="Q42">
        <f>VLOOKUP($H42,output!$A$9:$AJ$2200,Q$1-$J$1+2)</f>
        <v>1.952</v>
      </c>
      <c r="R42">
        <f>VLOOKUP($H42,output!$A$9:$AJ$2200,R$1-$J$1+2)</f>
        <v>2.1619999999999999</v>
      </c>
      <c r="S42">
        <f>VLOOKUP($H42,output!$A$9:$AJ$2200,S$1-$J$1+2)</f>
        <v>2.3719999999999999</v>
      </c>
      <c r="T42">
        <f>VLOOKUP($H42,output!$A$9:$AJ$2200,T$1-$J$1+2)</f>
        <v>2.5819999999999999</v>
      </c>
      <c r="U42">
        <f>VLOOKUP($H42,output!$A$9:$AJ$2200,U$1-$J$1+2)</f>
        <v>2.7919999999999998</v>
      </c>
      <c r="V42">
        <f>VLOOKUP($H42,output!$A$9:$AJ$2200,V$1-$J$1+2)</f>
        <v>3.0019999999999998</v>
      </c>
      <c r="W42">
        <f>VLOOKUP($H42,output!$A$9:$AJ$2200,W$1-$J$1+2)</f>
        <v>3.2120000000000002</v>
      </c>
      <c r="X42">
        <f>VLOOKUP($H42,output!$A$9:$AJ$2200,X$1-$J$1+2)</f>
        <v>3.4220000000000002</v>
      </c>
      <c r="Y42">
        <f>VLOOKUP($H42,output!$A$9:$AJ$2200,Y$1-$J$1+2)</f>
        <v>3.6320000000000001</v>
      </c>
      <c r="Z42">
        <f>VLOOKUP($H42,output!$A$9:$AJ$2200,Z$1-$J$1+2)</f>
        <v>3.8420000000000001</v>
      </c>
      <c r="AA42">
        <f>VLOOKUP($H42,output!$A$9:$AJ$2200,AA$1-$J$1+2)</f>
        <v>3.9420000000000002</v>
      </c>
      <c r="AB42">
        <f>VLOOKUP($H42,output!$A$9:$AJ$2200,AB$1-$J$1+2)</f>
        <v>4.0419999999999998</v>
      </c>
      <c r="AC42">
        <f>VLOOKUP($H42,output!$A$9:$AJ$2200,AC$1-$J$1+2)</f>
        <v>4.1420000000000003</v>
      </c>
      <c r="AD42">
        <f>VLOOKUP($H42,output!$A$9:$AJ$2200,AD$1-$J$1+2)</f>
        <v>4.242</v>
      </c>
      <c r="AE42">
        <f>VLOOKUP($H42,output!$A$9:$AJ$2200,AE$1-$J$1+2)</f>
        <v>4.3419999999999996</v>
      </c>
      <c r="AF42">
        <f>VLOOKUP($H42,output!$A$9:$AJ$2200,AF$1-$J$1+2)</f>
        <v>4.4420000000000002</v>
      </c>
      <c r="AG42">
        <f>VLOOKUP($H42,output!$A$9:$AJ$2200,AG$1-$J$1+2)</f>
        <v>4.5419999999999998</v>
      </c>
      <c r="AH42">
        <f>VLOOKUP($H42,output!$A$9:$AJ$2200,AH$1-$J$1+2)</f>
        <v>4.6420000000000003</v>
      </c>
      <c r="AI42">
        <f>VLOOKUP($H42,output!$A$9:$AJ$2200,AI$1-$J$1+2)</f>
        <v>4.742</v>
      </c>
      <c r="AJ42">
        <f>VLOOKUP($H42,output!$A$9:$AJ$2200,AJ$1-$J$1+2)</f>
        <v>4.8419999999999996</v>
      </c>
      <c r="AK42">
        <f>VLOOKUP($H42,output!$A$9:$AJ$2200,AK$1-$J$1+2)</f>
        <v>4.9420000000000002</v>
      </c>
    </row>
    <row r="43" spans="8:37" x14ac:dyDescent="0.25">
      <c r="H43" t="s">
        <v>214</v>
      </c>
      <c r="I43" t="s">
        <v>267</v>
      </c>
      <c r="J43">
        <f>VLOOKUP($H43,output!$A$9:$AJ$2200,J$1-$J$1+2)</f>
        <v>30.225000000000001</v>
      </c>
      <c r="K43">
        <f>VLOOKUP($H43,output!$A$9:$AJ$2200,K$1-$J$1+2)</f>
        <v>30.195</v>
      </c>
      <c r="L43">
        <f>VLOOKUP($H43,output!$A$9:$AJ$2200,L$1-$J$1+2)</f>
        <v>30.164999999999999</v>
      </c>
      <c r="M43">
        <f>VLOOKUP($H43,output!$A$9:$AJ$2200,M$1-$J$1+2)</f>
        <v>30.134</v>
      </c>
      <c r="N43">
        <f>VLOOKUP($H43,output!$A$9:$AJ$2200,N$1-$J$1+2)</f>
        <v>30.103000000000002</v>
      </c>
      <c r="O43">
        <f>VLOOKUP($H43,output!$A$9:$AJ$2200,O$1-$J$1+2)</f>
        <v>30.071999999999999</v>
      </c>
      <c r="P43">
        <f>VLOOKUP($H43,output!$A$9:$AJ$2200,P$1-$J$1+2)</f>
        <v>30.04</v>
      </c>
      <c r="Q43">
        <f>VLOOKUP($H43,output!$A$9:$AJ$2200,Q$1-$J$1+2)</f>
        <v>30.007999999999999</v>
      </c>
      <c r="R43">
        <f>VLOOKUP($H43,output!$A$9:$AJ$2200,R$1-$J$1+2)</f>
        <v>29.975999999999999</v>
      </c>
      <c r="S43">
        <f>VLOOKUP($H43,output!$A$9:$AJ$2200,S$1-$J$1+2)</f>
        <v>29.943999999999999</v>
      </c>
      <c r="T43">
        <f>VLOOKUP($H43,output!$A$9:$AJ$2200,T$1-$J$1+2)</f>
        <v>29.911999999999999</v>
      </c>
      <c r="U43">
        <f>VLOOKUP($H43,output!$A$9:$AJ$2200,U$1-$J$1+2)</f>
        <v>29.879000000000001</v>
      </c>
      <c r="V43">
        <f>VLOOKUP($H43,output!$A$9:$AJ$2200,V$1-$J$1+2)</f>
        <v>29.847000000000001</v>
      </c>
      <c r="W43">
        <f>VLOOKUP($H43,output!$A$9:$AJ$2200,W$1-$J$1+2)</f>
        <v>29.814</v>
      </c>
      <c r="X43">
        <f>VLOOKUP($H43,output!$A$9:$AJ$2200,X$1-$J$1+2)</f>
        <v>29.780999999999999</v>
      </c>
      <c r="Y43">
        <f>VLOOKUP($H43,output!$A$9:$AJ$2200,Y$1-$J$1+2)</f>
        <v>29.748000000000001</v>
      </c>
      <c r="Z43">
        <f>VLOOKUP($H43,output!$A$9:$AJ$2200,Z$1-$J$1+2)</f>
        <v>29.713999999999999</v>
      </c>
      <c r="AA43">
        <f>VLOOKUP($H43,output!$A$9:$AJ$2200,AA$1-$J$1+2)</f>
        <v>29.664000000000001</v>
      </c>
      <c r="AB43">
        <f>VLOOKUP($H43,output!$A$9:$AJ$2200,AB$1-$J$1+2)</f>
        <v>29.614000000000001</v>
      </c>
      <c r="AC43">
        <f>VLOOKUP($H43,output!$A$9:$AJ$2200,AC$1-$J$1+2)</f>
        <v>29.562999999999999</v>
      </c>
      <c r="AD43">
        <f>VLOOKUP($H43,output!$A$9:$AJ$2200,AD$1-$J$1+2)</f>
        <v>29.513000000000002</v>
      </c>
      <c r="AE43">
        <f>VLOOKUP($H43,output!$A$9:$AJ$2200,AE$1-$J$1+2)</f>
        <v>29.462</v>
      </c>
      <c r="AF43">
        <f>VLOOKUP($H43,output!$A$9:$AJ$2200,AF$1-$J$1+2)</f>
        <v>29.411000000000001</v>
      </c>
      <c r="AG43">
        <f>VLOOKUP($H43,output!$A$9:$AJ$2200,AG$1-$J$1+2)</f>
        <v>29.36</v>
      </c>
      <c r="AH43">
        <f>VLOOKUP($H43,output!$A$9:$AJ$2200,AH$1-$J$1+2)</f>
        <v>29.31</v>
      </c>
      <c r="AI43">
        <f>VLOOKUP($H43,output!$A$9:$AJ$2200,AI$1-$J$1+2)</f>
        <v>29.259</v>
      </c>
      <c r="AJ43">
        <f>VLOOKUP($H43,output!$A$9:$AJ$2200,AJ$1-$J$1+2)</f>
        <v>29.207999999999998</v>
      </c>
      <c r="AK43">
        <f>VLOOKUP($H43,output!$A$9:$AJ$2200,AK$1-$J$1+2)</f>
        <v>29.15</v>
      </c>
    </row>
    <row r="45" spans="8:37" x14ac:dyDescent="0.25">
      <c r="H45" t="s">
        <v>213</v>
      </c>
      <c r="J45">
        <f>VLOOKUP($H45,output!$A$9:$AJ$2200,J$1-$J$1+2)</f>
        <v>30.225000000000001</v>
      </c>
      <c r="K45">
        <f>VLOOKUP($H45,output!$A$9:$AJ$2200,K$1-$J$1+2)</f>
        <v>30.445</v>
      </c>
      <c r="L45">
        <f>VLOOKUP($H45,output!$A$9:$AJ$2200,L$1-$J$1+2)</f>
        <v>30.713000000000001</v>
      </c>
      <c r="M45">
        <f>VLOOKUP($H45,output!$A$9:$AJ$2200,M$1-$J$1+2)</f>
        <v>30.981000000000002</v>
      </c>
      <c r="N45">
        <f>VLOOKUP($H45,output!$A$9:$AJ$2200,N$1-$J$1+2)</f>
        <v>31.248000000000001</v>
      </c>
      <c r="O45">
        <f>VLOOKUP($H45,output!$A$9:$AJ$2200,O$1-$J$1+2)</f>
        <v>31.515000000000001</v>
      </c>
      <c r="P45">
        <f>VLOOKUP($H45,output!$A$9:$AJ$2200,P$1-$J$1+2)</f>
        <v>31.782</v>
      </c>
      <c r="Q45">
        <f>VLOOKUP($H45,output!$A$9:$AJ$2200,Q$1-$J$1+2)</f>
        <v>31.960999999999999</v>
      </c>
      <c r="R45">
        <f>VLOOKUP($H45,output!$A$9:$AJ$2200,R$1-$J$1+2)</f>
        <v>32.139000000000003</v>
      </c>
      <c r="S45">
        <f>VLOOKUP($H45,output!$A$9:$AJ$2200,S$1-$J$1+2)</f>
        <v>32.316000000000003</v>
      </c>
      <c r="T45">
        <f>VLOOKUP($H45,output!$A$9:$AJ$2200,T$1-$J$1+2)</f>
        <v>32.494</v>
      </c>
      <c r="U45">
        <f>VLOOKUP($H45,output!$A$9:$AJ$2200,U$1-$J$1+2)</f>
        <v>32.671999999999997</v>
      </c>
      <c r="V45">
        <f>VLOOKUP($H45,output!$A$9:$AJ$2200,V$1-$J$1+2)</f>
        <v>32.848999999999997</v>
      </c>
      <c r="W45">
        <f>VLOOKUP($H45,output!$A$9:$AJ$2200,W$1-$J$1+2)</f>
        <v>33.026000000000003</v>
      </c>
      <c r="X45">
        <f>VLOOKUP($H45,output!$A$9:$AJ$2200,X$1-$J$1+2)</f>
        <v>33.203000000000003</v>
      </c>
      <c r="Y45">
        <f>VLOOKUP($H45,output!$A$9:$AJ$2200,Y$1-$J$1+2)</f>
        <v>33.380000000000003</v>
      </c>
      <c r="Z45">
        <f>VLOOKUP($H45,output!$A$9:$AJ$2200,Z$1-$J$1+2)</f>
        <v>33.557000000000002</v>
      </c>
      <c r="AA45">
        <f>VLOOKUP($H45,output!$A$9:$AJ$2200,AA$1-$J$1+2)</f>
        <v>33.606000000000002</v>
      </c>
      <c r="AB45">
        <f>VLOOKUP($H45,output!$A$9:$AJ$2200,AB$1-$J$1+2)</f>
        <v>33.655999999999999</v>
      </c>
      <c r="AC45">
        <f>VLOOKUP($H45,output!$A$9:$AJ$2200,AC$1-$J$1+2)</f>
        <v>33.704999999999998</v>
      </c>
      <c r="AD45">
        <f>VLOOKUP($H45,output!$A$9:$AJ$2200,AD$1-$J$1+2)</f>
        <v>33.755000000000003</v>
      </c>
      <c r="AE45">
        <f>VLOOKUP($H45,output!$A$9:$AJ$2200,AE$1-$J$1+2)</f>
        <v>33.804000000000002</v>
      </c>
      <c r="AF45">
        <f>VLOOKUP($H45,output!$A$9:$AJ$2200,AF$1-$J$1+2)</f>
        <v>33.853000000000002</v>
      </c>
      <c r="AG45">
        <f>VLOOKUP($H45,output!$A$9:$AJ$2200,AG$1-$J$1+2)</f>
        <v>33.902999999999999</v>
      </c>
      <c r="AH45">
        <f>VLOOKUP($H45,output!$A$9:$AJ$2200,AH$1-$J$1+2)</f>
        <v>33.951999999999998</v>
      </c>
      <c r="AI45">
        <f>VLOOKUP($H45,output!$A$9:$AJ$2200,AI$1-$J$1+2)</f>
        <v>34.000999999999998</v>
      </c>
      <c r="AJ45">
        <f>VLOOKUP($H45,output!$A$9:$AJ$2200,AJ$1-$J$1+2)</f>
        <v>34.049999999999997</v>
      </c>
      <c r="AK45">
        <f>VLOOKUP($H45,output!$A$9:$AJ$2200,AK$1-$J$1+2)</f>
        <v>34.091999999999999</v>
      </c>
    </row>
  </sheetData>
  <mergeCells count="4">
    <mergeCell ref="H10:O10"/>
    <mergeCell ref="I11:K11"/>
    <mergeCell ref="I13:K13"/>
    <mergeCell ref="P13:AK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A070-98E8-41FA-AAF1-9C0A301ABE39}">
  <dimension ref="B1:AN98"/>
  <sheetViews>
    <sheetView topLeftCell="G1" zoomScale="85" zoomScaleNormal="85" workbookViewId="0">
      <pane ySplit="1" topLeftCell="A3" activePane="bottomLeft" state="frozen"/>
      <selection pane="bottomLeft" activeCell="S37" sqref="S37"/>
    </sheetView>
  </sheetViews>
  <sheetFormatPr baseColWidth="10" defaultRowHeight="15" x14ac:dyDescent="0.25"/>
  <cols>
    <col min="9" max="9" width="59.28515625" customWidth="1"/>
    <col min="10" max="10" width="37" bestFit="1" customWidth="1"/>
    <col min="11" max="11" width="26.28515625" customWidth="1"/>
  </cols>
  <sheetData>
    <row r="1" spans="10:40" x14ac:dyDescent="0.25"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2">
        <v>2034</v>
      </c>
      <c r="X1" s="2">
        <v>2035</v>
      </c>
      <c r="Y1" s="2">
        <v>2036</v>
      </c>
      <c r="Z1" s="2">
        <v>2037</v>
      </c>
      <c r="AA1" s="2">
        <v>2038</v>
      </c>
      <c r="AB1" s="2">
        <v>2039</v>
      </c>
      <c r="AC1" s="2">
        <v>2040</v>
      </c>
      <c r="AD1" s="2">
        <v>2041</v>
      </c>
      <c r="AE1" s="2">
        <v>2042</v>
      </c>
      <c r="AF1" s="2">
        <v>2043</v>
      </c>
      <c r="AG1" s="2">
        <v>2044</v>
      </c>
      <c r="AH1" s="2">
        <v>2045</v>
      </c>
      <c r="AI1" s="2">
        <v>2046</v>
      </c>
      <c r="AJ1" s="2">
        <v>2047</v>
      </c>
      <c r="AK1" s="2">
        <v>2048</v>
      </c>
      <c r="AL1" s="2">
        <v>2049</v>
      </c>
      <c r="AM1" s="2">
        <v>2050</v>
      </c>
    </row>
    <row r="2" spans="10:40" x14ac:dyDescent="0.25">
      <c r="J2" s="2" t="s">
        <v>178</v>
      </c>
    </row>
    <row r="3" spans="10:40" x14ac:dyDescent="0.25">
      <c r="J3" t="s">
        <v>0</v>
      </c>
      <c r="K3" t="s">
        <v>117</v>
      </c>
      <c r="L3" s="11">
        <f>VLOOKUP($J3,output!$A$9:$AI$2200,L$1-$L$1+2)</f>
        <v>11.458</v>
      </c>
      <c r="M3" s="11">
        <f>VLOOKUP($J3,output!$A$9:$AI$2200,M$1-$L$1+2)</f>
        <v>12.433</v>
      </c>
      <c r="N3" s="11">
        <f>VLOOKUP($J3,output!$A$9:$AI$2200,N$1-$L$1+2)</f>
        <v>12.516999999999999</v>
      </c>
      <c r="O3" s="11">
        <f>VLOOKUP($J3,output!$A$9:$AI$2200,O$1-$L$1+2)</f>
        <v>14.035</v>
      </c>
      <c r="P3" s="11">
        <f>VLOOKUP($J3,output!$A$9:$AI$2200,P$1-$L$1+2)</f>
        <v>15.012</v>
      </c>
      <c r="Q3" s="11">
        <f>VLOOKUP($J3,output!$A$9:$AI$2200,Q$1-$L$1+2)</f>
        <v>17.038</v>
      </c>
      <c r="R3" s="11">
        <f>VLOOKUP($J3,output!$A$9:$AI$2200,R$1-$L$1+2)</f>
        <v>20.233000000000001</v>
      </c>
      <c r="S3" s="11">
        <f>VLOOKUP($J3,output!$A$9:$AI$2200,S$1-$L$1+2)</f>
        <v>24.457999999999998</v>
      </c>
      <c r="T3" s="11">
        <f>VLOOKUP($J3,output!$A$9:$AI$2200,T$1-$L$1+2)</f>
        <v>26.763999999999999</v>
      </c>
      <c r="U3" s="11">
        <f>VLOOKUP($J3,output!$A$9:$AI$2200,U$1-$L$1+2)</f>
        <v>30.184999999999999</v>
      </c>
      <c r="V3" s="11">
        <f>VLOOKUP($J3,output!$A$9:$AI$2200,V$1-$L$1+2)</f>
        <v>33.073999999999998</v>
      </c>
      <c r="W3" s="11">
        <f>VLOOKUP($J3,output!$A$9:$AI$2200,W$1-$L$1+2)</f>
        <v>35.36</v>
      </c>
      <c r="X3" s="11">
        <f>VLOOKUP($J3,output!$A$9:$AI$2200,X$1-$L$1+2)</f>
        <v>37.128</v>
      </c>
      <c r="Y3" s="11">
        <f>VLOOKUP($J3,output!$A$9:$AI$2200,Y$1-$L$1+2)</f>
        <v>38.414000000000001</v>
      </c>
      <c r="Z3" s="11">
        <f>VLOOKUP($J3,output!$A$9:$AI$2200,Z$1-$L$1+2)</f>
        <v>38.957999999999998</v>
      </c>
      <c r="AA3" s="11">
        <f>VLOOKUP($J3,output!$A$9:$AI$2200,AA$1-$L$1+2)</f>
        <v>39.179000000000002</v>
      </c>
      <c r="AB3" s="11">
        <f>VLOOKUP($J3,output!$A$9:$AI$2200,AB$1-$L$1+2)</f>
        <v>39.085000000000001</v>
      </c>
      <c r="AC3" s="11">
        <f>VLOOKUP($J3,output!$A$9:$AI$2200,AC$1-$L$1+2)</f>
        <v>38.534999999999997</v>
      </c>
      <c r="AD3" s="11">
        <f>VLOOKUP($J3,output!$A$9:$AI$2200,AD$1-$L$1+2)</f>
        <v>38.152000000000001</v>
      </c>
      <c r="AE3" s="11">
        <f>VLOOKUP($J3,output!$A$9:$AI$2200,AE$1-$L$1+2)</f>
        <v>37.768000000000001</v>
      </c>
      <c r="AF3" s="11">
        <f>VLOOKUP($J3,output!$A$9:$AI$2200,AF$1-$L$1+2)</f>
        <v>37.421999999999997</v>
      </c>
      <c r="AG3" s="11">
        <f>VLOOKUP($J3,output!$A$9:$AI$2200,AG$1-$L$1+2)</f>
        <v>37.067999999999998</v>
      </c>
      <c r="AH3" s="11">
        <f>VLOOKUP($J3,output!$A$9:$AI$2200,AH$1-$L$1+2)</f>
        <v>36.723999999999997</v>
      </c>
      <c r="AI3" s="11">
        <f>VLOOKUP($J3,output!$A$9:$AI$2200,AI$1-$L$1+2)</f>
        <v>36.39</v>
      </c>
      <c r="AJ3" s="11">
        <f>VLOOKUP($J3,output!$A$9:$AI$2200,AJ$1-$L$1+2)</f>
        <v>36.061999999999998</v>
      </c>
      <c r="AK3" s="11">
        <f>VLOOKUP($J3,output!$A$9:$AI$2200,AK$1-$L$1+2)</f>
        <v>35.741999999999997</v>
      </c>
      <c r="AL3" s="11">
        <f>VLOOKUP($J3,output!$A$9:$AI$2200,AL$1-$L$1+2)</f>
        <v>35.43</v>
      </c>
      <c r="AM3" s="11">
        <f>VLOOKUP($J3,output!$A$9:$AI$2200,AM$1-$L$1+2)</f>
        <v>35.088999999999999</v>
      </c>
      <c r="AN3" t="s">
        <v>117</v>
      </c>
    </row>
    <row r="4" spans="10:40" x14ac:dyDescent="0.25">
      <c r="J4" t="s">
        <v>1</v>
      </c>
      <c r="K4" t="s">
        <v>179</v>
      </c>
      <c r="L4" s="11">
        <f>VLOOKUP($J4,output!$A$9:$AI$2200,L$1-$L$1+2)</f>
        <v>91</v>
      </c>
      <c r="M4" s="11">
        <f>VLOOKUP($J4,output!$A$9:$AI$2200,M$1-$L$1+2)</f>
        <v>89.096999999999994</v>
      </c>
      <c r="N4" s="11">
        <f>VLOOKUP($J4,output!$A$9:$AI$2200,N$1-$L$1+2)</f>
        <v>88.978999999999999</v>
      </c>
      <c r="O4" s="11">
        <f>VLOOKUP($J4,output!$A$9:$AI$2200,O$1-$L$1+2)</f>
        <v>86.763999999999996</v>
      </c>
      <c r="P4" s="11">
        <f>VLOOKUP($J4,output!$A$9:$AI$2200,P$1-$L$1+2)</f>
        <v>82.988</v>
      </c>
      <c r="Q4" s="11">
        <f>VLOOKUP($J4,output!$A$9:$AI$2200,Q$1-$L$1+2)</f>
        <v>79.971999999999994</v>
      </c>
      <c r="R4" s="11">
        <f>VLOOKUP($J4,output!$A$9:$AI$2200,R$1-$L$1+2)</f>
        <v>76.412000000000006</v>
      </c>
      <c r="S4" s="11">
        <f>VLOOKUP($J4,output!$A$9:$AI$2200,S$1-$L$1+2)</f>
        <v>72.209000000000003</v>
      </c>
      <c r="T4" s="11">
        <f>VLOOKUP($J4,output!$A$9:$AI$2200,T$1-$L$1+2)</f>
        <v>68.207999999999998</v>
      </c>
      <c r="U4" s="11">
        <f>VLOOKUP($J4,output!$A$9:$AI$2200,U$1-$L$1+2)</f>
        <v>63.76</v>
      </c>
      <c r="V4" s="11">
        <f>VLOOKUP($J4,output!$A$9:$AI$2200,V$1-$L$1+2)</f>
        <v>59.594999999999999</v>
      </c>
      <c r="W4" s="11">
        <f>VLOOKUP($J4,output!$A$9:$AI$2200,W$1-$L$1+2)</f>
        <v>55.725999999999999</v>
      </c>
      <c r="X4" s="11">
        <f>VLOOKUP($J4,output!$A$9:$AI$2200,X$1-$L$1+2)</f>
        <v>52.078000000000003</v>
      </c>
      <c r="Y4" s="11">
        <f>VLOOKUP($J4,output!$A$9:$AI$2200,Y$1-$L$1+2)</f>
        <v>48.137</v>
      </c>
      <c r="Z4" s="11">
        <f>VLOOKUP($J4,output!$A$9:$AI$2200,Z$1-$L$1+2)</f>
        <v>44.374000000000002</v>
      </c>
      <c r="AA4" s="11">
        <f>VLOOKUP($J4,output!$A$9:$AI$2200,AA$1-$L$1+2)</f>
        <v>40.872999999999998</v>
      </c>
      <c r="AB4" s="11">
        <f>VLOOKUP($J4,output!$A$9:$AI$2200,AB$1-$L$1+2)</f>
        <v>38.146999999999998</v>
      </c>
      <c r="AC4" s="11">
        <f>VLOOKUP($J4,output!$A$9:$AI$2200,AC$1-$L$1+2)</f>
        <v>30.309000000000001</v>
      </c>
      <c r="AD4" s="11">
        <f>VLOOKUP($J4,output!$A$9:$AI$2200,AD$1-$L$1+2)</f>
        <v>31.925000000000001</v>
      </c>
      <c r="AE4" s="11">
        <f>VLOOKUP($J4,output!$A$9:$AI$2200,AE$1-$L$1+2)</f>
        <v>29.616</v>
      </c>
      <c r="AF4" s="11">
        <f>VLOOKUP($J4,output!$A$9:$AI$2200,AF$1-$L$1+2)</f>
        <v>27.670999999999999</v>
      </c>
      <c r="AG4" s="11">
        <f>VLOOKUP($J4,output!$A$9:$AI$2200,AG$1-$L$1+2)</f>
        <v>26.053999999999998</v>
      </c>
      <c r="AH4" s="11">
        <f>VLOOKUP($J4,output!$A$9:$AI$2200,AH$1-$L$1+2)</f>
        <v>24.747</v>
      </c>
      <c r="AI4" s="11">
        <f>VLOOKUP($J4,output!$A$9:$AI$2200,AI$1-$L$1+2)</f>
        <v>23.207000000000001</v>
      </c>
      <c r="AJ4" s="11">
        <f>VLOOKUP($J4,output!$A$9:$AI$2200,AJ$1-$L$1+2)</f>
        <v>21.984999999999999</v>
      </c>
      <c r="AK4" s="11">
        <f>VLOOKUP($J4,output!$A$9:$AI$2200,AK$1-$L$1+2)</f>
        <v>20.742999999999999</v>
      </c>
      <c r="AL4" s="11">
        <f>VLOOKUP($J4,output!$A$9:$AI$2200,AL$1-$L$1+2)</f>
        <v>19.463999999999999</v>
      </c>
      <c r="AM4" s="11">
        <f>VLOOKUP($J4,output!$A$9:$AI$2200,AM$1-$L$1+2)</f>
        <v>18.158999999999999</v>
      </c>
      <c r="AN4" t="s">
        <v>179</v>
      </c>
    </row>
    <row r="5" spans="10:40" x14ac:dyDescent="0.25">
      <c r="J5" t="s">
        <v>2</v>
      </c>
      <c r="K5" t="s">
        <v>119</v>
      </c>
      <c r="L5" s="11">
        <f>VLOOKUP($J5,output!$A$9:$AI$2200,L$1-$L$1+2)</f>
        <v>31</v>
      </c>
      <c r="M5" s="11">
        <f>VLOOKUP($J5,output!$A$9:$AI$2200,M$1-$L$1+2)</f>
        <v>27.902999999999999</v>
      </c>
      <c r="N5" s="11">
        <f>VLOOKUP($J5,output!$A$9:$AI$2200,N$1-$L$1+2)</f>
        <v>25.251999999999999</v>
      </c>
      <c r="O5" s="11">
        <f>VLOOKUP($J5,output!$A$9:$AI$2200,O$1-$L$1+2)</f>
        <v>22.315000000000001</v>
      </c>
      <c r="P5" s="11">
        <f>VLOOKUP($J5,output!$A$9:$AI$2200,P$1-$L$1+2)</f>
        <v>18.951000000000001</v>
      </c>
      <c r="Q5" s="11">
        <f>VLOOKUP($J5,output!$A$9:$AI$2200,Q$1-$L$1+2)</f>
        <v>16.163</v>
      </c>
      <c r="R5" s="11">
        <f>VLOOKUP($J5,output!$A$9:$AI$2200,R$1-$L$1+2)</f>
        <v>13.513999999999999</v>
      </c>
      <c r="S5" s="11">
        <f>VLOOKUP($J5,output!$A$9:$AI$2200,S$1-$L$1+2)</f>
        <v>10.984</v>
      </c>
      <c r="T5" s="11">
        <f>VLOOKUP($J5,output!$A$9:$AI$2200,T$1-$L$1+2)</f>
        <v>8.5090000000000003</v>
      </c>
      <c r="U5" s="11">
        <f>VLOOKUP($J5,output!$A$9:$AI$2200,U$1-$L$1+2)</f>
        <v>6.16</v>
      </c>
      <c r="V5" s="11">
        <f>VLOOKUP($J5,output!$A$9:$AI$2200,V$1-$L$1+2)</f>
        <v>3.9670000000000001</v>
      </c>
      <c r="W5" s="11">
        <f>VLOOKUP($J5,output!$A$9:$AI$2200,W$1-$L$1+2)</f>
        <v>1.9179999999999999</v>
      </c>
      <c r="X5" s="11">
        <f>VLOOKUP($J5,output!$A$9:$AI$2200,X$1-$L$1+2)</f>
        <v>0</v>
      </c>
      <c r="Y5" s="11">
        <f>VLOOKUP($J5,output!$A$9:$AI$2200,Y$1-$L$1+2)</f>
        <v>0</v>
      </c>
      <c r="Z5" s="11">
        <f>VLOOKUP($J5,output!$A$9:$AI$2200,Z$1-$L$1+2)</f>
        <v>0</v>
      </c>
      <c r="AA5" s="11">
        <f>VLOOKUP($J5,output!$A$9:$AI$2200,AA$1-$L$1+2)</f>
        <v>0</v>
      </c>
      <c r="AB5" s="11">
        <f>VLOOKUP($J5,output!$A$9:$AI$2200,AB$1-$L$1+2)</f>
        <v>0</v>
      </c>
      <c r="AC5" s="11">
        <f>VLOOKUP($J5,output!$A$9:$AI$2200,AC$1-$L$1+2)</f>
        <v>0</v>
      </c>
      <c r="AD5" s="11">
        <f>VLOOKUP($J5,output!$A$9:$AI$2200,AD$1-$L$1+2)</f>
        <v>0</v>
      </c>
      <c r="AE5" s="11">
        <f>VLOOKUP($J5,output!$A$9:$AI$2200,AE$1-$L$1+2)</f>
        <v>0</v>
      </c>
      <c r="AF5" s="11">
        <f>VLOOKUP($J5,output!$A$9:$AI$2200,AF$1-$L$1+2)</f>
        <v>0</v>
      </c>
      <c r="AG5" s="11">
        <f>VLOOKUP($J5,output!$A$9:$AI$2200,AG$1-$L$1+2)</f>
        <v>0</v>
      </c>
      <c r="AH5" s="11">
        <f>VLOOKUP($J5,output!$A$9:$AI$2200,AH$1-$L$1+2)</f>
        <v>0</v>
      </c>
      <c r="AI5" s="11">
        <f>VLOOKUP($J5,output!$A$9:$AI$2200,AI$1-$L$1+2)</f>
        <v>0</v>
      </c>
      <c r="AJ5" s="11">
        <f>VLOOKUP($J5,output!$A$9:$AI$2200,AJ$1-$L$1+2)</f>
        <v>0</v>
      </c>
      <c r="AK5" s="11">
        <f>VLOOKUP($J5,output!$A$9:$AI$2200,AK$1-$L$1+2)</f>
        <v>0</v>
      </c>
      <c r="AL5" s="11">
        <f>VLOOKUP($J5,output!$A$9:$AI$2200,AL$1-$L$1+2)</f>
        <v>0</v>
      </c>
      <c r="AM5" s="11">
        <f>VLOOKUP($J5,output!$A$9:$AI$2200,AM$1-$L$1+2)</f>
        <v>0</v>
      </c>
      <c r="AN5" t="s">
        <v>119</v>
      </c>
    </row>
    <row r="6" spans="10:40" x14ac:dyDescent="0.25">
      <c r="J6" t="s">
        <v>3</v>
      </c>
      <c r="K6" t="s">
        <v>120</v>
      </c>
      <c r="L6" s="11">
        <f>VLOOKUP($J6,output!$A$9:$AI$2200,L$1-$L$1+2)</f>
        <v>76.102999999999994</v>
      </c>
      <c r="M6" s="11">
        <f>VLOOKUP($J6,output!$A$9:$AI$2200,M$1-$L$1+2)</f>
        <v>74.563999999999993</v>
      </c>
      <c r="N6" s="11">
        <f>VLOOKUP($J6,output!$A$9:$AI$2200,N$1-$L$1+2)</f>
        <v>73.540999999999997</v>
      </c>
      <c r="O6" s="11">
        <f>VLOOKUP($J6,output!$A$9:$AI$2200,O$1-$L$1+2)</f>
        <v>71.847999999999999</v>
      </c>
      <c r="P6" s="11">
        <f>VLOOKUP($J6,output!$A$9:$AI$2200,P$1-$L$1+2)</f>
        <v>69.644999999999996</v>
      </c>
      <c r="Q6" s="11">
        <f>VLOOKUP($J6,output!$A$9:$AI$2200,Q$1-$L$1+2)</f>
        <v>67.831000000000003</v>
      </c>
      <c r="R6" s="11">
        <f>VLOOKUP($J6,output!$A$9:$AI$2200,R$1-$L$1+2)</f>
        <v>65.930000000000007</v>
      </c>
      <c r="S6" s="11">
        <f>VLOOKUP($J6,output!$A$9:$AI$2200,S$1-$L$1+2)</f>
        <v>63.777999999999999</v>
      </c>
      <c r="T6" s="11">
        <f>VLOOKUP($J6,output!$A$9:$AI$2200,T$1-$L$1+2)</f>
        <v>61.703000000000003</v>
      </c>
      <c r="U6" s="11">
        <f>VLOOKUP($J6,output!$A$9:$AI$2200,U$1-$L$1+2)</f>
        <v>59.557000000000002</v>
      </c>
      <c r="V6" s="11">
        <f>VLOOKUP($J6,output!$A$9:$AI$2200,V$1-$L$1+2)</f>
        <v>57.555999999999997</v>
      </c>
      <c r="W6" s="11">
        <f>VLOOKUP($J6,output!$A$9:$AI$2200,W$1-$L$1+2)</f>
        <v>55.695</v>
      </c>
      <c r="X6" s="11">
        <f>VLOOKUP($J6,output!$A$9:$AI$2200,X$1-$L$1+2)</f>
        <v>53.951999999999998</v>
      </c>
      <c r="Y6" s="11">
        <f>VLOOKUP($J6,output!$A$9:$AI$2200,Y$1-$L$1+2)</f>
        <v>52.66</v>
      </c>
      <c r="Z6" s="11">
        <f>VLOOKUP($J6,output!$A$9:$AI$2200,Z$1-$L$1+2)</f>
        <v>51.399000000000001</v>
      </c>
      <c r="AA6" s="11">
        <f>VLOOKUP($J6,output!$A$9:$AI$2200,AA$1-$L$1+2)</f>
        <v>50.228000000000002</v>
      </c>
      <c r="AB6" s="11">
        <f>VLOOKUP($J6,output!$A$9:$AI$2200,AB$1-$L$1+2)</f>
        <v>49.249000000000002</v>
      </c>
      <c r="AC6" s="11">
        <f>VLOOKUP($J6,output!$A$9:$AI$2200,AC$1-$L$1+2)</f>
        <v>46.884999999999998</v>
      </c>
      <c r="AD6" s="11">
        <f>VLOOKUP($J6,output!$A$9:$AI$2200,AD$1-$L$1+2)</f>
        <v>46.963999999999999</v>
      </c>
      <c r="AE6" s="11">
        <f>VLOOKUP($J6,output!$A$9:$AI$2200,AE$1-$L$1+2)</f>
        <v>46.029000000000003</v>
      </c>
      <c r="AF6" s="11">
        <f>VLOOKUP($J6,output!$A$9:$AI$2200,AF$1-$L$1+2)</f>
        <v>45.182000000000002</v>
      </c>
      <c r="AG6" s="11">
        <f>VLOOKUP($J6,output!$A$9:$AI$2200,AG$1-$L$1+2)</f>
        <v>44.485999999999997</v>
      </c>
      <c r="AH6" s="11">
        <f>VLOOKUP($J6,output!$A$9:$AI$2200,AH$1-$L$1+2)</f>
        <v>43.848999999999997</v>
      </c>
      <c r="AI6" s="11">
        <f>VLOOKUP($J6,output!$A$9:$AI$2200,AI$1-$L$1+2)</f>
        <v>43.177999999999997</v>
      </c>
      <c r="AJ6" s="11">
        <f>VLOOKUP($J6,output!$A$9:$AI$2200,AJ$1-$L$1+2)</f>
        <v>42.578000000000003</v>
      </c>
      <c r="AK6" s="11">
        <f>VLOOKUP($J6,output!$A$9:$AI$2200,AK$1-$L$1+2)</f>
        <v>41.982999999999997</v>
      </c>
      <c r="AL6" s="11">
        <f>VLOOKUP($J6,output!$A$9:$AI$2200,AL$1-$L$1+2)</f>
        <v>41.39</v>
      </c>
      <c r="AM6" s="11">
        <f>VLOOKUP($J6,output!$A$9:$AI$2200,AM$1-$L$1+2)</f>
        <v>40.777999999999999</v>
      </c>
      <c r="AN6" t="s">
        <v>120</v>
      </c>
    </row>
    <row r="7" spans="10:40" x14ac:dyDescent="0.25">
      <c r="J7" t="s">
        <v>4</v>
      </c>
      <c r="K7" t="s">
        <v>122</v>
      </c>
      <c r="L7" s="11">
        <f>VLOOKUP($J7,output!$A$9:$AI$2200,L$1-$L$1+2)</f>
        <v>6.984</v>
      </c>
      <c r="M7" s="11">
        <f>VLOOKUP($J7,output!$A$9:$AI$2200,M$1-$L$1+2)</f>
        <v>9.0269999999999992</v>
      </c>
      <c r="N7" s="11">
        <f>VLOOKUP($J7,output!$A$9:$AI$2200,N$1-$L$1+2)</f>
        <v>10.851000000000001</v>
      </c>
      <c r="O7" s="11">
        <f>VLOOKUP($J7,output!$A$9:$AI$2200,O$1-$L$1+2)</f>
        <v>12.635</v>
      </c>
      <c r="P7" s="11">
        <f>VLOOKUP($J7,output!$A$9:$AI$2200,P$1-$L$1+2)</f>
        <v>14.589</v>
      </c>
      <c r="Q7" s="11">
        <f>VLOOKUP($J7,output!$A$9:$AI$2200,Q$1-$L$1+2)</f>
        <v>16.460999999999999</v>
      </c>
      <c r="R7" s="11">
        <f>VLOOKUP($J7,output!$A$9:$AI$2200,R$1-$L$1+2)</f>
        <v>18.247</v>
      </c>
      <c r="S7" s="11">
        <f>VLOOKUP($J7,output!$A$9:$AI$2200,S$1-$L$1+2)</f>
        <v>19.873000000000001</v>
      </c>
      <c r="T7" s="11">
        <f>VLOOKUP($J7,output!$A$9:$AI$2200,T$1-$L$1+2)</f>
        <v>21.664000000000001</v>
      </c>
      <c r="U7" s="11">
        <f>VLOOKUP($J7,output!$A$9:$AI$2200,U$1-$L$1+2)</f>
        <v>23.361999999999998</v>
      </c>
      <c r="V7" s="11">
        <f>VLOOKUP($J7,output!$A$9:$AI$2200,V$1-$L$1+2)</f>
        <v>25.103999999999999</v>
      </c>
      <c r="W7" s="11">
        <f>VLOOKUP($J7,output!$A$9:$AI$2200,W$1-$L$1+2)</f>
        <v>26.896000000000001</v>
      </c>
      <c r="X7" s="11">
        <f>VLOOKUP($J7,output!$A$9:$AI$2200,X$1-$L$1+2)</f>
        <v>28.731999999999999</v>
      </c>
      <c r="Y7" s="11">
        <f>VLOOKUP($J7,output!$A$9:$AI$2200,Y$1-$L$1+2)</f>
        <v>30.076000000000001</v>
      </c>
      <c r="Z7" s="11">
        <f>VLOOKUP($J7,output!$A$9:$AI$2200,Z$1-$L$1+2)</f>
        <v>31.437000000000001</v>
      </c>
      <c r="AA7" s="11">
        <f>VLOOKUP($J7,output!$A$9:$AI$2200,AA$1-$L$1+2)</f>
        <v>32.831000000000003</v>
      </c>
      <c r="AB7" s="11">
        <f>VLOOKUP($J7,output!$A$9:$AI$2200,AB$1-$L$1+2)</f>
        <v>34.045000000000002</v>
      </c>
      <c r="AC7" s="11">
        <f>VLOOKUP($J7,output!$A$9:$AI$2200,AC$1-$L$1+2)</f>
        <v>35.313000000000002</v>
      </c>
      <c r="AD7" s="11">
        <f>VLOOKUP($J7,output!$A$9:$AI$2200,AD$1-$L$1+2)</f>
        <v>36.357999999999997</v>
      </c>
      <c r="AE7" s="11">
        <f>VLOOKUP($J7,output!$A$9:$AI$2200,AE$1-$L$1+2)</f>
        <v>37.366</v>
      </c>
      <c r="AF7" s="11">
        <f>VLOOKUP($J7,output!$A$9:$AI$2200,AF$1-$L$1+2)</f>
        <v>38.249000000000002</v>
      </c>
      <c r="AG7" s="11">
        <f>VLOOKUP($J7,output!$A$9:$AI$2200,AG$1-$L$1+2)</f>
        <v>38.661999999999999</v>
      </c>
      <c r="AH7" s="11">
        <f>VLOOKUP($J7,output!$A$9:$AI$2200,AH$1-$L$1+2)</f>
        <v>39.034999999999997</v>
      </c>
      <c r="AI7" s="11">
        <f>VLOOKUP($J7,output!$A$9:$AI$2200,AI$1-$L$1+2)</f>
        <v>39.482999999999997</v>
      </c>
      <c r="AJ7" s="11">
        <f>VLOOKUP($J7,output!$A$9:$AI$2200,AJ$1-$L$1+2)</f>
        <v>39.835000000000001</v>
      </c>
      <c r="AK7" s="11">
        <f>VLOOKUP($J7,output!$A$9:$AI$2200,AK$1-$L$1+2)</f>
        <v>40.18</v>
      </c>
      <c r="AL7" s="11">
        <f>VLOOKUP($J7,output!$A$9:$AI$2200,AL$1-$L$1+2)</f>
        <v>40.523000000000003</v>
      </c>
      <c r="AM7" s="11">
        <f>VLOOKUP($J7,output!$A$9:$AI$2200,AM$1-$L$1+2)</f>
        <v>40.848999999999997</v>
      </c>
      <c r="AN7" t="s">
        <v>122</v>
      </c>
    </row>
    <row r="8" spans="10:40" x14ac:dyDescent="0.25">
      <c r="J8" s="10" t="s">
        <v>331</v>
      </c>
      <c r="K8" s="28" t="s">
        <v>334</v>
      </c>
      <c r="L8" s="11">
        <f>VLOOKUP($J8,output!$A$9:$AI$2200,L$1-$L$1+2)</f>
        <v>1.397</v>
      </c>
      <c r="M8" s="11">
        <f>VLOOKUP($J8,output!$A$9:$AI$2200,M$1-$L$1+2)</f>
        <v>2.3759999999999999</v>
      </c>
      <c r="N8" s="11">
        <f>VLOOKUP($J8,output!$A$9:$AI$2200,N$1-$L$1+2)</f>
        <v>3.7269999999999999</v>
      </c>
      <c r="O8" s="11">
        <f>VLOOKUP($J8,output!$A$9:$AI$2200,O$1-$L$1+2)</f>
        <v>5.024</v>
      </c>
      <c r="P8" s="11">
        <f>VLOOKUP($J8,output!$A$9:$AI$2200,P$1-$L$1+2)</f>
        <v>6.4370000000000003</v>
      </c>
      <c r="Q8" s="11">
        <f>VLOOKUP($J8,output!$A$9:$AI$2200,Q$1-$L$1+2)</f>
        <v>7.7869999999999999</v>
      </c>
      <c r="R8" s="11">
        <f>VLOOKUP($J8,output!$A$9:$AI$2200,R$1-$L$1+2)</f>
        <v>9.07</v>
      </c>
      <c r="S8" s="11">
        <f>VLOOKUP($J8,output!$A$9:$AI$2200,S$1-$L$1+2)</f>
        <v>10.276</v>
      </c>
      <c r="T8" s="11">
        <f>VLOOKUP($J8,output!$A$9:$AI$2200,T$1-$L$1+2)</f>
        <v>11.593999999999999</v>
      </c>
      <c r="U8" s="11">
        <f>VLOOKUP($J8,output!$A$9:$AI$2200,U$1-$L$1+2)</f>
        <v>12.840999999999999</v>
      </c>
      <c r="V8" s="11">
        <f>VLOOKUP($J8,output!$A$9:$AI$2200,V$1-$L$1+2)</f>
        <v>14.115</v>
      </c>
      <c r="W8" s="11">
        <f>VLOOKUP($J8,output!$A$9:$AI$2200,W$1-$L$1+2)</f>
        <v>15.419</v>
      </c>
      <c r="X8" s="11">
        <f>VLOOKUP($J8,output!$A$9:$AI$2200,X$1-$L$1+2)</f>
        <v>16.748999999999999</v>
      </c>
      <c r="Y8" s="11">
        <f>VLOOKUP($J8,output!$A$9:$AI$2200,Y$1-$L$1+2)</f>
        <v>17.745999999999999</v>
      </c>
      <c r="Z8" s="11">
        <f>VLOOKUP($J8,output!$A$9:$AI$2200,Z$1-$L$1+2)</f>
        <v>18.757000000000001</v>
      </c>
      <c r="AA8" s="11">
        <f>VLOOKUP($J8,output!$A$9:$AI$2200,AA$1-$L$1+2)</f>
        <v>19.788</v>
      </c>
      <c r="AB8" s="11">
        <f>VLOOKUP($J8,output!$A$9:$AI$2200,AB$1-$L$1+2)</f>
        <v>20.696000000000002</v>
      </c>
      <c r="AC8" s="11">
        <f>VLOOKUP($J8,output!$A$9:$AI$2200,AC$1-$L$1+2)</f>
        <v>21.667000000000002</v>
      </c>
      <c r="AD8" s="11">
        <f>VLOOKUP($J8,output!$A$9:$AI$2200,AD$1-$L$1+2)</f>
        <v>22.484000000000002</v>
      </c>
      <c r="AE8" s="11">
        <f>VLOOKUP($J8,output!$A$9:$AI$2200,AE$1-$L$1+2)</f>
        <v>23.274999999999999</v>
      </c>
      <c r="AF8" s="11">
        <f>VLOOKUP($J8,output!$A$9:$AI$2200,AF$1-$L$1+2)</f>
        <v>23.978999999999999</v>
      </c>
      <c r="AG8" s="11">
        <f>VLOOKUP($J8,output!$A$9:$AI$2200,AG$1-$L$1+2)</f>
        <v>24.597000000000001</v>
      </c>
      <c r="AH8" s="11">
        <f>VLOOKUP($J8,output!$A$9:$AI$2200,AH$1-$L$1+2)</f>
        <v>24.884</v>
      </c>
      <c r="AI8" s="11">
        <f>VLOOKUP($J8,output!$A$9:$AI$2200,AI$1-$L$1+2)</f>
        <v>25.225000000000001</v>
      </c>
      <c r="AJ8" s="11">
        <f>VLOOKUP($J8,output!$A$9:$AI$2200,AJ$1-$L$1+2)</f>
        <v>25.507000000000001</v>
      </c>
      <c r="AK8" s="11">
        <f>VLOOKUP($J8,output!$A$9:$AI$2200,AK$1-$L$1+2)</f>
        <v>25.786000000000001</v>
      </c>
      <c r="AL8" s="11">
        <f>VLOOKUP($J8,output!$A$9:$AI$2200,AL$1-$L$1+2)</f>
        <v>26.065999999999999</v>
      </c>
      <c r="AM8" s="11">
        <f>VLOOKUP($J8,output!$A$9:$AI$2200,AM$1-$L$1+2)</f>
        <v>26.337</v>
      </c>
      <c r="AN8" s="29" t="s">
        <v>334</v>
      </c>
    </row>
    <row r="9" spans="10:40" x14ac:dyDescent="0.25">
      <c r="J9" s="10" t="s">
        <v>317</v>
      </c>
      <c r="K9" s="28" t="s">
        <v>335</v>
      </c>
      <c r="L9" s="11">
        <f>VLOOKUP($J9,output!$A$9:$AI$2200,L$1-$L$1+2)</f>
        <v>5.5869999999999997</v>
      </c>
      <c r="M9" s="11">
        <f>VLOOKUP($J9,output!$A$9:$AI$2200,M$1-$L$1+2)</f>
        <v>6.6509999999999998</v>
      </c>
      <c r="N9" s="11">
        <f>VLOOKUP($J9,output!$A$9:$AI$2200,N$1-$L$1+2)</f>
        <v>7.1239999999999997</v>
      </c>
      <c r="O9" s="11">
        <f>VLOOKUP($J9,output!$A$9:$AI$2200,O$1-$L$1+2)</f>
        <v>7.6109999999999998</v>
      </c>
      <c r="P9" s="11">
        <f>VLOOKUP($J9,output!$A$9:$AI$2200,P$1-$L$1+2)</f>
        <v>8.1519999999999992</v>
      </c>
      <c r="Q9" s="11">
        <f>VLOOKUP($J9,output!$A$9:$AI$2200,Q$1-$L$1+2)</f>
        <v>8.6739999999999995</v>
      </c>
      <c r="R9" s="11">
        <f>VLOOKUP($J9,output!$A$9:$AI$2200,R$1-$L$1+2)</f>
        <v>9.1760000000000002</v>
      </c>
      <c r="S9" s="11">
        <f>VLOOKUP($J9,output!$A$9:$AI$2200,S$1-$L$1+2)</f>
        <v>9.5980000000000008</v>
      </c>
      <c r="T9" s="11">
        <f>VLOOKUP($J9,output!$A$9:$AI$2200,T$1-$L$1+2)</f>
        <v>10.07</v>
      </c>
      <c r="U9" s="11">
        <f>VLOOKUP($J9,output!$A$9:$AI$2200,U$1-$L$1+2)</f>
        <v>10.521000000000001</v>
      </c>
      <c r="V9" s="11">
        <f>VLOOKUP($J9,output!$A$9:$AI$2200,V$1-$L$1+2)</f>
        <v>10.989000000000001</v>
      </c>
      <c r="W9" s="11">
        <f>VLOOKUP($J9,output!$A$9:$AI$2200,W$1-$L$1+2)</f>
        <v>11.477</v>
      </c>
      <c r="X9" s="11">
        <f>VLOOKUP($J9,output!$A$9:$AI$2200,X$1-$L$1+2)</f>
        <v>11.981999999999999</v>
      </c>
      <c r="Y9" s="11">
        <f>VLOOKUP($J9,output!$A$9:$AI$2200,Y$1-$L$1+2)</f>
        <v>12.33</v>
      </c>
      <c r="Z9" s="11">
        <f>VLOOKUP($J9,output!$A$9:$AI$2200,Z$1-$L$1+2)</f>
        <v>12.68</v>
      </c>
      <c r="AA9" s="11">
        <f>VLOOKUP($J9,output!$A$9:$AI$2200,AA$1-$L$1+2)</f>
        <v>13.042999999999999</v>
      </c>
      <c r="AB9" s="11">
        <f>VLOOKUP($J9,output!$A$9:$AI$2200,AB$1-$L$1+2)</f>
        <v>13.349</v>
      </c>
      <c r="AC9" s="11">
        <f>VLOOKUP($J9,output!$A$9:$AI$2200,AC$1-$L$1+2)</f>
        <v>13.646000000000001</v>
      </c>
      <c r="AD9" s="11">
        <f>VLOOKUP($J9,output!$A$9:$AI$2200,AD$1-$L$1+2)</f>
        <v>13.874000000000001</v>
      </c>
      <c r="AE9" s="11">
        <f>VLOOKUP($J9,output!$A$9:$AI$2200,AE$1-$L$1+2)</f>
        <v>14.090999999999999</v>
      </c>
      <c r="AF9" s="11">
        <f>VLOOKUP($J9,output!$A$9:$AI$2200,AF$1-$L$1+2)</f>
        <v>14.271000000000001</v>
      </c>
      <c r="AG9" s="11">
        <f>VLOOKUP($J9,output!$A$9:$AI$2200,AG$1-$L$1+2)</f>
        <v>14.065</v>
      </c>
      <c r="AH9" s="11">
        <f>VLOOKUP($J9,output!$A$9:$AI$2200,AH$1-$L$1+2)</f>
        <v>14.151</v>
      </c>
      <c r="AI9" s="11">
        <f>VLOOKUP($J9,output!$A$9:$AI$2200,AI$1-$L$1+2)</f>
        <v>14.257999999999999</v>
      </c>
      <c r="AJ9" s="11">
        <f>VLOOKUP($J9,output!$A$9:$AI$2200,AJ$1-$L$1+2)</f>
        <v>14.327999999999999</v>
      </c>
      <c r="AK9" s="11">
        <f>VLOOKUP($J9,output!$A$9:$AI$2200,AK$1-$L$1+2)</f>
        <v>14.394</v>
      </c>
      <c r="AL9" s="11">
        <f>VLOOKUP($J9,output!$A$9:$AI$2200,AL$1-$L$1+2)</f>
        <v>14.457000000000001</v>
      </c>
      <c r="AM9" s="11">
        <f>VLOOKUP($J9,output!$A$9:$AI$2200,AM$1-$L$1+2)</f>
        <v>14.512</v>
      </c>
      <c r="AN9" s="29" t="s">
        <v>335</v>
      </c>
    </row>
    <row r="10" spans="10:40" x14ac:dyDescent="0.25">
      <c r="J10" t="s">
        <v>5</v>
      </c>
      <c r="K10" t="s">
        <v>121</v>
      </c>
      <c r="L10" s="11">
        <f>VLOOKUP($J10,output!$A$9:$AI$2200,L$1-$L$1+2)</f>
        <v>43.912999999999997</v>
      </c>
      <c r="M10" s="11">
        <f>VLOOKUP($J10,output!$A$9:$AI$2200,M$1-$L$1+2)</f>
        <v>40.822000000000003</v>
      </c>
      <c r="N10" s="11">
        <f>VLOOKUP($J10,output!$A$9:$AI$2200,N$1-$L$1+2)</f>
        <v>38.813000000000002</v>
      </c>
      <c r="O10" s="11">
        <f>VLOOKUP($J10,output!$A$9:$AI$2200,O$1-$L$1+2)</f>
        <v>36.838999999999999</v>
      </c>
      <c r="P10" s="11">
        <f>VLOOKUP($J10,output!$A$9:$AI$2200,P$1-$L$1+2)</f>
        <v>34.963000000000001</v>
      </c>
      <c r="Q10" s="11">
        <f>VLOOKUP($J10,output!$A$9:$AI$2200,Q$1-$L$1+2)</f>
        <v>33.127000000000002</v>
      </c>
      <c r="R10" s="11">
        <f>VLOOKUP($J10,output!$A$9:$AI$2200,R$1-$L$1+2)</f>
        <v>31.306999999999999</v>
      </c>
      <c r="S10" s="11">
        <f>VLOOKUP($J10,output!$A$9:$AI$2200,S$1-$L$1+2)</f>
        <v>29.36</v>
      </c>
      <c r="T10" s="11">
        <f>VLOOKUP($J10,output!$A$9:$AI$2200,T$1-$L$1+2)</f>
        <v>27.512</v>
      </c>
      <c r="U10" s="11">
        <f>VLOOKUP($J10,output!$A$9:$AI$2200,U$1-$L$1+2)</f>
        <v>25.66</v>
      </c>
      <c r="V10" s="11">
        <f>VLOOKUP($J10,output!$A$9:$AI$2200,V$1-$L$1+2)</f>
        <v>23.901</v>
      </c>
      <c r="W10" s="11">
        <f>VLOOKUP($J10,output!$A$9:$AI$2200,W$1-$L$1+2)</f>
        <v>22.231000000000002</v>
      </c>
      <c r="X10" s="11">
        <f>VLOOKUP($J10,output!$A$9:$AI$2200,X$1-$L$1+2)</f>
        <v>20.646000000000001</v>
      </c>
      <c r="Y10" s="11">
        <f>VLOOKUP($J10,output!$A$9:$AI$2200,Y$1-$L$1+2)</f>
        <v>19.052</v>
      </c>
      <c r="Z10" s="11">
        <f>VLOOKUP($J10,output!$A$9:$AI$2200,Z$1-$L$1+2)</f>
        <v>17.454000000000001</v>
      </c>
      <c r="AA10" s="11">
        <f>VLOOKUP($J10,output!$A$9:$AI$2200,AA$1-$L$1+2)</f>
        <v>15.96</v>
      </c>
      <c r="AB10" s="11">
        <f>VLOOKUP($J10,output!$A$9:$AI$2200,AB$1-$L$1+2)</f>
        <v>14.523</v>
      </c>
      <c r="AC10" s="11">
        <f>VLOOKUP($J10,output!$A$9:$AI$2200,AC$1-$L$1+2)</f>
        <v>13.138</v>
      </c>
      <c r="AD10" s="11">
        <f>VLOOKUP($J10,output!$A$9:$AI$2200,AD$1-$L$1+2)</f>
        <v>11.787000000000001</v>
      </c>
      <c r="AE10" s="11">
        <f>VLOOKUP($J10,output!$A$9:$AI$2200,AE$1-$L$1+2)</f>
        <v>10.502000000000001</v>
      </c>
      <c r="AF10" s="11">
        <f>VLOOKUP($J10,output!$A$9:$AI$2200,AF$1-$L$1+2)</f>
        <v>9.2759999999999998</v>
      </c>
      <c r="AG10" s="11">
        <f>VLOOKUP($J10,output!$A$9:$AI$2200,AG$1-$L$1+2)</f>
        <v>8.8770000000000007</v>
      </c>
      <c r="AH10" s="11">
        <f>VLOOKUP($J10,output!$A$9:$AI$2200,AH$1-$L$1+2)</f>
        <v>8.3450000000000006</v>
      </c>
      <c r="AI10" s="11">
        <f>VLOOKUP($J10,output!$A$9:$AI$2200,AI$1-$L$1+2)</f>
        <v>7.9160000000000004</v>
      </c>
      <c r="AJ10" s="11">
        <f>VLOOKUP($J10,output!$A$9:$AI$2200,AJ$1-$L$1+2)</f>
        <v>7.4640000000000004</v>
      </c>
      <c r="AK10" s="11">
        <f>VLOOKUP($J10,output!$A$9:$AI$2200,AK$1-$L$1+2)</f>
        <v>7.077</v>
      </c>
      <c r="AL10" s="11">
        <f>VLOOKUP($J10,output!$A$9:$AI$2200,AL$1-$L$1+2)</f>
        <v>6.7590000000000003</v>
      </c>
      <c r="AM10" s="11">
        <f>VLOOKUP($J10,output!$A$9:$AI$2200,AM$1-$L$1+2)</f>
        <v>6.4880000000000004</v>
      </c>
      <c r="AN10" t="s">
        <v>121</v>
      </c>
    </row>
    <row r="12" spans="10:40" x14ac:dyDescent="0.25">
      <c r="K12" t="s">
        <v>268</v>
      </c>
      <c r="L12" s="11">
        <f>SUM(L3:L7,L10)</f>
        <v>260.45799999999997</v>
      </c>
      <c r="M12" s="11">
        <f t="shared" ref="M12:AM12" si="0">SUM(M3:M7,M10)</f>
        <v>253.84599999999998</v>
      </c>
      <c r="N12" s="11">
        <f t="shared" si="0"/>
        <v>249.95299999999997</v>
      </c>
      <c r="O12" s="11">
        <f t="shared" si="0"/>
        <v>244.43599999999998</v>
      </c>
      <c r="P12" s="11">
        <f t="shared" si="0"/>
        <v>236.148</v>
      </c>
      <c r="Q12" s="11">
        <f t="shared" si="0"/>
        <v>230.59199999999998</v>
      </c>
      <c r="R12" s="11">
        <f t="shared" si="0"/>
        <v>225.643</v>
      </c>
      <c r="S12" s="11">
        <f t="shared" si="0"/>
        <v>220.66199999999998</v>
      </c>
      <c r="T12" s="11">
        <f t="shared" si="0"/>
        <v>214.36</v>
      </c>
      <c r="U12" s="11">
        <f t="shared" si="0"/>
        <v>208.68399999999997</v>
      </c>
      <c r="V12" s="11">
        <f t="shared" si="0"/>
        <v>203.197</v>
      </c>
      <c r="W12" s="11">
        <f t="shared" si="0"/>
        <v>197.82600000000002</v>
      </c>
      <c r="X12" s="11">
        <f t="shared" si="0"/>
        <v>192.536</v>
      </c>
      <c r="Y12" s="11">
        <f t="shared" si="0"/>
        <v>188.339</v>
      </c>
      <c r="Z12" s="11">
        <f t="shared" si="0"/>
        <v>183.62200000000001</v>
      </c>
      <c r="AA12" s="11">
        <f t="shared" si="0"/>
        <v>179.071</v>
      </c>
      <c r="AB12" s="11">
        <f t="shared" si="0"/>
        <v>175.04900000000001</v>
      </c>
      <c r="AC12" s="11">
        <f t="shared" si="0"/>
        <v>164.17999999999998</v>
      </c>
      <c r="AD12" s="11">
        <f t="shared" si="0"/>
        <v>165.18600000000001</v>
      </c>
      <c r="AE12" s="11">
        <f t="shared" si="0"/>
        <v>161.28100000000001</v>
      </c>
      <c r="AF12" s="11">
        <f t="shared" si="0"/>
        <v>157.80000000000001</v>
      </c>
      <c r="AG12" s="11">
        <f t="shared" si="0"/>
        <v>155.14700000000002</v>
      </c>
      <c r="AH12" s="11">
        <f t="shared" si="0"/>
        <v>152.69999999999999</v>
      </c>
      <c r="AI12" s="11">
        <f t="shared" si="0"/>
        <v>150.17400000000001</v>
      </c>
      <c r="AJ12" s="11">
        <f t="shared" si="0"/>
        <v>147.92400000000001</v>
      </c>
      <c r="AK12" s="11">
        <f t="shared" si="0"/>
        <v>145.72499999999999</v>
      </c>
      <c r="AL12" s="11">
        <f t="shared" si="0"/>
        <v>143.56599999999997</v>
      </c>
      <c r="AM12" s="11">
        <f t="shared" si="0"/>
        <v>141.363</v>
      </c>
    </row>
    <row r="14" spans="10:40" x14ac:dyDescent="0.25">
      <c r="J14" s="2" t="s">
        <v>362</v>
      </c>
    </row>
    <row r="15" spans="10:40" x14ac:dyDescent="0.25">
      <c r="J15" t="s">
        <v>117</v>
      </c>
      <c r="K15" s="122" t="s">
        <v>510</v>
      </c>
      <c r="L15" s="11">
        <f>L3*'Parc et émission'!J$16</f>
        <v>11.11426</v>
      </c>
      <c r="M15" s="11">
        <f>M3*'Parc et émission'!K$16</f>
        <v>11.8958944</v>
      </c>
      <c r="N15" s="11">
        <f>N3*'Parc et émission'!L$16</f>
        <v>11.811875666666666</v>
      </c>
      <c r="O15" s="11">
        <f>O3*'Parc et émission'!M$16</f>
        <v>13.060971000000002</v>
      </c>
      <c r="P15" s="11">
        <f>P3*'Parc et émission'!N$16</f>
        <v>13.775011200000003</v>
      </c>
      <c r="Q15" s="11">
        <f>Q3*'Parc et émission'!O$16</f>
        <v>15.41371066666667</v>
      </c>
      <c r="R15" s="11">
        <f>R3*'Parc et émission'!P$16</f>
        <v>18.043789400000005</v>
      </c>
      <c r="S15" s="11">
        <f>S3*'Parc et émission'!Q$16</f>
        <v>21.498582000000003</v>
      </c>
      <c r="T15" s="11">
        <f>T3*'Parc et émission'!R$16</f>
        <v>23.424176198333338</v>
      </c>
      <c r="U15" s="11">
        <f>U3*'Parc et émission'!S$16</f>
        <v>26.304164858333341</v>
      </c>
      <c r="V15" s="11">
        <f>V3*'Parc et émission'!T$16</f>
        <v>28.696945497500007</v>
      </c>
      <c r="W15" s="11">
        <f>W3*'Parc et émission'!U$16</f>
        <v>30.547268266666673</v>
      </c>
      <c r="X15" s="11">
        <f>X3*'Parc et émission'!V$16</f>
        <v>31.935107750000011</v>
      </c>
      <c r="Y15" s="11">
        <f>Y3*'Parc et émission'!W$16</f>
        <v>32.897173390000013</v>
      </c>
      <c r="Z15" s="11">
        <f>Z3*'Parc et émission'!X$16</f>
        <v>33.217230282500012</v>
      </c>
      <c r="AA15" s="11">
        <f>AA3*'Parc et émission'!Y$16</f>
        <v>33.259314293333347</v>
      </c>
      <c r="AB15" s="11">
        <f>AB3*'Parc et émission'!Z$16</f>
        <v>33.033811443750011</v>
      </c>
      <c r="AC15" s="11">
        <f>AC3*'Parc et émission'!AA$16</f>
        <v>32.425596875000004</v>
      </c>
      <c r="AD15" s="11">
        <f>AD3*'Parc et émission'!AB$16</f>
        <v>31.961663136666676</v>
      </c>
      <c r="AE15" s="11">
        <f>AE3*'Parc et émission'!AC$16</f>
        <v>31.500022720000008</v>
      </c>
      <c r="AF15" s="11">
        <f>AF3*'Parc et émission'!AD$16</f>
        <v>31.073061442500006</v>
      </c>
      <c r="AG15" s="11">
        <f>AG3*'Parc et émission'!AE$16</f>
        <v>30.642323980000008</v>
      </c>
      <c r="AH15" s="11">
        <f>AH3*'Parc et émission'!AF$16</f>
        <v>30.222704375000006</v>
      </c>
      <c r="AI15" s="11">
        <f>AI3*'Parc et émission'!AG$16</f>
        <v>29.814084400000009</v>
      </c>
      <c r="AJ15" s="11">
        <f>AJ3*'Parc et émission'!AH$16</f>
        <v>29.413083775833339</v>
      </c>
      <c r="AK15" s="11">
        <f>AK3*'Parc et émission'!AI$16</f>
        <v>29.021253030000008</v>
      </c>
      <c r="AL15" s="11">
        <f>AL3*'Parc et émission'!AJ$16</f>
        <v>28.638497112500009</v>
      </c>
      <c r="AM15" s="11">
        <f>AM3*'Parc et émission'!AK$16</f>
        <v>28.234948666666671</v>
      </c>
    </row>
    <row r="16" spans="10:40" x14ac:dyDescent="0.25">
      <c r="J16" t="s">
        <v>179</v>
      </c>
      <c r="K16" s="122"/>
      <c r="L16" s="11">
        <f>L4*'Parc et émission'!J$16</f>
        <v>88.27</v>
      </c>
      <c r="M16" s="11">
        <f>M4*'Parc et émission'!K$16</f>
        <v>85.248009599999989</v>
      </c>
      <c r="N16" s="11">
        <f>N4*'Parc et émission'!L$16</f>
        <v>83.966516333333331</v>
      </c>
      <c r="O16" s="11">
        <f>O4*'Parc et émission'!M$16</f>
        <v>80.742578399999999</v>
      </c>
      <c r="P16" s="11">
        <f>P4*'Parc et émission'!N$16</f>
        <v>76.14978880000001</v>
      </c>
      <c r="Q16" s="11">
        <f>Q4*'Parc et émission'!O$16</f>
        <v>72.348002666666673</v>
      </c>
      <c r="R16" s="11">
        <f>R4*'Parc et émission'!P$16</f>
        <v>68.144221600000023</v>
      </c>
      <c r="S16" s="11">
        <f>S4*'Parc et émission'!Q$16</f>
        <v>63.47171100000002</v>
      </c>
      <c r="T16" s="11">
        <f>T4*'Parc et émission'!R$16</f>
        <v>59.696465780000011</v>
      </c>
      <c r="U16" s="11">
        <f>U4*'Parc et émission'!S$16</f>
        <v>55.56248306666668</v>
      </c>
      <c r="V16" s="11">
        <f>V4*'Parc et émission'!T$16</f>
        <v>51.708123206250015</v>
      </c>
      <c r="W16" s="11">
        <f>W4*'Parc et émission'!U$16</f>
        <v>48.141319893333339</v>
      </c>
      <c r="X16" s="11">
        <f>X4*'Parc et émission'!V$16</f>
        <v>44.794132229166685</v>
      </c>
      <c r="Y16" s="11">
        <f>Y4*'Parc et émission'!W$16</f>
        <v>41.223804745000017</v>
      </c>
      <c r="Z16" s="11">
        <f>Z4*'Parc et émission'!X$16</f>
        <v>37.835139805833343</v>
      </c>
      <c r="AA16" s="11">
        <f>AA4*'Parc et émission'!Y$16</f>
        <v>34.697362186666673</v>
      </c>
      <c r="AB16" s="11">
        <f>AB4*'Parc et émission'!Z$16</f>
        <v>32.241033776250006</v>
      </c>
      <c r="AC16" s="11">
        <f>AC4*'Parc et émission'!AA$16</f>
        <v>25.503760625000005</v>
      </c>
      <c r="AD16" s="11">
        <f>AD4*'Parc et émission'!AB$16</f>
        <v>26.745022427083342</v>
      </c>
      <c r="AE16" s="11">
        <f>AE4*'Parc et émission'!AC$16</f>
        <v>24.700928640000008</v>
      </c>
      <c r="AF16" s="11">
        <f>AF4*'Parc et émission'!AD$16</f>
        <v>22.976395787916672</v>
      </c>
      <c r="AG16" s="11">
        <f>AG4*'Parc et émission'!AE$16</f>
        <v>21.537582523333338</v>
      </c>
      <c r="AH16" s="11">
        <f>AH4*'Parc et émission'!AF$16</f>
        <v>20.366007656250005</v>
      </c>
      <c r="AI16" s="11">
        <f>AI4*'Parc et émission'!AG$16</f>
        <v>19.013340386666673</v>
      </c>
      <c r="AJ16" s="11">
        <f>AJ4*'Parc et émission'!AH$16</f>
        <v>17.93152478541667</v>
      </c>
      <c r="AK16" s="11">
        <f>AK4*'Parc et émission'!AI$16</f>
        <v>16.842589995000004</v>
      </c>
      <c r="AL16" s="11">
        <f>AL4*'Parc et émission'!AJ$16</f>
        <v>15.732986390000004</v>
      </c>
      <c r="AM16" s="11">
        <f>AM4*'Parc et émission'!AK$16</f>
        <v>14.611942000000003</v>
      </c>
    </row>
    <row r="17" spans="10:40" x14ac:dyDescent="0.25">
      <c r="J17" t="s">
        <v>119</v>
      </c>
      <c r="K17" s="122"/>
      <c r="L17" s="11">
        <f>L5*'Parc et émission'!J$16</f>
        <v>30.07</v>
      </c>
      <c r="M17" s="11">
        <f>M5*'Parc et émission'!K$16</f>
        <v>26.697590399999999</v>
      </c>
      <c r="N17" s="11">
        <f>N5*'Parc et émission'!L$16</f>
        <v>23.829470666666666</v>
      </c>
      <c r="O17" s="11">
        <f>O5*'Parc et émission'!M$16</f>
        <v>20.766339000000002</v>
      </c>
      <c r="P17" s="11">
        <f>P5*'Parc et émission'!N$16</f>
        <v>17.389437600000004</v>
      </c>
      <c r="Q17" s="11">
        <f>Q5*'Parc et émission'!O$16</f>
        <v>14.622127333333337</v>
      </c>
      <c r="R17" s="11">
        <f>R5*'Parc et émission'!P$16</f>
        <v>12.051785200000003</v>
      </c>
      <c r="S17" s="11">
        <f>S5*'Parc et émission'!Q$16</f>
        <v>9.6549360000000028</v>
      </c>
      <c r="T17" s="11">
        <f>T5*'Parc et émission'!R$16</f>
        <v>7.4471796170833358</v>
      </c>
      <c r="U17" s="11">
        <f>U5*'Parc et émission'!S$16</f>
        <v>5.3680190666666681</v>
      </c>
      <c r="V17" s="11">
        <f>V5*'Parc et émission'!T$16</f>
        <v>3.4420022612500012</v>
      </c>
      <c r="W17" s="11">
        <f>W5*'Parc et émission'!U$16</f>
        <v>1.6569474133333335</v>
      </c>
      <c r="X17" s="11">
        <f>X5*'Parc et émission'!V$16</f>
        <v>0</v>
      </c>
      <c r="Y17" s="11">
        <f>Y5*'Parc et émission'!W$16</f>
        <v>0</v>
      </c>
      <c r="Z17" s="11">
        <f>Z5*'Parc et émission'!X$16</f>
        <v>0</v>
      </c>
      <c r="AA17" s="11">
        <f>AA5*'Parc et émission'!Y$16</f>
        <v>0</v>
      </c>
      <c r="AB17" s="11">
        <f>AB5*'Parc et émission'!Z$16</f>
        <v>0</v>
      </c>
      <c r="AC17" s="11">
        <f>AC5*'Parc et émission'!AA$16</f>
        <v>0</v>
      </c>
      <c r="AD17" s="11">
        <f>AD5*'Parc et émission'!AB$16</f>
        <v>0</v>
      </c>
      <c r="AE17" s="11">
        <f>AE5*'Parc et émission'!AC$16</f>
        <v>0</v>
      </c>
      <c r="AF17" s="11">
        <f>AF5*'Parc et émission'!AD$16</f>
        <v>0</v>
      </c>
      <c r="AG17" s="11">
        <f>AG5*'Parc et émission'!AE$16</f>
        <v>0</v>
      </c>
      <c r="AH17" s="11">
        <f>AH5*'Parc et émission'!AF$16</f>
        <v>0</v>
      </c>
      <c r="AI17" s="11">
        <f>AI5*'Parc et émission'!AG$16</f>
        <v>0</v>
      </c>
      <c r="AJ17" s="11">
        <f>AJ5*'Parc et émission'!AH$16</f>
        <v>0</v>
      </c>
      <c r="AK17" s="11">
        <f>AK5*'Parc et émission'!AI$16</f>
        <v>0</v>
      </c>
      <c r="AL17" s="11">
        <f>AL5*'Parc et émission'!AJ$16</f>
        <v>0</v>
      </c>
      <c r="AM17" s="11">
        <f>AM5*'Parc et émission'!AK$16</f>
        <v>0</v>
      </c>
    </row>
    <row r="18" spans="10:40" x14ac:dyDescent="0.25">
      <c r="J18" t="s">
        <v>120</v>
      </c>
      <c r="K18" s="122"/>
      <c r="L18" s="11">
        <f>L6*'Parc et émission'!J$16</f>
        <v>73.819909999999993</v>
      </c>
      <c r="M18" s="11">
        <f>M6*'Parc et émission'!K$16</f>
        <v>71.342835199999996</v>
      </c>
      <c r="N18" s="11">
        <f>N6*'Parc et émission'!L$16</f>
        <v>69.398190333333332</v>
      </c>
      <c r="O18" s="11">
        <f>O6*'Parc et émission'!M$16</f>
        <v>66.861748800000001</v>
      </c>
      <c r="P18" s="11">
        <f>P6*'Parc et émission'!N$16</f>
        <v>63.906252000000009</v>
      </c>
      <c r="Q18" s="11">
        <f>Q6*'Parc et émission'!O$16</f>
        <v>61.364444666666678</v>
      </c>
      <c r="R18" s="11">
        <f>R6*'Parc et émission'!P$16</f>
        <v>58.796374000000021</v>
      </c>
      <c r="S18" s="11">
        <f>S6*'Parc et émission'!Q$16</f>
        <v>56.060862000000014</v>
      </c>
      <c r="T18" s="11">
        <f>T6*'Parc et émission'!R$16</f>
        <v>54.003211177916683</v>
      </c>
      <c r="U18" s="11">
        <f>U6*'Parc et émission'!S$16</f>
        <v>51.899855771666687</v>
      </c>
      <c r="V18" s="11">
        <f>V6*'Parc et émission'!T$16</f>
        <v>49.93896701500001</v>
      </c>
      <c r="W18" s="11">
        <f>W6*'Parc et émission'!U$16</f>
        <v>48.11453920000001</v>
      </c>
      <c r="X18" s="11">
        <f>X6*'Parc et émission'!V$16</f>
        <v>46.406026000000011</v>
      </c>
      <c r="Y18" s="11">
        <f>Y6*'Parc et émission'!W$16</f>
        <v>45.097234100000009</v>
      </c>
      <c r="Z18" s="11">
        <f>Z6*'Parc et émission'!X$16</f>
        <v>43.82495044125001</v>
      </c>
      <c r="AA18" s="11">
        <f>AA6*'Parc et émission'!Y$16</f>
        <v>42.638884053333349</v>
      </c>
      <c r="AB18" s="11">
        <f>AB6*'Parc et émission'!Z$16</f>
        <v>41.624208258750009</v>
      </c>
      <c r="AC18" s="11">
        <f>AC6*'Parc et émission'!AA$16</f>
        <v>39.451773958333341</v>
      </c>
      <c r="AD18" s="11">
        <f>AD6*'Parc et émission'!AB$16</f>
        <v>39.343875748333346</v>
      </c>
      <c r="AE18" s="11">
        <f>AE6*'Parc et émission'!AC$16</f>
        <v>38.390027160000017</v>
      </c>
      <c r="AF18" s="11">
        <f>AF6*'Parc et émission'!AD$16</f>
        <v>37.516516009166679</v>
      </c>
      <c r="AG18" s="11">
        <f>AG6*'Parc et émission'!AE$16</f>
        <v>36.774426043333342</v>
      </c>
      <c r="AH18" s="11">
        <f>AH6*'Parc et émission'!AF$16</f>
        <v>36.086356718750011</v>
      </c>
      <c r="AI18" s="11">
        <f>AI6*'Parc et émission'!AG$16</f>
        <v>35.37544754666667</v>
      </c>
      <c r="AJ18" s="11">
        <f>AJ6*'Parc et émission'!AH$16</f>
        <v>34.727698990833346</v>
      </c>
      <c r="AK18" s="11">
        <f>AK6*'Parc et émission'!AI$16</f>
        <v>34.088726595000011</v>
      </c>
      <c r="AL18" s="11">
        <f>AL6*'Parc et émission'!AJ$16</f>
        <v>33.456037129166681</v>
      </c>
      <c r="AM18" s="11">
        <f>AM6*'Parc et émission'!AK$16</f>
        <v>32.81269733333334</v>
      </c>
    </row>
    <row r="19" spans="10:40" x14ac:dyDescent="0.25">
      <c r="J19" t="s">
        <v>122</v>
      </c>
      <c r="K19" s="122"/>
      <c r="L19" s="11">
        <f>L7*'Parc et émission'!J$16</f>
        <v>6.7744799999999996</v>
      </c>
      <c r="M19" s="11">
        <f>M7*'Parc et émission'!K$16</f>
        <v>8.6370335999999988</v>
      </c>
      <c r="N19" s="11">
        <f>N7*'Parc et émission'!L$16</f>
        <v>10.239727</v>
      </c>
      <c r="O19" s="11">
        <f>O7*'Parc et émission'!M$16</f>
        <v>11.758131000000001</v>
      </c>
      <c r="P19" s="11">
        <f>P7*'Parc et émission'!N$16</f>
        <v>13.386866400000002</v>
      </c>
      <c r="Q19" s="11">
        <f>Q7*'Parc et émission'!O$16</f>
        <v>14.891718000000001</v>
      </c>
      <c r="R19" s="11">
        <f>R7*'Parc et émission'!P$16</f>
        <v>16.272674600000006</v>
      </c>
      <c r="S19" s="11">
        <f>S7*'Parc et émission'!Q$16</f>
        <v>17.468367000000004</v>
      </c>
      <c r="T19" s="11">
        <f>T7*'Parc et émission'!R$16</f>
        <v>18.960594573333339</v>
      </c>
      <c r="U19" s="11">
        <f>U7*'Parc et émission'!S$16</f>
        <v>20.358386596666673</v>
      </c>
      <c r="V19" s="11">
        <f>V7*'Parc et émission'!T$16</f>
        <v>21.781705260000006</v>
      </c>
      <c r="W19" s="11">
        <f>W7*'Parc et émission'!U$16</f>
        <v>23.235275093333339</v>
      </c>
      <c r="X19" s="11">
        <f>X7*'Parc et émission'!V$16</f>
        <v>24.713410791666675</v>
      </c>
      <c r="Y19" s="11">
        <f>Y7*'Parc et émission'!W$16</f>
        <v>25.75663526000001</v>
      </c>
      <c r="Z19" s="11">
        <f>Z7*'Parc et émission'!X$16</f>
        <v>26.804509173750009</v>
      </c>
      <c r="AA19" s="11">
        <f>AA7*'Parc et émission'!Y$16</f>
        <v>27.870454773333343</v>
      </c>
      <c r="AB19" s="11">
        <f>AB7*'Parc et émission'!Z$16</f>
        <v>28.774110543750009</v>
      </c>
      <c r="AC19" s="11">
        <f>AC7*'Parc et émission'!AA$16</f>
        <v>29.714418125000009</v>
      </c>
      <c r="AD19" s="11">
        <f>AD7*'Parc et émission'!AB$16</f>
        <v>30.458747859166674</v>
      </c>
      <c r="AE19" s="11">
        <f>AE7*'Parc et émission'!AC$16</f>
        <v>31.164738640000007</v>
      </c>
      <c r="AF19" s="11">
        <f>AF7*'Parc et émission'!AD$16</f>
        <v>31.759754345416678</v>
      </c>
      <c r="AG19" s="11">
        <f>AG7*'Parc et émission'!AE$16</f>
        <v>31.960006736666674</v>
      </c>
      <c r="AH19" s="11">
        <f>AH7*'Parc et émission'!AF$16</f>
        <v>32.124585156250006</v>
      </c>
      <c r="AI19" s="11">
        <f>AI7*'Parc et émission'!AG$16</f>
        <v>32.348158680000004</v>
      </c>
      <c r="AJ19" s="11">
        <f>AJ7*'Parc et émission'!AH$16</f>
        <v>32.490438472916679</v>
      </c>
      <c r="AK19" s="11">
        <f>AK7*'Parc et émission'!AI$16</f>
        <v>32.624753700000014</v>
      </c>
      <c r="AL19" s="11">
        <f>AL7*'Parc et émission'!AJ$16</f>
        <v>32.755230552916679</v>
      </c>
      <c r="AM19" s="11">
        <f>AM7*'Parc et émission'!AK$16</f>
        <v>32.86982866666667</v>
      </c>
    </row>
    <row r="20" spans="10:40" x14ac:dyDescent="0.25">
      <c r="J20" s="28" t="s">
        <v>334</v>
      </c>
      <c r="K20" s="122"/>
      <c r="L20" s="14">
        <f>L8*'Parc et émission'!J$16</f>
        <v>1.3550899999999999</v>
      </c>
      <c r="M20" s="14">
        <f>M8*'Parc et émission'!K$16</f>
        <v>2.2733567999999997</v>
      </c>
      <c r="N20" s="14">
        <f>N8*'Parc et émission'!L$16</f>
        <v>3.5170456666666663</v>
      </c>
      <c r="O20" s="14">
        <f>O8*'Parc et émission'!M$16</f>
        <v>4.6753344000000006</v>
      </c>
      <c r="P20" s="14">
        <f>P8*'Parc et émission'!N$16</f>
        <v>5.9065912000000012</v>
      </c>
      <c r="Q20" s="14">
        <f>Q8*'Parc et émission'!O$16</f>
        <v>7.0446393333333344</v>
      </c>
      <c r="R20" s="14">
        <f>R8*'Parc et émission'!P$16</f>
        <v>8.0886260000000032</v>
      </c>
      <c r="S20" s="14">
        <f>S8*'Parc et émission'!Q$16</f>
        <v>9.0326040000000027</v>
      </c>
      <c r="T20" s="14">
        <f>T8*'Parc et émission'!R$16</f>
        <v>10.147208894166669</v>
      </c>
      <c r="U20" s="14">
        <f>U8*'Parc et émission'!S$16</f>
        <v>11.190054031666669</v>
      </c>
      <c r="V20" s="14">
        <f>V8*'Parc et émission'!T$16</f>
        <v>12.247003256250004</v>
      </c>
      <c r="W20" s="14">
        <f>W8*'Parc et émission'!U$16</f>
        <v>13.32037130666667</v>
      </c>
      <c r="X20" s="14">
        <f>X8*'Parc et émission'!V$16</f>
        <v>14.406408093750004</v>
      </c>
      <c r="Y20" s="14">
        <f>Y8*'Parc et émission'!W$16</f>
        <v>15.197408210000004</v>
      </c>
      <c r="Z20" s="14">
        <f>Z8*'Parc et émission'!X$16</f>
        <v>15.99300755708334</v>
      </c>
      <c r="AA20" s="14">
        <f>AA8*'Parc et émission'!Y$16</f>
        <v>16.798165120000004</v>
      </c>
      <c r="AB20" s="14">
        <f>AB8*'Parc et émission'!Z$16</f>
        <v>17.491819410000005</v>
      </c>
      <c r="AC20" s="14">
        <f>AC8*'Parc et émission'!AA$16</f>
        <v>18.231877708333339</v>
      </c>
      <c r="AD20" s="14">
        <f>AD8*'Parc et émission'!AB$16</f>
        <v>18.835867948333341</v>
      </c>
      <c r="AE20" s="14">
        <f>AE8*'Parc et émission'!AC$16</f>
        <v>19.412281000000004</v>
      </c>
      <c r="AF20" s="14">
        <f>AF8*'Parc et émission'!AD$16</f>
        <v>19.910772816250006</v>
      </c>
      <c r="AG20" s="14">
        <f>AG8*'Parc et émission'!AE$16</f>
        <v>20.333151045000008</v>
      </c>
      <c r="AH20" s="14">
        <f>AH8*'Parc et émission'!AF$16</f>
        <v>20.478754375000005</v>
      </c>
      <c r="AI20" s="14">
        <f>AI8*'Parc et émission'!AG$16</f>
        <v>20.66667433333334</v>
      </c>
      <c r="AJ20" s="14">
        <f>AJ8*'Parc et émission'!AH$16</f>
        <v>20.804157502916674</v>
      </c>
      <c r="AK20" s="14">
        <f>AK8*'Parc et émission'!AI$16</f>
        <v>20.937329490000007</v>
      </c>
      <c r="AL20" s="14">
        <f>AL8*'Parc et émission'!AJ$16</f>
        <v>21.069462764166673</v>
      </c>
      <c r="AM20" s="14">
        <f>AM8*'Parc et émission'!AK$16</f>
        <v>21.192506000000005</v>
      </c>
    </row>
    <row r="21" spans="10:40" x14ac:dyDescent="0.25">
      <c r="J21" s="28" t="s">
        <v>335</v>
      </c>
      <c r="K21" s="122"/>
      <c r="L21" s="14">
        <f>L9*'Parc et émission'!J$16</f>
        <v>5.4193899999999999</v>
      </c>
      <c r="M21" s="14">
        <f>M9*'Parc et émission'!K$16</f>
        <v>6.3636767999999995</v>
      </c>
      <c r="N21" s="14">
        <f>N9*'Parc et émission'!L$16</f>
        <v>6.7226813333333331</v>
      </c>
      <c r="O21" s="14">
        <f>O9*'Parc et émission'!M$16</f>
        <v>7.0827966000000009</v>
      </c>
      <c r="P21" s="14">
        <f>P9*'Parc et émission'!N$16</f>
        <v>7.4802752000000012</v>
      </c>
      <c r="Q21" s="14">
        <f>Q9*'Parc et émission'!O$16</f>
        <v>7.8470786666666674</v>
      </c>
      <c r="R21" s="14">
        <f>R9*'Parc et émission'!P$16</f>
        <v>8.1831568000000026</v>
      </c>
      <c r="S21" s="14">
        <f>S9*'Parc et émission'!Q$16</f>
        <v>8.4366420000000026</v>
      </c>
      <c r="T21" s="14">
        <f>T9*'Parc et émission'!R$16</f>
        <v>8.8133856791666698</v>
      </c>
      <c r="U21" s="14">
        <f>U9*'Parc et émission'!S$16</f>
        <v>9.1683325650000036</v>
      </c>
      <c r="V21" s="14">
        <f>V9*'Parc et émission'!T$16</f>
        <v>9.5347020037500041</v>
      </c>
      <c r="W21" s="14">
        <f>W9*'Parc et émission'!U$16</f>
        <v>9.9149037866666685</v>
      </c>
      <c r="X21" s="14">
        <f>X9*'Parc et émission'!V$16</f>
        <v>10.306142562500003</v>
      </c>
      <c r="Y21" s="14">
        <f>Y9*'Parc et émission'!W$16</f>
        <v>10.559227050000004</v>
      </c>
      <c r="Z21" s="14">
        <f>Z9*'Parc et émission'!X$16</f>
        <v>10.81150161666667</v>
      </c>
      <c r="AA21" s="14">
        <f>AA9*'Parc et émission'!Y$16</f>
        <v>11.072289653333335</v>
      </c>
      <c r="AB21" s="14">
        <f>AB9*'Parc et émission'!Z$16</f>
        <v>11.282291133750002</v>
      </c>
      <c r="AC21" s="14">
        <f>AC9*'Parc et émission'!AA$16</f>
        <v>11.482540416666669</v>
      </c>
      <c r="AD21" s="14">
        <f>AD9*'Parc et émission'!AB$16</f>
        <v>11.622879910833337</v>
      </c>
      <c r="AE21" s="14">
        <f>AE9*'Parc et émission'!AC$16</f>
        <v>11.752457640000003</v>
      </c>
      <c r="AF21" s="14">
        <f>AF9*'Parc et émission'!AD$16</f>
        <v>11.849811871250004</v>
      </c>
      <c r="AG21" s="14">
        <f>AG9*'Parc et émission'!AE$16</f>
        <v>11.62685569166667</v>
      </c>
      <c r="AH21" s="14">
        <f>AH9*'Parc et émission'!AF$16</f>
        <v>11.645830781250003</v>
      </c>
      <c r="AI21" s="14">
        <f>AI9*'Parc et émission'!AG$16</f>
        <v>11.681484346666668</v>
      </c>
      <c r="AJ21" s="14">
        <f>AJ9*'Parc et émission'!AH$16</f>
        <v>11.686280970000002</v>
      </c>
      <c r="AK21" s="14">
        <f>AK9*'Parc et émission'!AI$16</f>
        <v>11.687424210000003</v>
      </c>
      <c r="AL21" s="14">
        <f>AL9*'Parc et émission'!AJ$16</f>
        <v>11.685767788750004</v>
      </c>
      <c r="AM21" s="14">
        <f>AM9*'Parc et émission'!AK$16</f>
        <v>11.677322666666671</v>
      </c>
    </row>
    <row r="22" spans="10:40" x14ac:dyDescent="0.25">
      <c r="J22" t="s">
        <v>121</v>
      </c>
      <c r="K22" s="122"/>
      <c r="L22" s="11">
        <f>L10*'Parc et émission'!J$16</f>
        <v>42.595609999999994</v>
      </c>
      <c r="M22" s="11">
        <f>M10*'Parc et émission'!K$16</f>
        <v>39.058489600000001</v>
      </c>
      <c r="N22" s="11">
        <f>N10*'Parc et émission'!L$16</f>
        <v>36.626534333333332</v>
      </c>
      <c r="O22" s="11">
        <f>O10*'Parc et émission'!M$16</f>
        <v>34.282373400000004</v>
      </c>
      <c r="P22" s="11">
        <f>P10*'Parc et émission'!N$16</f>
        <v>32.08204880000001</v>
      </c>
      <c r="Q22" s="11">
        <f>Q10*'Parc et émission'!O$16</f>
        <v>29.968892666666676</v>
      </c>
      <c r="R22" s="11">
        <f>R10*'Parc et émission'!P$16</f>
        <v>27.919582600000005</v>
      </c>
      <c r="S22" s="11">
        <f>S10*'Parc et émission'!Q$16</f>
        <v>25.807440000000007</v>
      </c>
      <c r="T22" s="11">
        <f>T10*'Parc et émission'!R$16</f>
        <v>24.078834836666672</v>
      </c>
      <c r="U22" s="11">
        <f>U10*'Parc et émission'!S$16</f>
        <v>22.360936566666673</v>
      </c>
      <c r="V22" s="11">
        <f>V10*'Parc et émission'!T$16</f>
        <v>20.737911783750008</v>
      </c>
      <c r="W22" s="11">
        <f>W10*'Parc et émission'!U$16</f>
        <v>19.20521269333334</v>
      </c>
      <c r="X22" s="11">
        <f>X10*'Parc et émission'!V$16</f>
        <v>17.758355812500007</v>
      </c>
      <c r="Y22" s="11">
        <f>Y10*'Parc et émission'!W$16</f>
        <v>16.315847020000007</v>
      </c>
      <c r="Z22" s="11">
        <f>Z10*'Parc et émission'!X$16</f>
        <v>14.882014922500005</v>
      </c>
      <c r="AA22" s="11">
        <f>AA10*'Parc et émission'!Y$16</f>
        <v>13.548550400000005</v>
      </c>
      <c r="AB22" s="11">
        <f>AB10*'Parc et émission'!Z$16</f>
        <v>12.274530986250003</v>
      </c>
      <c r="AC22" s="11">
        <f>AC10*'Parc et émission'!AA$16</f>
        <v>11.055079583333336</v>
      </c>
      <c r="AD22" s="11">
        <f>AD10*'Parc et émission'!AB$16</f>
        <v>9.8745052262500028</v>
      </c>
      <c r="AE22" s="11">
        <f>AE10*'Parc et émission'!AC$16</f>
        <v>8.7590880800000033</v>
      </c>
      <c r="AF22" s="11">
        <f>AF10*'Parc et émission'!AD$16</f>
        <v>7.7022531650000019</v>
      </c>
      <c r="AG22" s="11">
        <f>AG10*'Parc et émission'!AE$16</f>
        <v>7.3381868450000027</v>
      </c>
      <c r="AH22" s="11">
        <f>AH10*'Parc et émission'!AF$16</f>
        <v>6.8676742187500022</v>
      </c>
      <c r="AI22" s="11">
        <f>AI10*'Parc et émission'!AG$16</f>
        <v>6.485526026666669</v>
      </c>
      <c r="AJ22" s="11">
        <f>AJ10*'Parc et émission'!AH$16</f>
        <v>6.087828110000002</v>
      </c>
      <c r="AK22" s="11">
        <f>AK10*'Parc et émission'!AI$16</f>
        <v>5.7462763050000021</v>
      </c>
      <c r="AL22" s="11">
        <f>AL10*'Parc et émission'!AJ$16</f>
        <v>5.4633813712500023</v>
      </c>
      <c r="AM22" s="11">
        <f>AM10*'Parc et émission'!AK$16</f>
        <v>5.2206773333333354</v>
      </c>
    </row>
    <row r="23" spans="10:40" x14ac:dyDescent="0.25">
      <c r="J23" t="s">
        <v>212</v>
      </c>
      <c r="K23">
        <v>3.2</v>
      </c>
      <c r="L23" s="11">
        <f>L19*($K$23-1)</f>
        <v>14.903856000000001</v>
      </c>
      <c r="M23" s="11">
        <f t="shared" ref="M23:AM23" si="1">M19*($K$23-1)</f>
        <v>19.001473919999999</v>
      </c>
      <c r="N23" s="11">
        <f t="shared" si="1"/>
        <v>22.527399400000004</v>
      </c>
      <c r="O23" s="11">
        <f t="shared" si="1"/>
        <v>25.867888200000003</v>
      </c>
      <c r="P23" s="11">
        <f t="shared" si="1"/>
        <v>29.451106080000006</v>
      </c>
      <c r="Q23" s="11">
        <f t="shared" si="1"/>
        <v>32.761779600000004</v>
      </c>
      <c r="R23" s="11">
        <f t="shared" si="1"/>
        <v>35.799884120000016</v>
      </c>
      <c r="S23" s="11">
        <f t="shared" si="1"/>
        <v>38.430407400000014</v>
      </c>
      <c r="T23" s="11">
        <f t="shared" si="1"/>
        <v>41.71330806133335</v>
      </c>
      <c r="U23" s="11">
        <f t="shared" si="1"/>
        <v>44.788450512666685</v>
      </c>
      <c r="V23" s="11">
        <f t="shared" si="1"/>
        <v>47.919751572000017</v>
      </c>
      <c r="W23" s="11">
        <f t="shared" si="1"/>
        <v>51.117605205333348</v>
      </c>
      <c r="X23" s="11">
        <f t="shared" si="1"/>
        <v>54.369503741666691</v>
      </c>
      <c r="Y23" s="11">
        <f t="shared" si="1"/>
        <v>56.664597572000027</v>
      </c>
      <c r="Z23" s="11">
        <f t="shared" si="1"/>
        <v>58.969920182250029</v>
      </c>
      <c r="AA23" s="11">
        <f t="shared" si="1"/>
        <v>61.315000501333358</v>
      </c>
      <c r="AB23" s="11">
        <f t="shared" si="1"/>
        <v>63.303043196250023</v>
      </c>
      <c r="AC23" s="11">
        <f t="shared" si="1"/>
        <v>65.371719875000025</v>
      </c>
      <c r="AD23" s="11">
        <f t="shared" si="1"/>
        <v>67.009245290166689</v>
      </c>
      <c r="AE23" s="11">
        <f t="shared" si="1"/>
        <v>68.562425008000019</v>
      </c>
      <c r="AF23" s="11">
        <f t="shared" si="1"/>
        <v>69.871459559916701</v>
      </c>
      <c r="AG23" s="11">
        <f t="shared" si="1"/>
        <v>70.31201482066669</v>
      </c>
      <c r="AH23" s="11">
        <f t="shared" si="1"/>
        <v>70.674087343750017</v>
      </c>
      <c r="AI23" s="11">
        <f t="shared" si="1"/>
        <v>71.16594909600002</v>
      </c>
      <c r="AJ23" s="11">
        <f t="shared" si="1"/>
        <v>71.478964640416706</v>
      </c>
      <c r="AK23" s="11">
        <f t="shared" si="1"/>
        <v>71.774458140000036</v>
      </c>
      <c r="AL23" s="11">
        <f t="shared" si="1"/>
        <v>72.0615072164167</v>
      </c>
      <c r="AM23" s="11">
        <f t="shared" si="1"/>
        <v>72.313623066666679</v>
      </c>
    </row>
    <row r="25" spans="10:40" x14ac:dyDescent="0.25">
      <c r="K25" t="s">
        <v>269</v>
      </c>
      <c r="L25" s="11">
        <f>SUM(L15:L19,L22)</f>
        <v>252.64426</v>
      </c>
      <c r="M25" s="11">
        <f t="shared" ref="M25:AM25" si="2">SUM(M15:M19,M22)</f>
        <v>242.87985279999998</v>
      </c>
      <c r="N25" s="11">
        <f t="shared" si="2"/>
        <v>235.87231433333332</v>
      </c>
      <c r="O25" s="11">
        <f t="shared" si="2"/>
        <v>227.47214160000001</v>
      </c>
      <c r="P25" s="11">
        <f t="shared" si="2"/>
        <v>216.68940480000003</v>
      </c>
      <c r="Q25" s="11">
        <f t="shared" si="2"/>
        <v>208.60889600000004</v>
      </c>
      <c r="R25" s="11">
        <f t="shared" si="2"/>
        <v>201.22842740000007</v>
      </c>
      <c r="S25" s="11">
        <f t="shared" si="2"/>
        <v>193.96189800000005</v>
      </c>
      <c r="T25" s="11">
        <f t="shared" si="2"/>
        <v>187.61046218333337</v>
      </c>
      <c r="U25" s="11">
        <f t="shared" si="2"/>
        <v>181.85384592666671</v>
      </c>
      <c r="V25" s="11">
        <f t="shared" si="2"/>
        <v>176.30565502375003</v>
      </c>
      <c r="W25" s="11">
        <f t="shared" si="2"/>
        <v>170.90056256000005</v>
      </c>
      <c r="X25" s="11">
        <f t="shared" si="2"/>
        <v>165.60703258333339</v>
      </c>
      <c r="Y25" s="11">
        <f t="shared" si="2"/>
        <v>161.29069451500007</v>
      </c>
      <c r="Z25" s="11">
        <f t="shared" si="2"/>
        <v>156.56384462583338</v>
      </c>
      <c r="AA25" s="11">
        <f t="shared" si="2"/>
        <v>152.01456570666673</v>
      </c>
      <c r="AB25" s="11">
        <f t="shared" si="2"/>
        <v>147.94769500875003</v>
      </c>
      <c r="AC25" s="11">
        <f t="shared" si="2"/>
        <v>138.1506291666667</v>
      </c>
      <c r="AD25" s="11">
        <f t="shared" si="2"/>
        <v>138.38381439750003</v>
      </c>
      <c r="AE25" s="11">
        <f t="shared" si="2"/>
        <v>134.51480524000004</v>
      </c>
      <c r="AF25" s="11">
        <f t="shared" si="2"/>
        <v>131.02798075000004</v>
      </c>
      <c r="AG25" s="11">
        <f t="shared" si="2"/>
        <v>128.25252612833336</v>
      </c>
      <c r="AH25" s="11">
        <f t="shared" si="2"/>
        <v>125.66732812500003</v>
      </c>
      <c r="AI25" s="11">
        <f t="shared" si="2"/>
        <v>123.03655704000002</v>
      </c>
      <c r="AJ25" s="11">
        <f t="shared" si="2"/>
        <v>120.65057413500004</v>
      </c>
      <c r="AK25" s="11">
        <f t="shared" si="2"/>
        <v>118.32359962500004</v>
      </c>
      <c r="AL25" s="11">
        <f t="shared" si="2"/>
        <v>116.04613255583338</v>
      </c>
      <c r="AM25" s="11">
        <f t="shared" si="2"/>
        <v>113.75009400000003</v>
      </c>
    </row>
    <row r="26" spans="10:40" x14ac:dyDescent="0.25">
      <c r="K26" t="s">
        <v>270</v>
      </c>
      <c r="L26" s="11">
        <f>SUM(L15:L19,L22:L23)</f>
        <v>267.54811599999999</v>
      </c>
      <c r="M26" s="11">
        <f t="shared" ref="M26:AM26" si="3">SUM(M15:M19,M22:M23)</f>
        <v>261.88132672</v>
      </c>
      <c r="N26" s="11">
        <f t="shared" si="3"/>
        <v>258.39971373333333</v>
      </c>
      <c r="O26" s="11">
        <f t="shared" si="3"/>
        <v>253.34002980000002</v>
      </c>
      <c r="P26" s="11">
        <f t="shared" si="3"/>
        <v>246.14051088000005</v>
      </c>
      <c r="Q26" s="11">
        <f t="shared" si="3"/>
        <v>241.37067560000006</v>
      </c>
      <c r="R26" s="11">
        <f t="shared" si="3"/>
        <v>237.0283115200001</v>
      </c>
      <c r="S26" s="11">
        <f t="shared" si="3"/>
        <v>232.39230540000005</v>
      </c>
      <c r="T26" s="11">
        <f t="shared" si="3"/>
        <v>229.32377024466672</v>
      </c>
      <c r="U26" s="11">
        <f t="shared" si="3"/>
        <v>226.64229643933339</v>
      </c>
      <c r="V26" s="11">
        <f t="shared" si="3"/>
        <v>224.22540659575006</v>
      </c>
      <c r="W26" s="11">
        <f t="shared" si="3"/>
        <v>222.0181677653334</v>
      </c>
      <c r="X26" s="11">
        <f t="shared" si="3"/>
        <v>219.9765363250001</v>
      </c>
      <c r="Y26" s="11">
        <f t="shared" si="3"/>
        <v>217.95529208700009</v>
      </c>
      <c r="Z26" s="11">
        <f t="shared" si="3"/>
        <v>215.53376480808342</v>
      </c>
      <c r="AA26" s="11">
        <f t="shared" si="3"/>
        <v>213.32956620800007</v>
      </c>
      <c r="AB26" s="11">
        <f t="shared" si="3"/>
        <v>211.25073820500006</v>
      </c>
      <c r="AC26" s="11">
        <f t="shared" si="3"/>
        <v>203.52234904166673</v>
      </c>
      <c r="AD26" s="11">
        <f t="shared" si="3"/>
        <v>205.39305968766672</v>
      </c>
      <c r="AE26" s="11">
        <f t="shared" si="3"/>
        <v>203.07723024800006</v>
      </c>
      <c r="AF26" s="11">
        <f t="shared" si="3"/>
        <v>200.89944030991674</v>
      </c>
      <c r="AG26" s="11">
        <f t="shared" si="3"/>
        <v>198.56454094900005</v>
      </c>
      <c r="AH26" s="11">
        <f t="shared" si="3"/>
        <v>196.34141546875003</v>
      </c>
      <c r="AI26" s="11">
        <f t="shared" si="3"/>
        <v>194.20250613600004</v>
      </c>
      <c r="AJ26" s="11">
        <f t="shared" si="3"/>
        <v>192.12953877541673</v>
      </c>
      <c r="AK26" s="11">
        <f t="shared" si="3"/>
        <v>190.09805776500008</v>
      </c>
      <c r="AL26" s="11">
        <f t="shared" si="3"/>
        <v>188.10763977225008</v>
      </c>
      <c r="AM26" s="11">
        <f t="shared" si="3"/>
        <v>186.0637170666667</v>
      </c>
    </row>
    <row r="27" spans="10:40" x14ac:dyDescent="0.25">
      <c r="L27" s="11">
        <f>L16/L35</f>
        <v>7.4748073503260226</v>
      </c>
      <c r="M27" s="11">
        <f t="shared" ref="M27:S27" si="4">M16/M35</f>
        <v>7.3023821826280617</v>
      </c>
      <c r="N27" s="11">
        <f t="shared" si="4"/>
        <v>7.2086638335622713</v>
      </c>
      <c r="O27" s="11">
        <f t="shared" si="4"/>
        <v>7.0272043864229765</v>
      </c>
      <c r="P27" s="11">
        <f t="shared" si="4"/>
        <v>6.7222624293785325</v>
      </c>
      <c r="Q27" s="11">
        <f t="shared" si="4"/>
        <v>6.5372732146622097</v>
      </c>
      <c r="R27" s="11">
        <f t="shared" si="4"/>
        <v>6.3715962225338965</v>
      </c>
      <c r="S27" s="11">
        <f t="shared" si="4"/>
        <v>6.2087167172063014</v>
      </c>
      <c r="T27" s="11"/>
      <c r="U27" s="11"/>
      <c r="V27" s="11"/>
      <c r="W27" s="11"/>
      <c r="X27" s="11"/>
      <c r="AC27" s="43"/>
    </row>
    <row r="28" spans="10:40" x14ac:dyDescent="0.25">
      <c r="J28" s="2" t="s">
        <v>181</v>
      </c>
      <c r="AC28" s="43"/>
    </row>
    <row r="29" spans="10:40" x14ac:dyDescent="0.25">
      <c r="J29" t="s">
        <v>16</v>
      </c>
      <c r="K29" s="122" t="s">
        <v>510</v>
      </c>
      <c r="L29" s="11">
        <f>VLOOKUP($J29,output!$A$9:$AI$2200,L$1-$L$1+2)</f>
        <v>8.3170000000000002</v>
      </c>
      <c r="M29" s="11">
        <f>VLOOKUP($J29,output!$A$9:$AI$2200,M$1-$L$1+2)</f>
        <v>8.0120000000000005</v>
      </c>
      <c r="N29" s="11">
        <f>VLOOKUP($J29,output!$A$9:$AI$2200,N$1-$L$1+2)</f>
        <v>7.7679999999999998</v>
      </c>
      <c r="O29" s="11">
        <f>VLOOKUP($J29,output!$A$9:$AI$2200,O$1-$L$1+2)</f>
        <v>7.4989999999999997</v>
      </c>
      <c r="P29" s="11">
        <f>VLOOKUP($J29,output!$A$9:$AI$2200,P$1-$L$1+2)</f>
        <v>7.2409999999999997</v>
      </c>
      <c r="Q29" s="11">
        <f>VLOOKUP($J29,output!$A$9:$AI$2200,Q$1-$L$1+2)</f>
        <v>6.9640000000000004</v>
      </c>
      <c r="R29" s="11">
        <f>VLOOKUP($J29,output!$A$9:$AI$2200,R$1-$L$1+2)</f>
        <v>6.6660000000000004</v>
      </c>
      <c r="S29" s="112">
        <f>VLOOKUP($J29,output!$A$9:$AI$2200,S$1-$L$1+2)</f>
        <v>6.3319999999999999</v>
      </c>
      <c r="T29" s="11">
        <f>VLOOKUP($J29,output!$A$9:$AI$2200,T$1-$L$1+2)</f>
        <v>6.03</v>
      </c>
      <c r="U29" s="11">
        <f>VLOOKUP($J29,output!$A$9:$AI$2200,U$1-$L$1+2)</f>
        <v>5.7069999999999999</v>
      </c>
      <c r="V29" s="11">
        <f>VLOOKUP($J29,output!$A$9:$AI$2200,V$1-$L$1+2)</f>
        <v>5.3929999999999998</v>
      </c>
      <c r="W29" s="11">
        <f>VLOOKUP($J29,output!$A$9:$AI$2200,W$1-$L$1+2)</f>
        <v>5.09</v>
      </c>
      <c r="X29" s="11">
        <f>VLOOKUP($J29,output!$A$9:$AI$2200,X$1-$L$1+2)</f>
        <v>4.7949999999999999</v>
      </c>
      <c r="Y29" s="11">
        <f>VLOOKUP($J29,output!$A$9:$AI$2200,Y$1-$L$1+2)</f>
        <v>4.4969999999999999</v>
      </c>
      <c r="Z29" s="11">
        <f>VLOOKUP($J29,output!$A$9:$AI$2200,Z$1-$L$1+2)</f>
        <v>4.2130000000000001</v>
      </c>
      <c r="AA29" s="11">
        <f>VLOOKUP($J29,output!$A$9:$AI$2200,AA$1-$L$1+2)</f>
        <v>3.9380000000000002</v>
      </c>
      <c r="AB29" s="11">
        <f>VLOOKUP($J29,output!$A$9:$AI$2200,AB$1-$L$1+2)</f>
        <v>3.6669999999999998</v>
      </c>
      <c r="AC29" s="11">
        <f>VLOOKUP($J29,output!$A$9:$AI$2200,AC$1-$L$1+2)</f>
        <v>3.4039999999999999</v>
      </c>
      <c r="AD29" s="11">
        <f>VLOOKUP($J29,output!$A$9:$AI$2200,AD$1-$L$1+2)</f>
        <v>3.1360000000000001</v>
      </c>
      <c r="AE29" s="11">
        <f>VLOOKUP($J29,output!$A$9:$AI$2200,AE$1-$L$1+2)</f>
        <v>2.8719999999999999</v>
      </c>
      <c r="AF29" s="11">
        <f>VLOOKUP($J29,output!$A$9:$AI$2200,AF$1-$L$1+2)</f>
        <v>2.609</v>
      </c>
      <c r="AG29" s="11">
        <f>VLOOKUP($J29,output!$A$9:$AI$2200,AG$1-$L$1+2)</f>
        <v>2.5430000000000001</v>
      </c>
      <c r="AH29" s="11">
        <f>VLOOKUP($J29,output!$A$9:$AI$2200,AH$1-$L$1+2)</f>
        <v>2.44</v>
      </c>
      <c r="AI29" s="11">
        <f>VLOOKUP($J29,output!$A$9:$AI$2200,AI$1-$L$1+2)</f>
        <v>2.36</v>
      </c>
      <c r="AJ29" s="11">
        <f>VLOOKUP($J29,output!$A$9:$AI$2200,AJ$1-$L$1+2)</f>
        <v>2.27</v>
      </c>
      <c r="AK29" s="11">
        <f>VLOOKUP($J29,output!$A$9:$AI$2200,AK$1-$L$1+2)</f>
        <v>2.1949999999999998</v>
      </c>
      <c r="AL29" s="11">
        <f>VLOOKUP($J29,output!$A$9:$AI$2200,AL$1-$L$1+2)</f>
        <v>2.1360000000000001</v>
      </c>
      <c r="AM29" s="11">
        <f>VLOOKUP($J29,output!$A$9:$AI$2200,AM$1-$L$1+2)</f>
        <v>2.09</v>
      </c>
      <c r="AN29" t="s">
        <v>121</v>
      </c>
    </row>
    <row r="30" spans="10:40" x14ac:dyDescent="0.25">
      <c r="J30" t="s">
        <v>17</v>
      </c>
      <c r="K30" s="122"/>
      <c r="L30" s="11">
        <f>VLOOKUP($J30,output!$A$9:$AI$2200,L$1-$L$1+2)</f>
        <v>2.8959999999999999</v>
      </c>
      <c r="M30" s="11">
        <f>VLOOKUP($J30,output!$A$9:$AI$2200,M$1-$L$1+2)</f>
        <v>3.6419999999999999</v>
      </c>
      <c r="N30" s="11">
        <f>VLOOKUP($J30,output!$A$9:$AI$2200,N$1-$L$1+2)</f>
        <v>4.3680000000000003</v>
      </c>
      <c r="O30" s="11">
        <f>VLOOKUP($J30,output!$A$9:$AI$2200,O$1-$L$1+2)</f>
        <v>5.0540000000000003</v>
      </c>
      <c r="P30" s="11">
        <f>VLOOKUP($J30,output!$A$9:$AI$2200,P$1-$L$1+2)</f>
        <v>5.7990000000000004</v>
      </c>
      <c r="Q30" s="11">
        <f>VLOOKUP($J30,output!$A$9:$AI$2200,Q$1-$L$1+2)</f>
        <v>6.5110000000000001</v>
      </c>
      <c r="R30" s="11">
        <f>VLOOKUP($J30,output!$A$9:$AI$2200,R$1-$L$1+2)</f>
        <v>7.1840000000000002</v>
      </c>
      <c r="S30" s="112">
        <f>VLOOKUP($J30,output!$A$9:$AI$2200,S$1-$L$1+2)</f>
        <v>7.7560000000000002</v>
      </c>
      <c r="T30" s="11">
        <f>VLOOKUP($J30,output!$A$9:$AI$2200,T$1-$L$1+2)</f>
        <v>8.4190000000000005</v>
      </c>
      <c r="U30" s="11">
        <f>VLOOKUP($J30,output!$A$9:$AI$2200,U$1-$L$1+2)</f>
        <v>9.0389999999999997</v>
      </c>
      <c r="V30" s="11">
        <f>VLOOKUP($J30,output!$A$9:$AI$2200,V$1-$L$1+2)</f>
        <v>9.6920000000000002</v>
      </c>
      <c r="W30" s="11">
        <f>VLOOKUP($J30,output!$A$9:$AI$2200,W$1-$L$1+2)</f>
        <v>10.382</v>
      </c>
      <c r="X30" s="11">
        <f>VLOOKUP($J30,output!$A$9:$AI$2200,X$1-$L$1+2)</f>
        <v>11.106999999999999</v>
      </c>
      <c r="Y30" s="11">
        <f>VLOOKUP($J30,output!$A$9:$AI$2200,Y$1-$L$1+2)</f>
        <v>11.712999999999999</v>
      </c>
      <c r="Z30" s="11">
        <f>VLOOKUP($J30,output!$A$9:$AI$2200,Z$1-$L$1+2)</f>
        <v>12.358000000000001</v>
      </c>
      <c r="AA30" s="11">
        <f>VLOOKUP($J30,output!$A$9:$AI$2200,AA$1-$L$1+2)</f>
        <v>13.023999999999999</v>
      </c>
      <c r="AB30" s="11">
        <f>VLOOKUP($J30,output!$A$9:$AI$2200,AB$1-$L$1+2)</f>
        <v>13.643000000000001</v>
      </c>
      <c r="AC30" s="11">
        <f>VLOOKUP($J30,output!$A$9:$AI$2200,AC$1-$L$1+2)</f>
        <v>14.268000000000001</v>
      </c>
      <c r="AD30" s="11">
        <f>VLOOKUP($J30,output!$A$9:$AI$2200,AD$1-$L$1+2)</f>
        <v>14.823</v>
      </c>
      <c r="AE30" s="11">
        <f>VLOOKUP($J30,output!$A$9:$AI$2200,AE$1-$L$1+2)</f>
        <v>15.372999999999999</v>
      </c>
      <c r="AF30" s="11">
        <f>VLOOKUP($J30,output!$A$9:$AI$2200,AF$1-$L$1+2)</f>
        <v>15.882999999999999</v>
      </c>
      <c r="AG30" s="11">
        <f>VLOOKUP($J30,output!$A$9:$AI$2200,AG$1-$L$1+2)</f>
        <v>16.164000000000001</v>
      </c>
      <c r="AH30" s="11">
        <f>VLOOKUP($J30,output!$A$9:$AI$2200,AH$1-$L$1+2)</f>
        <v>16.440999999999999</v>
      </c>
      <c r="AI30" s="11">
        <f>VLOOKUP($J30,output!$A$9:$AI$2200,AI$1-$L$1+2)</f>
        <v>16.747</v>
      </c>
      <c r="AJ30" s="11">
        <f>VLOOKUP($J30,output!$A$9:$AI$2200,AJ$1-$L$1+2)</f>
        <v>17.018000000000001</v>
      </c>
      <c r="AK30" s="11">
        <f>VLOOKUP($J30,output!$A$9:$AI$2200,AK$1-$L$1+2)</f>
        <v>17.286999999999999</v>
      </c>
      <c r="AL30" s="11">
        <f>VLOOKUP($J30,output!$A$9:$AI$2200,AL$1-$L$1+2)</f>
        <v>17.553999999999998</v>
      </c>
      <c r="AM30" s="11">
        <f>VLOOKUP($J30,output!$A$9:$AI$2200,AM$1-$L$1+2)</f>
        <v>17.817</v>
      </c>
      <c r="AN30" t="s">
        <v>122</v>
      </c>
    </row>
    <row r="31" spans="10:40" x14ac:dyDescent="0.25">
      <c r="J31" s="10" t="s">
        <v>332</v>
      </c>
      <c r="K31" s="122"/>
      <c r="L31" s="14">
        <f>VLOOKUP($J31,output!$A$9:$AI$2200,L$1-$L$1+2)</f>
        <v>0.57899999999999996</v>
      </c>
      <c r="M31" s="14">
        <f>VLOOKUP($J31,output!$A$9:$AI$2200,M$1-$L$1+2)</f>
        <v>0.91300000000000003</v>
      </c>
      <c r="N31" s="14">
        <f>VLOOKUP($J31,output!$A$9:$AI$2200,N$1-$L$1+2)</f>
        <v>1.39</v>
      </c>
      <c r="O31" s="14">
        <f>VLOOKUP($J31,output!$A$9:$AI$2200,O$1-$L$1+2)</f>
        <v>1.8360000000000001</v>
      </c>
      <c r="P31" s="14">
        <f>VLOOKUP($J31,output!$A$9:$AI$2200,P$1-$L$1+2)</f>
        <v>2.3220000000000001</v>
      </c>
      <c r="Q31" s="14">
        <f>VLOOKUP($J31,output!$A$9:$AI$2200,Q$1-$L$1+2)</f>
        <v>2.782</v>
      </c>
      <c r="R31" s="14">
        <f>VLOOKUP($J31,output!$A$9:$AI$2200,R$1-$L$1+2)</f>
        <v>3.2120000000000002</v>
      </c>
      <c r="S31" s="14">
        <f>VLOOKUP($J31,output!$A$9:$AI$2200,S$1-$L$1+2)</f>
        <v>3.601</v>
      </c>
      <c r="T31" s="14">
        <f>VLOOKUP($J31,output!$A$9:$AI$2200,T$1-$L$1+2)</f>
        <v>4.0529999999999999</v>
      </c>
      <c r="U31" s="14">
        <f>VLOOKUP($J31,output!$A$9:$AI$2200,U$1-$L$1+2)</f>
        <v>4.4729999999999999</v>
      </c>
      <c r="V31" s="14">
        <f>VLOOKUP($J31,output!$A$9:$AI$2200,V$1-$L$1+2)</f>
        <v>4.9130000000000003</v>
      </c>
      <c r="W31" s="14">
        <f>VLOOKUP($J31,output!$A$9:$AI$2200,W$1-$L$1+2)</f>
        <v>5.3780000000000001</v>
      </c>
      <c r="X31" s="14">
        <f>VLOOKUP($J31,output!$A$9:$AI$2200,X$1-$L$1+2)</f>
        <v>5.8659999999999997</v>
      </c>
      <c r="Y31" s="14">
        <f>VLOOKUP($J31,output!$A$9:$AI$2200,Y$1-$L$1+2)</f>
        <v>6.2729999999999997</v>
      </c>
      <c r="Z31" s="14">
        <f>VLOOKUP($J31,output!$A$9:$AI$2200,Z$1-$L$1+2)</f>
        <v>6.7069999999999999</v>
      </c>
      <c r="AA31" s="14">
        <f>VLOOKUP($J31,output!$A$9:$AI$2200,AA$1-$L$1+2)</f>
        <v>7.1559999999999997</v>
      </c>
      <c r="AB31" s="14">
        <f>VLOOKUP($J31,output!$A$9:$AI$2200,AB$1-$L$1+2)</f>
        <v>7.5739999999999998</v>
      </c>
      <c r="AC31" s="14">
        <f>VLOOKUP($J31,output!$A$9:$AI$2200,AC$1-$L$1+2)</f>
        <v>8.0190000000000001</v>
      </c>
      <c r="AD31" s="14">
        <f>VLOOKUP($J31,output!$A$9:$AI$2200,AD$1-$L$1+2)</f>
        <v>8.4169999999999998</v>
      </c>
      <c r="AE31" s="14">
        <f>VLOOKUP($J31,output!$A$9:$AI$2200,AE$1-$L$1+2)</f>
        <v>8.8109999999999999</v>
      </c>
      <c r="AF31" s="14">
        <f>VLOOKUP($J31,output!$A$9:$AI$2200,AF$1-$L$1+2)</f>
        <v>9.1769999999999996</v>
      </c>
      <c r="AG31" s="14">
        <f>VLOOKUP($J31,output!$A$9:$AI$2200,AG$1-$L$1+2)</f>
        <v>9.48</v>
      </c>
      <c r="AH31" s="14">
        <f>VLOOKUP($J31,output!$A$9:$AI$2200,AH$1-$L$1+2)</f>
        <v>9.6649999999999991</v>
      </c>
      <c r="AI31" s="14">
        <f>VLOOKUP($J31,output!$A$9:$AI$2200,AI$1-$L$1+2)</f>
        <v>9.8699999999999992</v>
      </c>
      <c r="AJ31" s="14">
        <f>VLOOKUP($J31,output!$A$9:$AI$2200,AJ$1-$L$1+2)</f>
        <v>10.055</v>
      </c>
      <c r="AK31" s="14">
        <f>VLOOKUP($J31,output!$A$9:$AI$2200,AK$1-$L$1+2)</f>
        <v>10.238</v>
      </c>
      <c r="AL31" s="14">
        <f>VLOOKUP($J31,output!$A$9:$AI$2200,AL$1-$L$1+2)</f>
        <v>10.420999999999999</v>
      </c>
      <c r="AM31" s="14">
        <f>VLOOKUP($J31,output!$A$9:$AI$2200,AM$1-$L$1+2)</f>
        <v>10.601000000000001</v>
      </c>
      <c r="AN31" s="29" t="s">
        <v>334</v>
      </c>
    </row>
    <row r="32" spans="10:40" x14ac:dyDescent="0.25">
      <c r="J32" s="10" t="s">
        <v>318</v>
      </c>
      <c r="K32" s="122"/>
      <c r="L32" s="14">
        <f>VLOOKUP($J32,output!$A$9:$AI$2200,L$1-$L$1+2)</f>
        <v>2.3170000000000002</v>
      </c>
      <c r="M32" s="14">
        <f>VLOOKUP($J32,output!$A$9:$AI$2200,M$1-$L$1+2)</f>
        <v>2.7290000000000001</v>
      </c>
      <c r="N32" s="14">
        <f>VLOOKUP($J32,output!$A$9:$AI$2200,N$1-$L$1+2)</f>
        <v>2.9780000000000002</v>
      </c>
      <c r="O32" s="14">
        <f>VLOOKUP($J32,output!$A$9:$AI$2200,O$1-$L$1+2)</f>
        <v>3.218</v>
      </c>
      <c r="P32" s="14">
        <f>VLOOKUP($J32,output!$A$9:$AI$2200,P$1-$L$1+2)</f>
        <v>3.4769999999999999</v>
      </c>
      <c r="Q32" s="14">
        <f>VLOOKUP($J32,output!$A$9:$AI$2200,Q$1-$L$1+2)</f>
        <v>3.7290000000000001</v>
      </c>
      <c r="R32" s="14">
        <f>VLOOKUP($J32,output!$A$9:$AI$2200,R$1-$L$1+2)</f>
        <v>3.972</v>
      </c>
      <c r="S32" s="14">
        <f>VLOOKUP($J32,output!$A$9:$AI$2200,S$1-$L$1+2)</f>
        <v>4.1550000000000002</v>
      </c>
      <c r="T32" s="14">
        <f>VLOOKUP($J32,output!$A$9:$AI$2200,T$1-$L$1+2)</f>
        <v>4.3650000000000002</v>
      </c>
      <c r="U32" s="14">
        <f>VLOOKUP($J32,output!$A$9:$AI$2200,U$1-$L$1+2)</f>
        <v>4.5659999999999998</v>
      </c>
      <c r="V32" s="14">
        <f>VLOOKUP($J32,output!$A$9:$AI$2200,V$1-$L$1+2)</f>
        <v>4.7779999999999996</v>
      </c>
      <c r="W32" s="14">
        <f>VLOOKUP($J32,output!$A$9:$AI$2200,W$1-$L$1+2)</f>
        <v>5.0030000000000001</v>
      </c>
      <c r="X32" s="14">
        <f>VLOOKUP($J32,output!$A$9:$AI$2200,X$1-$L$1+2)</f>
        <v>5.2409999999999997</v>
      </c>
      <c r="Y32" s="14">
        <f>VLOOKUP($J32,output!$A$9:$AI$2200,Y$1-$L$1+2)</f>
        <v>5.44</v>
      </c>
      <c r="Z32" s="14">
        <f>VLOOKUP($J32,output!$A$9:$AI$2200,Z$1-$L$1+2)</f>
        <v>5.6509999999999998</v>
      </c>
      <c r="AA32" s="14">
        <f>VLOOKUP($J32,output!$A$9:$AI$2200,AA$1-$L$1+2)</f>
        <v>5.8680000000000003</v>
      </c>
      <c r="AB32" s="14">
        <f>VLOOKUP($J32,output!$A$9:$AI$2200,AB$1-$L$1+2)</f>
        <v>6.069</v>
      </c>
      <c r="AC32" s="14">
        <f>VLOOKUP($J32,output!$A$9:$AI$2200,AC$1-$L$1+2)</f>
        <v>6.2489999999999997</v>
      </c>
      <c r="AD32" s="14">
        <f>VLOOKUP($J32,output!$A$9:$AI$2200,AD$1-$L$1+2)</f>
        <v>6.4059999999999997</v>
      </c>
      <c r="AE32" s="14">
        <f>VLOOKUP($J32,output!$A$9:$AI$2200,AE$1-$L$1+2)</f>
        <v>6.5620000000000003</v>
      </c>
      <c r="AF32" s="14">
        <f>VLOOKUP($J32,output!$A$9:$AI$2200,AF$1-$L$1+2)</f>
        <v>6.7050000000000001</v>
      </c>
      <c r="AG32" s="14">
        <f>VLOOKUP($J32,output!$A$9:$AI$2200,AG$1-$L$1+2)</f>
        <v>6.6840000000000002</v>
      </c>
      <c r="AH32" s="14">
        <f>VLOOKUP($J32,output!$A$9:$AI$2200,AH$1-$L$1+2)</f>
        <v>6.7759999999999998</v>
      </c>
      <c r="AI32" s="14">
        <f>VLOOKUP($J32,output!$A$9:$AI$2200,AI$1-$L$1+2)</f>
        <v>6.8760000000000003</v>
      </c>
      <c r="AJ32" s="14">
        <f>VLOOKUP($J32,output!$A$9:$AI$2200,AJ$1-$L$1+2)</f>
        <v>6.9630000000000001</v>
      </c>
      <c r="AK32" s="14">
        <f>VLOOKUP($J32,output!$A$9:$AI$2200,AK$1-$L$1+2)</f>
        <v>7.0490000000000004</v>
      </c>
      <c r="AL32" s="14">
        <f>VLOOKUP($J32,output!$A$9:$AI$2200,AL$1-$L$1+2)</f>
        <v>7.133</v>
      </c>
      <c r="AM32" s="14">
        <f>VLOOKUP($J32,output!$A$9:$AI$2200,AM$1-$L$1+2)</f>
        <v>7.2160000000000002</v>
      </c>
      <c r="AN32" s="29" t="s">
        <v>335</v>
      </c>
    </row>
    <row r="33" spans="2:40" x14ac:dyDescent="0.25">
      <c r="J33" t="s">
        <v>18</v>
      </c>
      <c r="K33" s="122"/>
      <c r="L33" s="11">
        <f>VLOOKUP($J33,output!$A$9:$AI$2200,L$1-$L$1+2)</f>
        <v>3.0489999999999999</v>
      </c>
      <c r="M33" s="11">
        <f>VLOOKUP($J33,output!$A$9:$AI$2200,M$1-$L$1+2)</f>
        <v>2.7879999999999998</v>
      </c>
      <c r="N33" s="11">
        <f>VLOOKUP($J33,output!$A$9:$AI$2200,N$1-$L$1+2)</f>
        <v>2.528</v>
      </c>
      <c r="O33" s="11">
        <f>VLOOKUP($J33,output!$A$9:$AI$2200,O$1-$L$1+2)</f>
        <v>2.27</v>
      </c>
      <c r="P33" s="11">
        <f>VLOOKUP($J33,output!$A$9:$AI$2200,P$1-$L$1+2)</f>
        <v>2.0129999999999999</v>
      </c>
      <c r="Q33" s="11">
        <f>VLOOKUP($J33,output!$A$9:$AI$2200,Q$1-$L$1+2)</f>
        <v>1.758</v>
      </c>
      <c r="R33" s="11">
        <f>VLOOKUP($J33,output!$A$9:$AI$2200,R$1-$L$1+2)</f>
        <v>1.504</v>
      </c>
      <c r="S33" s="112">
        <f>VLOOKUP($J33,output!$A$9:$AI$2200,S$1-$L$1+2)</f>
        <v>1.2509999999999999</v>
      </c>
      <c r="T33" s="11">
        <f>VLOOKUP($J33,output!$A$9:$AI$2200,T$1-$L$1+2)</f>
        <v>0.999</v>
      </c>
      <c r="U33" s="11">
        <f>VLOOKUP($J33,output!$A$9:$AI$2200,U$1-$L$1+2)</f>
        <v>0.748</v>
      </c>
      <c r="V33" s="11">
        <f>VLOOKUP($J33,output!$A$9:$AI$2200,V$1-$L$1+2)</f>
        <v>0.497</v>
      </c>
      <c r="W33" s="11">
        <f>VLOOKUP($J33,output!$A$9:$AI$2200,W$1-$L$1+2)</f>
        <v>0.248</v>
      </c>
      <c r="X33" s="11">
        <f>VLOOKUP($J33,output!$A$9:$AI$2200,X$1-$L$1+2)</f>
        <v>0</v>
      </c>
      <c r="Y33" s="11">
        <f>VLOOKUP($J33,output!$A$9:$AI$2200,Y$1-$L$1+2)</f>
        <v>0</v>
      </c>
      <c r="Z33" s="11">
        <f>VLOOKUP($J33,output!$A$9:$AI$2200,Z$1-$L$1+2)</f>
        <v>0</v>
      </c>
      <c r="AA33" s="11">
        <f>VLOOKUP($J33,output!$A$9:$AI$2200,AA$1-$L$1+2)</f>
        <v>0</v>
      </c>
      <c r="AB33" s="11">
        <f>VLOOKUP($J33,output!$A$9:$AI$2200,AB$1-$L$1+2)</f>
        <v>0</v>
      </c>
      <c r="AC33" s="11">
        <f>VLOOKUP($J33,output!$A$9:$AI$2200,AC$1-$L$1+2)</f>
        <v>0</v>
      </c>
      <c r="AD33" s="11">
        <f>VLOOKUP($J33,output!$A$9:$AI$2200,AD$1-$L$1+2)</f>
        <v>0</v>
      </c>
      <c r="AE33" s="11">
        <f>VLOOKUP($J33,output!$A$9:$AI$2200,AE$1-$L$1+2)</f>
        <v>0</v>
      </c>
      <c r="AF33" s="11">
        <f>VLOOKUP($J33,output!$A$9:$AI$2200,AF$1-$L$1+2)</f>
        <v>0</v>
      </c>
      <c r="AG33" s="11">
        <f>VLOOKUP($J33,output!$A$9:$AI$2200,AG$1-$L$1+2)</f>
        <v>0</v>
      </c>
      <c r="AH33" s="11">
        <f>VLOOKUP($J33,output!$A$9:$AI$2200,AH$1-$L$1+2)</f>
        <v>0</v>
      </c>
      <c r="AI33" s="11">
        <f>VLOOKUP($J33,output!$A$9:$AI$2200,AI$1-$L$1+2)</f>
        <v>0</v>
      </c>
      <c r="AJ33" s="11">
        <f>VLOOKUP($J33,output!$A$9:$AI$2200,AJ$1-$L$1+2)</f>
        <v>0</v>
      </c>
      <c r="AK33" s="11">
        <f>VLOOKUP($J33,output!$A$9:$AI$2200,AK$1-$L$1+2)</f>
        <v>0</v>
      </c>
      <c r="AL33" s="11">
        <f>VLOOKUP($J33,output!$A$9:$AI$2200,AL$1-$L$1+2)</f>
        <v>0</v>
      </c>
      <c r="AM33" s="11">
        <f>VLOOKUP($J33,output!$A$9:$AI$2200,AM$1-$L$1+2)</f>
        <v>0</v>
      </c>
      <c r="AN33" t="s">
        <v>119</v>
      </c>
    </row>
    <row r="34" spans="2:40" x14ac:dyDescent="0.25">
      <c r="J34" t="s">
        <v>19</v>
      </c>
      <c r="K34" s="122"/>
      <c r="L34" s="11">
        <f>VLOOKUP($J34,output!$A$9:$AI$2200,L$1-$L$1+2)</f>
        <v>2.7330000000000001</v>
      </c>
      <c r="M34" s="11">
        <f>VLOOKUP($J34,output!$A$9:$AI$2200,M$1-$L$1+2)</f>
        <v>2.7629999999999999</v>
      </c>
      <c r="N34" s="11">
        <f>VLOOKUP($J34,output!$A$9:$AI$2200,N$1-$L$1+2)</f>
        <v>2.782</v>
      </c>
      <c r="O34" s="11">
        <f>VLOOKUP($J34,output!$A$9:$AI$2200,O$1-$L$1+2)</f>
        <v>2.8</v>
      </c>
      <c r="P34" s="11">
        <f>VLOOKUP($J34,output!$A$9:$AI$2200,P$1-$L$1+2)</f>
        <v>2.82</v>
      </c>
      <c r="Q34" s="11">
        <f>VLOOKUP($J34,output!$A$9:$AI$2200,Q$1-$L$1+2)</f>
        <v>2.84</v>
      </c>
      <c r="R34" s="11">
        <f>VLOOKUP($J34,output!$A$9:$AI$2200,R$1-$L$1+2)</f>
        <v>2.86</v>
      </c>
      <c r="S34" s="112">
        <f>VLOOKUP($J34,output!$A$9:$AI$2200,S$1-$L$1+2)</f>
        <v>2.8759999999999999</v>
      </c>
      <c r="T34" s="11">
        <f>VLOOKUP($J34,output!$A$9:$AI$2200,T$1-$L$1+2)</f>
        <v>2.8929999999999998</v>
      </c>
      <c r="U34" s="11">
        <f>VLOOKUP($J34,output!$A$9:$AI$2200,U$1-$L$1+2)</f>
        <v>2.91</v>
      </c>
      <c r="V34" s="11">
        <f>VLOOKUP($J34,output!$A$9:$AI$2200,V$1-$L$1+2)</f>
        <v>2.927</v>
      </c>
      <c r="W34" s="11">
        <f>VLOOKUP($J34,output!$A$9:$AI$2200,W$1-$L$1+2)</f>
        <v>2.944</v>
      </c>
      <c r="X34" s="11">
        <f>VLOOKUP($J34,output!$A$9:$AI$2200,X$1-$L$1+2)</f>
        <v>2.9620000000000002</v>
      </c>
      <c r="Y34" s="11">
        <f>VLOOKUP($J34,output!$A$9:$AI$2200,Y$1-$L$1+2)</f>
        <v>2.9750000000000001</v>
      </c>
      <c r="Z34" s="11">
        <f>VLOOKUP($J34,output!$A$9:$AI$2200,Z$1-$L$1+2)</f>
        <v>2.988</v>
      </c>
      <c r="AA34" s="11">
        <f>VLOOKUP($J34,output!$A$9:$AI$2200,AA$1-$L$1+2)</f>
        <v>3.0019999999999998</v>
      </c>
      <c r="AB34" s="11">
        <f>VLOOKUP($J34,output!$A$9:$AI$2200,AB$1-$L$1+2)</f>
        <v>3.0139999999999998</v>
      </c>
      <c r="AC34" s="11">
        <f>VLOOKUP($J34,output!$A$9:$AI$2200,AC$1-$L$1+2)</f>
        <v>3.024</v>
      </c>
      <c r="AD34" s="11">
        <f>VLOOKUP($J34,output!$A$9:$AI$2200,AD$1-$L$1+2)</f>
        <v>3.0310000000000001</v>
      </c>
      <c r="AE34" s="11">
        <f>VLOOKUP($J34,output!$A$9:$AI$2200,AE$1-$L$1+2)</f>
        <v>3.0390000000000001</v>
      </c>
      <c r="AF34" s="11">
        <f>VLOOKUP($J34,output!$A$9:$AI$2200,AF$1-$L$1+2)</f>
        <v>3.0449999999999999</v>
      </c>
      <c r="AG34" s="11">
        <f>VLOOKUP($J34,output!$A$9:$AI$2200,AG$1-$L$1+2)</f>
        <v>3.0449999999999999</v>
      </c>
      <c r="AH34" s="11">
        <f>VLOOKUP($J34,output!$A$9:$AI$2200,AH$1-$L$1+2)</f>
        <v>3.0449999999999999</v>
      </c>
      <c r="AI34" s="11">
        <f>VLOOKUP($J34,output!$A$9:$AI$2200,AI$1-$L$1+2)</f>
        <v>3.0449999999999999</v>
      </c>
      <c r="AJ34" s="11">
        <f>VLOOKUP($J34,output!$A$9:$AI$2200,AJ$1-$L$1+2)</f>
        <v>3.044</v>
      </c>
      <c r="AK34" s="11">
        <f>VLOOKUP($J34,output!$A$9:$AI$2200,AK$1-$L$1+2)</f>
        <v>3.0430000000000001</v>
      </c>
      <c r="AL34" s="11">
        <f>VLOOKUP($J34,output!$A$9:$AI$2200,AL$1-$L$1+2)</f>
        <v>3.0419999999999998</v>
      </c>
      <c r="AM34" s="11">
        <f>VLOOKUP($J34,output!$A$9:$AI$2200,AM$1-$L$1+2)</f>
        <v>3.0390000000000001</v>
      </c>
      <c r="AN34" t="s">
        <v>120</v>
      </c>
    </row>
    <row r="35" spans="2:40" x14ac:dyDescent="0.25">
      <c r="B35" t="s">
        <v>276</v>
      </c>
      <c r="C35" t="s">
        <v>277</v>
      </c>
      <c r="J35" t="s">
        <v>20</v>
      </c>
      <c r="K35" s="122"/>
      <c r="L35" s="11">
        <f>VLOOKUP($J35,output!$A$9:$AI$2200,L$1-$L$1+2)</f>
        <v>11.808999999999999</v>
      </c>
      <c r="M35" s="11">
        <f>VLOOKUP($J35,output!$A$9:$AI$2200,M$1-$L$1+2)</f>
        <v>11.673999999999999</v>
      </c>
      <c r="N35" s="11">
        <f>VLOOKUP($J35,output!$A$9:$AI$2200,N$1-$L$1+2)</f>
        <v>11.648</v>
      </c>
      <c r="O35" s="11">
        <f>VLOOKUP($J35,output!$A$9:$AI$2200,O$1-$L$1+2)</f>
        <v>11.49</v>
      </c>
      <c r="P35" s="11">
        <f>VLOOKUP($J35,output!$A$9:$AI$2200,P$1-$L$1+2)</f>
        <v>11.327999999999999</v>
      </c>
      <c r="Q35" s="11">
        <f>VLOOKUP($J35,output!$A$9:$AI$2200,Q$1-$L$1+2)</f>
        <v>11.067</v>
      </c>
      <c r="R35" s="11">
        <f>VLOOKUP($J35,output!$A$9:$AI$2200,R$1-$L$1+2)</f>
        <v>10.695</v>
      </c>
      <c r="S35" s="112">
        <f>VLOOKUP($J35,output!$A$9:$AI$2200,S$1-$L$1+2)</f>
        <v>10.223000000000001</v>
      </c>
      <c r="T35" s="11">
        <f>VLOOKUP($J35,output!$A$9:$AI$2200,T$1-$L$1+2)</f>
        <v>9.8780000000000001</v>
      </c>
      <c r="U35" s="11">
        <f>VLOOKUP($J35,output!$A$9:$AI$2200,U$1-$L$1+2)</f>
        <v>9.4220000000000006</v>
      </c>
      <c r="V35" s="11">
        <f>VLOOKUP($J35,output!$A$9:$AI$2200,V$1-$L$1+2)</f>
        <v>8.9879999999999995</v>
      </c>
      <c r="W35" s="11">
        <f>VLOOKUP($J35,output!$A$9:$AI$2200,W$1-$L$1+2)</f>
        <v>8.5860000000000003</v>
      </c>
      <c r="X35" s="11">
        <f>VLOOKUP($J35,output!$A$9:$AI$2200,X$1-$L$1+2)</f>
        <v>8.2080000000000002</v>
      </c>
      <c r="Y35" s="11">
        <f>VLOOKUP($J35,output!$A$9:$AI$2200,Y$1-$L$1+2)</f>
        <v>7.7720000000000002</v>
      </c>
      <c r="Z35" s="11">
        <f>VLOOKUP($J35,output!$A$9:$AI$2200,Z$1-$L$1+2)</f>
        <v>7.3810000000000002</v>
      </c>
      <c r="AA35" s="11">
        <f>VLOOKUP($J35,output!$A$9:$AI$2200,AA$1-$L$1+2)</f>
        <v>7.01</v>
      </c>
      <c r="AB35" s="11">
        <f>VLOOKUP($J35,output!$A$9:$AI$2200,AB$1-$L$1+2)</f>
        <v>6.7350000000000003</v>
      </c>
      <c r="AC35" s="11">
        <f>VLOOKUP($J35,output!$A$9:$AI$2200,AC$1-$L$1+2)</f>
        <v>6.4119999999999999</v>
      </c>
      <c r="AD35" s="11">
        <f>VLOOKUP($J35,output!$A$9:$AI$2200,AD$1-$L$1+2)</f>
        <v>6.1360000000000001</v>
      </c>
      <c r="AE35" s="11">
        <f>VLOOKUP($J35,output!$A$9:$AI$2200,AE$1-$L$1+2)</f>
        <v>5.8620000000000001</v>
      </c>
      <c r="AF35" s="11">
        <f>VLOOKUP($J35,output!$A$9:$AI$2200,AF$1-$L$1+2)</f>
        <v>5.6280000000000001</v>
      </c>
      <c r="AG35" s="11">
        <f>VLOOKUP($J35,output!$A$9:$AI$2200,AG$1-$L$1+2)</f>
        <v>5.4329999999999998</v>
      </c>
      <c r="AH35" s="11">
        <f>VLOOKUP($J35,output!$A$9:$AI$2200,AH$1-$L$1+2)</f>
        <v>5.28</v>
      </c>
      <c r="AI35" s="11">
        <f>VLOOKUP($J35,output!$A$9:$AI$2200,AI$1-$L$1+2)</f>
        <v>5.0750000000000002</v>
      </c>
      <c r="AJ35" s="11">
        <f>VLOOKUP($J35,output!$A$9:$AI$2200,AJ$1-$L$1+2)</f>
        <v>4.915</v>
      </c>
      <c r="AK35" s="11">
        <f>VLOOKUP($J35,output!$A$9:$AI$2200,AK$1-$L$1+2)</f>
        <v>4.7439999999999998</v>
      </c>
      <c r="AL35" s="11">
        <f>VLOOKUP($J35,output!$A$9:$AI$2200,AL$1-$L$1+2)</f>
        <v>4.5590000000000002</v>
      </c>
      <c r="AM35" s="11">
        <f>VLOOKUP($J35,output!$A$9:$AI$2200,AM$1-$L$1+2)</f>
        <v>4.3620000000000001</v>
      </c>
      <c r="AN35" t="s">
        <v>118</v>
      </c>
    </row>
    <row r="36" spans="2:40" x14ac:dyDescent="0.25">
      <c r="J36" t="s">
        <v>21</v>
      </c>
      <c r="K36" s="122"/>
      <c r="L36" s="11">
        <f>VLOOKUP($J36,output!$A$9:$AI$2200,L$1-$L$1+2)</f>
        <v>1.421</v>
      </c>
      <c r="M36" s="11">
        <f>VLOOKUP($J36,output!$A$9:$AI$2200,M$1-$L$1+2)</f>
        <v>1.5649999999999999</v>
      </c>
      <c r="N36" s="11">
        <f>VLOOKUP($J36,output!$A$9:$AI$2200,N$1-$L$1+2)</f>
        <v>1.619</v>
      </c>
      <c r="O36" s="11">
        <f>VLOOKUP($J36,output!$A$9:$AI$2200,O$1-$L$1+2)</f>
        <v>1.8680000000000001</v>
      </c>
      <c r="P36" s="11">
        <f>VLOOKUP($J36,output!$A$9:$AI$2200,P$1-$L$1+2)</f>
        <v>2.0470000000000002</v>
      </c>
      <c r="Q36" s="11">
        <f>VLOOKUP($J36,output!$A$9:$AI$2200,Q$1-$L$1+2)</f>
        <v>2.375</v>
      </c>
      <c r="R36" s="11">
        <f>VLOOKUP($J36,output!$A$9:$AI$2200,R$1-$L$1+2)</f>
        <v>2.8740000000000001</v>
      </c>
      <c r="S36" s="112">
        <f>VLOOKUP($J36,output!$A$9:$AI$2200,S$1-$L$1+2)</f>
        <v>3.5219999999999998</v>
      </c>
      <c r="T36" s="11">
        <f>VLOOKUP($J36,output!$A$9:$AI$2200,T$1-$L$1+2)</f>
        <v>3.919</v>
      </c>
      <c r="U36" s="11">
        <f>VLOOKUP($J36,output!$A$9:$AI$2200,U$1-$L$1+2)</f>
        <v>4.4909999999999997</v>
      </c>
      <c r="V36" s="11">
        <f>VLOOKUP($J36,output!$A$9:$AI$2200,V$1-$L$1+2)</f>
        <v>4.9969999999999999</v>
      </c>
      <c r="W36" s="11">
        <f>VLOOKUP($J36,output!$A$9:$AI$2200,W$1-$L$1+2)</f>
        <v>5.4219999999999997</v>
      </c>
      <c r="X36" s="11">
        <f>VLOOKUP($J36,output!$A$9:$AI$2200,X$1-$L$1+2)</f>
        <v>5.7770000000000001</v>
      </c>
      <c r="Y36" s="11">
        <f>VLOOKUP($J36,output!$A$9:$AI$2200,Y$1-$L$1+2)</f>
        <v>6.07</v>
      </c>
      <c r="Z36" s="11">
        <f>VLOOKUP($J36,output!$A$9:$AI$2200,Z$1-$L$1+2)</f>
        <v>6.2629999999999999</v>
      </c>
      <c r="AA36" s="11">
        <f>VLOOKUP($J36,output!$A$9:$AI$2200,AA$1-$L$1+2)</f>
        <v>6.4059999999999997</v>
      </c>
      <c r="AB36" s="11">
        <f>VLOOKUP($J36,output!$A$9:$AI$2200,AB$1-$L$1+2)</f>
        <v>6.4980000000000002</v>
      </c>
      <c r="AC36" s="11">
        <f>VLOOKUP($J36,output!$A$9:$AI$2200,AC$1-$L$1+2)</f>
        <v>6.4989999999999997</v>
      </c>
      <c r="AD36" s="11">
        <f>VLOOKUP($J36,output!$A$9:$AI$2200,AD$1-$L$1+2)</f>
        <v>6.53</v>
      </c>
      <c r="AE36" s="11">
        <f>VLOOKUP($J36,output!$A$9:$AI$2200,AE$1-$L$1+2)</f>
        <v>6.56</v>
      </c>
      <c r="AF36" s="11">
        <f>VLOOKUP($J36,output!$A$9:$AI$2200,AF$1-$L$1+2)</f>
        <v>6.59</v>
      </c>
      <c r="AG36" s="11">
        <f>VLOOKUP($J36,output!$A$9:$AI$2200,AG$1-$L$1+2)</f>
        <v>6.6189999999999998</v>
      </c>
      <c r="AH36" s="11">
        <f>VLOOKUP($J36,output!$A$9:$AI$2200,AH$1-$L$1+2)</f>
        <v>6.6479999999999997</v>
      </c>
      <c r="AI36" s="11">
        <f>VLOOKUP($J36,output!$A$9:$AI$2200,AI$1-$L$1+2)</f>
        <v>6.6760000000000002</v>
      </c>
      <c r="AJ36" s="11">
        <f>VLOOKUP($J36,output!$A$9:$AI$2200,AJ$1-$L$1+2)</f>
        <v>6.7039999999999997</v>
      </c>
      <c r="AK36" s="11">
        <f>VLOOKUP($J36,output!$A$9:$AI$2200,AK$1-$L$1+2)</f>
        <v>6.7320000000000002</v>
      </c>
      <c r="AL36" s="11">
        <f>VLOOKUP($J36,output!$A$9:$AI$2200,AL$1-$L$1+2)</f>
        <v>6.7590000000000003</v>
      </c>
      <c r="AM36" s="11">
        <f>VLOOKUP($J36,output!$A$9:$AI$2200,AM$1-$L$1+2)</f>
        <v>6.7839999999999998</v>
      </c>
      <c r="AN36" t="s">
        <v>117</v>
      </c>
    </row>
    <row r="37" spans="2:40" x14ac:dyDescent="0.25">
      <c r="L37" s="3"/>
      <c r="M37" s="11"/>
      <c r="N37" s="11"/>
      <c r="O37" s="11"/>
      <c r="P37" s="11"/>
      <c r="Q37" s="11"/>
      <c r="R37" s="11"/>
      <c r="S37" s="26"/>
      <c r="T37" s="11"/>
      <c r="U37" s="11"/>
      <c r="V37" s="11"/>
      <c r="W37" s="11"/>
      <c r="X37" s="67"/>
      <c r="Y37" s="11"/>
      <c r="Z37" s="11"/>
      <c r="AA37" s="11"/>
      <c r="AB37" s="11"/>
      <c r="AC37" s="68"/>
      <c r="AD37" s="11"/>
      <c r="AE37" s="11"/>
      <c r="AF37" s="11"/>
      <c r="AG37" s="11"/>
      <c r="AH37" s="11"/>
      <c r="AI37" s="11"/>
      <c r="AJ37" s="11"/>
      <c r="AK37" s="11"/>
      <c r="AL37" s="11"/>
      <c r="AM37" s="3">
        <f>AM35/L35-1</f>
        <v>-0.6306207130154966</v>
      </c>
    </row>
    <row r="38" spans="2:40" x14ac:dyDescent="0.25">
      <c r="K38" t="s">
        <v>194</v>
      </c>
      <c r="M38">
        <f t="shared" ref="M38:AM38" si="5">(M36-L36)*1000</f>
        <v>143.99999999999991</v>
      </c>
      <c r="N38">
        <f t="shared" si="5"/>
        <v>54.00000000000005</v>
      </c>
      <c r="O38">
        <f t="shared" si="5"/>
        <v>249.00000000000011</v>
      </c>
      <c r="P38">
        <f t="shared" si="5"/>
        <v>179.00000000000006</v>
      </c>
      <c r="Q38">
        <f t="shared" si="5"/>
        <v>327.99999999999983</v>
      </c>
      <c r="R38">
        <f t="shared" si="5"/>
        <v>499.00000000000011</v>
      </c>
      <c r="S38">
        <f t="shared" si="5"/>
        <v>647.99999999999966</v>
      </c>
      <c r="U38">
        <f t="shared" si="5"/>
        <v>571.99999999999966</v>
      </c>
      <c r="V38">
        <f t="shared" si="5"/>
        <v>506.00000000000023</v>
      </c>
      <c r="W38">
        <f t="shared" si="5"/>
        <v>424.99999999999983</v>
      </c>
      <c r="X38">
        <f t="shared" si="5"/>
        <v>355.00000000000045</v>
      </c>
      <c r="Y38">
        <f t="shared" si="5"/>
        <v>293.00000000000017</v>
      </c>
      <c r="Z38">
        <f t="shared" si="5"/>
        <v>192.9999999999996</v>
      </c>
      <c r="AA38">
        <f t="shared" si="5"/>
        <v>142.9999999999998</v>
      </c>
      <c r="AB38">
        <f t="shared" si="5"/>
        <v>92.000000000000526</v>
      </c>
      <c r="AC38">
        <f t="shared" si="5"/>
        <v>0.99999999999944578</v>
      </c>
      <c r="AD38">
        <f t="shared" si="5"/>
        <v>31.000000000000583</v>
      </c>
      <c r="AE38">
        <f t="shared" si="5"/>
        <v>29.999999999999361</v>
      </c>
      <c r="AF38">
        <f t="shared" si="5"/>
        <v>30.000000000000249</v>
      </c>
      <c r="AG38">
        <f t="shared" si="5"/>
        <v>28.999999999999915</v>
      </c>
      <c r="AH38">
        <f t="shared" si="5"/>
        <v>28.999999999999915</v>
      </c>
      <c r="AI38">
        <f t="shared" si="5"/>
        <v>28.000000000000469</v>
      </c>
      <c r="AJ38">
        <f t="shared" si="5"/>
        <v>27.999999999999581</v>
      </c>
      <c r="AK38">
        <f t="shared" si="5"/>
        <v>28.000000000000469</v>
      </c>
      <c r="AL38">
        <f t="shared" si="5"/>
        <v>27.000000000000135</v>
      </c>
      <c r="AM38">
        <f t="shared" si="5"/>
        <v>24.999999999999467</v>
      </c>
    </row>
    <row r="39" spans="2:40" x14ac:dyDescent="0.25">
      <c r="K39" t="s">
        <v>271</v>
      </c>
      <c r="M39">
        <f t="shared" ref="M39:AM39" si="6">(M35-L35)*1000</f>
        <v>-134.99999999999977</v>
      </c>
      <c r="N39">
        <f t="shared" si="6"/>
        <v>-25.999999999999801</v>
      </c>
      <c r="O39">
        <f t="shared" si="6"/>
        <v>-157.99999999999949</v>
      </c>
      <c r="P39">
        <f t="shared" si="6"/>
        <v>-162.0000000000008</v>
      </c>
      <c r="Q39">
        <f t="shared" si="6"/>
        <v>-260.9999999999992</v>
      </c>
      <c r="R39">
        <f t="shared" si="6"/>
        <v>-371.99999999999989</v>
      </c>
      <c r="S39">
        <f t="shared" si="6"/>
        <v>-471.99999999999955</v>
      </c>
      <c r="U39">
        <f t="shared" si="6"/>
        <v>-455.99999999999955</v>
      </c>
      <c r="V39">
        <f t="shared" si="6"/>
        <v>-434.00000000000102</v>
      </c>
      <c r="W39">
        <f t="shared" si="6"/>
        <v>-401.99999999999926</v>
      </c>
      <c r="X39">
        <f t="shared" si="6"/>
        <v>-378.00000000000011</v>
      </c>
      <c r="Y39">
        <f t="shared" si="6"/>
        <v>-435.99999999999994</v>
      </c>
      <c r="Z39">
        <f t="shared" si="6"/>
        <v>-391</v>
      </c>
      <c r="AA39">
        <f t="shared" si="6"/>
        <v>-371.00000000000045</v>
      </c>
      <c r="AB39">
        <f t="shared" si="6"/>
        <v>-274.99999999999949</v>
      </c>
      <c r="AC39">
        <f t="shared" si="6"/>
        <v>-323.0000000000004</v>
      </c>
      <c r="AD39">
        <f t="shared" si="6"/>
        <v>-275.99999999999977</v>
      </c>
      <c r="AE39">
        <f t="shared" si="6"/>
        <v>-274</v>
      </c>
      <c r="AF39">
        <f t="shared" si="6"/>
        <v>-234</v>
      </c>
      <c r="AG39">
        <f t="shared" si="6"/>
        <v>-195.00000000000028</v>
      </c>
      <c r="AH39">
        <f t="shared" si="6"/>
        <v>-152.99999999999957</v>
      </c>
      <c r="AI39">
        <f t="shared" si="6"/>
        <v>-205.00000000000006</v>
      </c>
      <c r="AJ39">
        <f t="shared" si="6"/>
        <v>-160.00000000000014</v>
      </c>
      <c r="AK39">
        <f t="shared" si="6"/>
        <v>-171.00000000000026</v>
      </c>
      <c r="AL39">
        <f t="shared" si="6"/>
        <v>-184.9999999999996</v>
      </c>
      <c r="AM39">
        <f t="shared" si="6"/>
        <v>-197.00000000000006</v>
      </c>
    </row>
    <row r="40" spans="2:40" x14ac:dyDescent="0.25">
      <c r="X40" s="3">
        <f>1-X35/N35</f>
        <v>0.29532967032967028</v>
      </c>
    </row>
    <row r="41" spans="2:40" x14ac:dyDescent="0.25">
      <c r="K41" t="s">
        <v>272</v>
      </c>
      <c r="M41">
        <f t="shared" ref="M41:AM41" si="7">(M33-L33)*1000</f>
        <v>-261.00000000000011</v>
      </c>
      <c r="N41">
        <f t="shared" si="7"/>
        <v>-259.99999999999977</v>
      </c>
      <c r="O41">
        <f t="shared" si="7"/>
        <v>-258</v>
      </c>
      <c r="P41">
        <f t="shared" si="7"/>
        <v>-257.00000000000011</v>
      </c>
      <c r="Q41">
        <f t="shared" si="7"/>
        <v>-254.99999999999989</v>
      </c>
      <c r="R41">
        <f t="shared" si="7"/>
        <v>-254</v>
      </c>
      <c r="S41">
        <f t="shared" si="7"/>
        <v>-253.00000000000011</v>
      </c>
      <c r="T41">
        <f t="shared" si="7"/>
        <v>-251.99999999999989</v>
      </c>
      <c r="U41">
        <f t="shared" si="7"/>
        <v>-251</v>
      </c>
      <c r="V41">
        <f t="shared" si="7"/>
        <v>-251</v>
      </c>
      <c r="W41">
        <f t="shared" si="7"/>
        <v>-249</v>
      </c>
      <c r="X41">
        <f t="shared" si="7"/>
        <v>-248</v>
      </c>
      <c r="Y41">
        <f t="shared" si="7"/>
        <v>0</v>
      </c>
      <c r="Z41">
        <f t="shared" si="7"/>
        <v>0</v>
      </c>
      <c r="AA41">
        <f t="shared" si="7"/>
        <v>0</v>
      </c>
      <c r="AB41">
        <f t="shared" si="7"/>
        <v>0</v>
      </c>
      <c r="AC41">
        <f t="shared" si="7"/>
        <v>0</v>
      </c>
      <c r="AD41">
        <f t="shared" si="7"/>
        <v>0</v>
      </c>
      <c r="AE41">
        <f t="shared" si="7"/>
        <v>0</v>
      </c>
      <c r="AF41" s="11">
        <f t="shared" si="7"/>
        <v>0</v>
      </c>
      <c r="AG41" s="11">
        <f t="shared" si="7"/>
        <v>0</v>
      </c>
      <c r="AH41" s="11">
        <f t="shared" si="7"/>
        <v>0</v>
      </c>
      <c r="AI41" s="11">
        <f t="shared" si="7"/>
        <v>0</v>
      </c>
      <c r="AJ41" s="11">
        <f t="shared" si="7"/>
        <v>0</v>
      </c>
      <c r="AK41" s="11">
        <f t="shared" si="7"/>
        <v>0</v>
      </c>
      <c r="AL41" s="11">
        <f t="shared" si="7"/>
        <v>0</v>
      </c>
      <c r="AM41" s="11">
        <f t="shared" si="7"/>
        <v>0</v>
      </c>
    </row>
    <row r="44" spans="2:40" x14ac:dyDescent="0.25">
      <c r="J44" t="s">
        <v>273</v>
      </c>
    </row>
    <row r="46" spans="2:40" x14ac:dyDescent="0.25">
      <c r="J46" t="s">
        <v>216</v>
      </c>
      <c r="L46" s="11">
        <f>VLOOKUP($J46,output!$A$9:$AI$2200,L$1-$L$1+2)</f>
        <v>100.41500000000001</v>
      </c>
      <c r="M46" s="11">
        <f>VLOOKUP($J46,output!$A$9:$AI$2200,M$1-$L$1+2)</f>
        <v>97.085999999999999</v>
      </c>
      <c r="N46" s="11">
        <f>VLOOKUP($J46,output!$A$9:$AI$2200,N$1-$L$1+2)</f>
        <v>94.679000000000002</v>
      </c>
      <c r="O46" s="11">
        <f>VLOOKUP($J46,output!$A$9:$AI$2200,O$1-$L$1+2)</f>
        <v>91.71</v>
      </c>
      <c r="P46" s="11">
        <f>VLOOKUP($J46,output!$A$9:$AI$2200,P$1-$L$1+2)</f>
        <v>87.766999999999996</v>
      </c>
      <c r="Q46" s="11">
        <f>VLOOKUP($J46,output!$A$9:$AI$2200,Q$1-$L$1+2)</f>
        <v>84.903999999999996</v>
      </c>
      <c r="R46" s="11">
        <f>VLOOKUP($J46,output!$A$9:$AI$2200,R$1-$L$1+2)</f>
        <v>82.316999999999993</v>
      </c>
      <c r="S46" s="11">
        <f>VLOOKUP($J46,output!$A$9:$AI$2200,S$1-$L$1+2)</f>
        <v>80.018000000000001</v>
      </c>
      <c r="T46" s="11">
        <f>VLOOKUP($J46,output!$A$9:$AI$2200,T$1-$L$1+2)</f>
        <v>77.271000000000001</v>
      </c>
      <c r="U46" s="11">
        <f>VLOOKUP($J46,output!$A$9:$AI$2200,U$1-$L$1+2)</f>
        <v>74.781000000000006</v>
      </c>
      <c r="V46" s="11">
        <f>VLOOKUP($J46,output!$A$9:$AI$2200,V$1-$L$1+2)</f>
        <v>72.39</v>
      </c>
      <c r="W46" s="11">
        <f>VLOOKUP($J46,output!$A$9:$AI$2200,W$1-$L$1+2)</f>
        <v>70.066999999999993</v>
      </c>
      <c r="X46" s="11">
        <f>VLOOKUP($J46,output!$A$9:$AI$2200,X$1-$L$1+2)</f>
        <v>67.8</v>
      </c>
      <c r="Y46" s="11">
        <f>VLOOKUP($J46,output!$A$9:$AI$2200,Y$1-$L$1+2)</f>
        <v>65.941999999999993</v>
      </c>
      <c r="Z46" s="11">
        <f>VLOOKUP($J46,output!$A$9:$AI$2200,Z$1-$L$1+2)</f>
        <v>63.924999999999997</v>
      </c>
      <c r="AA46" s="11">
        <f>VLOOKUP($J46,output!$A$9:$AI$2200,AA$1-$L$1+2)</f>
        <v>61.988999999999997</v>
      </c>
      <c r="AB46" s="11">
        <f>VLOOKUP($J46,output!$A$9:$AI$2200,AB$1-$L$1+2)</f>
        <v>60.256999999999998</v>
      </c>
      <c r="AC46" s="11">
        <f>VLOOKUP($J46,output!$A$9:$AI$2200,AC$1-$L$1+2)</f>
        <v>56.433</v>
      </c>
      <c r="AD46" s="11">
        <f>VLOOKUP($J46,output!$A$9:$AI$2200,AD$1-$L$1+2)</f>
        <v>56.695999999999998</v>
      </c>
      <c r="AE46" s="11">
        <f>VLOOKUP($J46,output!$A$9:$AI$2200,AE$1-$L$1+2)</f>
        <v>55.276000000000003</v>
      </c>
      <c r="AF46" s="11">
        <f>VLOOKUP($J46,output!$A$9:$AI$2200,AF$1-$L$1+2)</f>
        <v>54.005000000000003</v>
      </c>
      <c r="AG46" s="11">
        <f>VLOOKUP($J46,output!$A$9:$AI$2200,AG$1-$L$1+2)</f>
        <v>53.021000000000001</v>
      </c>
      <c r="AH46" s="11">
        <f>VLOOKUP($J46,output!$A$9:$AI$2200,AH$1-$L$1+2)</f>
        <v>52.11</v>
      </c>
      <c r="AI46" s="11">
        <f>VLOOKUP($J46,output!$A$9:$AI$2200,AI$1-$L$1+2)</f>
        <v>51.174999999999997</v>
      </c>
      <c r="AJ46" s="11">
        <f>VLOOKUP($J46,output!$A$9:$AI$2200,AJ$1-$L$1+2)</f>
        <v>50.337000000000003</v>
      </c>
      <c r="AK46" s="11">
        <f>VLOOKUP($J46,output!$A$9:$AI$2200,AK$1-$L$1+2)</f>
        <v>49.52</v>
      </c>
      <c r="AL46" s="11">
        <f>VLOOKUP($J46,output!$A$9:$AI$2200,AL$1-$L$1+2)</f>
        <v>48.716999999999999</v>
      </c>
      <c r="AM46" s="11">
        <f>VLOOKUP($J46,output!$A$9:$AI$2200,AM$1-$L$1+2)</f>
        <v>47.92</v>
      </c>
    </row>
    <row r="47" spans="2:40" x14ac:dyDescent="0.25">
      <c r="J47" t="s">
        <v>274</v>
      </c>
      <c r="L47" s="11">
        <f>VLOOKUP($J47,output!$A$9:$AI$2200,L$1-$L$1+2)</f>
        <v>100.41500000000001</v>
      </c>
      <c r="M47" s="11">
        <f>VLOOKUP($J47,output!$A$9:$AI$2200,M$1-$L$1+2)</f>
        <v>97.798000000000002</v>
      </c>
      <c r="N47" s="11">
        <f>VLOOKUP($J47,output!$A$9:$AI$2200,N$1-$L$1+2)</f>
        <v>96.213999999999999</v>
      </c>
      <c r="O47" s="11">
        <f>VLOOKUP($J47,output!$A$9:$AI$2200,O$1-$L$1+2)</f>
        <v>94</v>
      </c>
      <c r="P47" s="11">
        <f>VLOOKUP($J47,output!$A$9:$AI$2200,P$1-$L$1+2)</f>
        <v>90.710999999999999</v>
      </c>
      <c r="Q47" s="11">
        <f>VLOOKUP($J47,output!$A$9:$AI$2200,Q$1-$L$1+2)</f>
        <v>88.474999999999994</v>
      </c>
      <c r="R47" s="11">
        <f>VLOOKUP($J47,output!$A$9:$AI$2200,R$1-$L$1+2)</f>
        <v>86.47</v>
      </c>
      <c r="S47" s="11">
        <f>VLOOKUP($J47,output!$A$9:$AI$2200,S$1-$L$1+2)</f>
        <v>84.507000000000005</v>
      </c>
      <c r="T47" s="11">
        <f>VLOOKUP($J47,output!$A$9:$AI$2200,T$1-$L$1+2)</f>
        <v>82.028000000000006</v>
      </c>
      <c r="U47" s="11">
        <f>VLOOKUP($J47,output!$A$9:$AI$2200,U$1-$L$1+2)</f>
        <v>79.787000000000006</v>
      </c>
      <c r="V47" s="11">
        <f>VLOOKUP($J47,output!$A$9:$AI$2200,V$1-$L$1+2)</f>
        <v>77.617000000000004</v>
      </c>
      <c r="W47" s="11">
        <f>VLOOKUP($J47,output!$A$9:$AI$2200,W$1-$L$1+2)</f>
        <v>75.489000000000004</v>
      </c>
      <c r="X47" s="11">
        <f>VLOOKUP($J47,output!$A$9:$AI$2200,X$1-$L$1+2)</f>
        <v>73.387</v>
      </c>
      <c r="Y47" s="11">
        <f>VLOOKUP($J47,output!$A$9:$AI$2200,Y$1-$L$1+2)</f>
        <v>71.709000000000003</v>
      </c>
      <c r="Z47" s="11">
        <f>VLOOKUP($J47,output!$A$9:$AI$2200,Z$1-$L$1+2)</f>
        <v>69.826999999999998</v>
      </c>
      <c r="AA47" s="11">
        <f>VLOOKUP($J47,output!$A$9:$AI$2200,AA$1-$L$1+2)</f>
        <v>68.004000000000005</v>
      </c>
      <c r="AB47" s="11">
        <f>VLOOKUP($J47,output!$A$9:$AI$2200,AB$1-$L$1+2)</f>
        <v>66.385999999999996</v>
      </c>
      <c r="AC47" s="11">
        <f>VLOOKUP($J47,output!$A$9:$AI$2200,AC$1-$L$1+2)</f>
        <v>62.192</v>
      </c>
      <c r="AD47" s="11">
        <f>VLOOKUP($J47,output!$A$9:$AI$2200,AD$1-$L$1+2)</f>
        <v>62.649000000000001</v>
      </c>
      <c r="AE47" s="11">
        <f>VLOOKUP($J47,output!$A$9:$AI$2200,AE$1-$L$1+2)</f>
        <v>61.176000000000002</v>
      </c>
      <c r="AF47" s="11">
        <f>VLOOKUP($J47,output!$A$9:$AI$2200,AF$1-$L$1+2)</f>
        <v>59.866</v>
      </c>
      <c r="AG47" s="11">
        <f>VLOOKUP($J47,output!$A$9:$AI$2200,AG$1-$L$1+2)</f>
        <v>58.88</v>
      </c>
      <c r="AH47" s="11">
        <f>VLOOKUP($J47,output!$A$9:$AI$2200,AH$1-$L$1+2)</f>
        <v>57.972000000000001</v>
      </c>
      <c r="AI47" s="11">
        <f>VLOOKUP($J47,output!$A$9:$AI$2200,AI$1-$L$1+2)</f>
        <v>57.029000000000003</v>
      </c>
      <c r="AJ47" s="11">
        <f>VLOOKUP($J47,output!$A$9:$AI$2200,AJ$1-$L$1+2)</f>
        <v>56.194000000000003</v>
      </c>
      <c r="AK47" s="11">
        <f>VLOOKUP($J47,output!$A$9:$AI$2200,AK$1-$L$1+2)</f>
        <v>55.377000000000002</v>
      </c>
      <c r="AL47" s="11">
        <f>VLOOKUP($J47,output!$A$9:$AI$2200,AL$1-$L$1+2)</f>
        <v>54.573</v>
      </c>
      <c r="AM47" s="11">
        <f>VLOOKUP($J47,output!$A$9:$AI$2200,AM$1-$L$1+2)</f>
        <v>53.764000000000003</v>
      </c>
    </row>
    <row r="48" spans="2:40" x14ac:dyDescent="0.25">
      <c r="J48" t="s">
        <v>275</v>
      </c>
      <c r="L48" s="11">
        <f>VLOOKUP($J48,output!$A$9:$AI$2200,L$1-$L$1+2)</f>
        <v>0</v>
      </c>
      <c r="M48" s="11">
        <f>VLOOKUP($J48,output!$A$9:$AI$2200,M$1-$L$1+2)</f>
        <v>18.538</v>
      </c>
      <c r="N48" s="11">
        <f>VLOOKUP($J48,output!$A$9:$AI$2200,N$1-$L$1+2)</f>
        <v>17.538</v>
      </c>
      <c r="O48" s="11">
        <f>VLOOKUP($J48,output!$A$9:$AI$2200,O$1-$L$1+2)</f>
        <v>17.222000000000001</v>
      </c>
      <c r="P48" s="11">
        <f>VLOOKUP($J48,output!$A$9:$AI$2200,P$1-$L$1+2)</f>
        <v>17.044</v>
      </c>
      <c r="Q48" s="11">
        <f>VLOOKUP($J48,output!$A$9:$AI$2200,Q$1-$L$1+2)</f>
        <v>16.942</v>
      </c>
      <c r="R48" s="11">
        <f>VLOOKUP($J48,output!$A$9:$AI$2200,R$1-$L$1+2)</f>
        <v>16.867999999999999</v>
      </c>
      <c r="S48" s="11">
        <f>VLOOKUP($J48,output!$A$9:$AI$2200,S$1-$L$1+2)</f>
        <v>16.797999999999998</v>
      </c>
      <c r="T48" s="11">
        <f>VLOOKUP($J48,output!$A$9:$AI$2200,T$1-$L$1+2)</f>
        <v>16.736000000000001</v>
      </c>
      <c r="U48" s="11">
        <f>VLOOKUP($J48,output!$A$9:$AI$2200,U$1-$L$1+2)</f>
        <v>16.681000000000001</v>
      </c>
      <c r="V48" s="11">
        <f>VLOOKUP($J48,output!$A$9:$AI$2200,V$1-$L$1+2)</f>
        <v>16.631</v>
      </c>
      <c r="W48" s="11">
        <f>VLOOKUP($J48,output!$A$9:$AI$2200,W$1-$L$1+2)</f>
        <v>16.585999999999999</v>
      </c>
      <c r="X48" s="11">
        <f>VLOOKUP($J48,output!$A$9:$AI$2200,X$1-$L$1+2)</f>
        <v>16.545000000000002</v>
      </c>
      <c r="Y48" s="11">
        <f>VLOOKUP($J48,output!$A$9:$AI$2200,Y$1-$L$1+2)</f>
        <v>16.506</v>
      </c>
      <c r="Z48" s="11">
        <f>VLOOKUP($J48,output!$A$9:$AI$2200,Z$1-$L$1+2)</f>
        <v>16.462</v>
      </c>
      <c r="AA48" s="11">
        <f>VLOOKUP($J48,output!$A$9:$AI$2200,AA$1-$L$1+2)</f>
        <v>16.427</v>
      </c>
      <c r="AB48" s="11">
        <f>VLOOKUP($J48,output!$A$9:$AI$2200,AB$1-$L$1+2)</f>
        <v>16.393000000000001</v>
      </c>
      <c r="AC48" s="11">
        <f>VLOOKUP($J48,output!$A$9:$AI$2200,AC$1-$L$1+2)</f>
        <v>16.274999999999999</v>
      </c>
      <c r="AD48" s="11">
        <f>VLOOKUP($J48,output!$A$9:$AI$2200,AD$1-$L$1+2)</f>
        <v>16.227</v>
      </c>
      <c r="AE48" s="11">
        <f>VLOOKUP($J48,output!$A$9:$AI$2200,AE$1-$L$1+2)</f>
        <v>16.149000000000001</v>
      </c>
      <c r="AF48" s="11">
        <f>VLOOKUP($J48,output!$A$9:$AI$2200,AF$1-$L$1+2)</f>
        <v>16.073</v>
      </c>
      <c r="AG48" s="11">
        <f>VLOOKUP($J48,output!$A$9:$AI$2200,AG$1-$L$1+2)</f>
        <v>15.999000000000001</v>
      </c>
      <c r="AH48" s="11">
        <f>VLOOKUP($J48,output!$A$9:$AI$2200,AH$1-$L$1+2)</f>
        <v>15.928000000000001</v>
      </c>
      <c r="AI48" s="11">
        <f>VLOOKUP($J48,output!$A$9:$AI$2200,AI$1-$L$1+2)</f>
        <v>15.859</v>
      </c>
      <c r="AJ48" s="11">
        <f>VLOOKUP($J48,output!$A$9:$AI$2200,AJ$1-$L$1+2)</f>
        <v>15.792</v>
      </c>
      <c r="AK48" s="11">
        <f>VLOOKUP($J48,output!$A$9:$AI$2200,AK$1-$L$1+2)</f>
        <v>15.727</v>
      </c>
      <c r="AL48" s="11">
        <f>VLOOKUP($J48,output!$A$9:$AI$2200,AL$1-$L$1+2)</f>
        <v>15.663</v>
      </c>
      <c r="AM48" s="11">
        <f>VLOOKUP($J48,output!$A$9:$AI$2200,AM$1-$L$1+2)</f>
        <v>15.606999999999999</v>
      </c>
    </row>
    <row r="53" spans="10:39" x14ac:dyDescent="0.25">
      <c r="J53" s="2" t="s">
        <v>181</v>
      </c>
    </row>
    <row r="54" spans="10:39" x14ac:dyDescent="0.25">
      <c r="J54" t="s">
        <v>363</v>
      </c>
      <c r="L54" s="27">
        <f>VLOOKUP($J54,output!$A$9:$AI$2200,L$1-$L$1+2)</f>
        <v>0.19600000000000001</v>
      </c>
      <c r="M54" s="113">
        <f>VLOOKUP($J54,output!$A$9:$AI$2200,M$1-$L$1+2)</f>
        <v>0.30199999999999999</v>
      </c>
      <c r="N54" s="113">
        <f>VLOOKUP($J54,output!$A$9:$AI$2200,N$1-$L$1+2)</f>
        <v>0.46800000000000003</v>
      </c>
      <c r="O54" s="113">
        <f>VLOOKUP($J54,output!$A$9:$AI$2200,O$1-$L$1+2)</f>
        <v>0.6</v>
      </c>
      <c r="P54" s="113">
        <f>VLOOKUP($J54,output!$A$9:$AI$2200,P$1-$L$1+2)</f>
        <v>0.75</v>
      </c>
      <c r="Q54" s="113">
        <f>VLOOKUP($J54,output!$A$9:$AI$2200,Q$1-$L$1+2)</f>
        <v>0.87</v>
      </c>
      <c r="R54" s="113">
        <f>VLOOKUP($J54,output!$A$9:$AI$2200,R$1-$L$1+2)</f>
        <v>0.95499999999999996</v>
      </c>
      <c r="S54" s="113">
        <f>VLOOKUP($J54,output!$A$9:$AI$2200,S$1-$L$1+2)</f>
        <v>1.0029999999999999</v>
      </c>
      <c r="T54" s="27">
        <f>VLOOKUP($J54,output!$A$9:$AI$2200,T$1-$L$1+2)</f>
        <v>1.1040000000000001</v>
      </c>
      <c r="U54" s="27">
        <f>VLOOKUP($J54,output!$A$9:$AI$2200,U$1-$L$1+2)</f>
        <v>1.1639999999999999</v>
      </c>
      <c r="V54" s="27">
        <f>VLOOKUP($J54,output!$A$9:$AI$2200,V$1-$L$1+2)</f>
        <v>1.2370000000000001</v>
      </c>
      <c r="W54" s="27">
        <f>VLOOKUP($J54,output!$A$9:$AI$2200,W$1-$L$1+2)</f>
        <v>1.327</v>
      </c>
      <c r="X54" s="27">
        <f>VLOOKUP($J54,output!$A$9:$AI$2200,X$1-$L$1+2)</f>
        <v>1.4319999999999999</v>
      </c>
      <c r="Y54" s="27">
        <f>VLOOKUP($J54,output!$A$9:$AI$2200,Y$1-$L$1+2)</f>
        <v>1.54</v>
      </c>
      <c r="Z54" s="27">
        <f>VLOOKUP($J54,output!$A$9:$AI$2200,Z$1-$L$1+2)</f>
        <v>1.6719999999999999</v>
      </c>
      <c r="AA54" s="27">
        <f>VLOOKUP($J54,output!$A$9:$AI$2200,AA$1-$L$1+2)</f>
        <v>1.8160000000000001</v>
      </c>
      <c r="AB54" s="27">
        <f>VLOOKUP($J54,output!$A$9:$AI$2200,AB$1-$L$1+2)</f>
        <v>1.958</v>
      </c>
      <c r="AC54" s="27">
        <f>VLOOKUP($J54,output!$A$9:$AI$2200,AC$1-$L$1+2)</f>
        <v>2.1219999999999999</v>
      </c>
      <c r="AD54" s="27">
        <f>VLOOKUP($J54,output!$A$9:$AI$2200,AD$1-$L$1+2)</f>
        <v>2.2669999999999999</v>
      </c>
      <c r="AE54" s="27">
        <f>VLOOKUP($J54,output!$A$9:$AI$2200,AE$1-$L$1+2)</f>
        <v>2.411</v>
      </c>
      <c r="AF54" s="27">
        <f>VLOOKUP($J54,output!$A$9:$AI$2200,AF$1-$L$1+2)</f>
        <v>2.5470000000000002</v>
      </c>
      <c r="AG54" s="27">
        <f>VLOOKUP($J54,output!$A$9:$AI$2200,AG$1-$L$1+2)</f>
        <v>2.6459999999999999</v>
      </c>
      <c r="AH54" s="27">
        <f>VLOOKUP($J54,output!$A$9:$AI$2200,AH$1-$L$1+2)</f>
        <v>2.714</v>
      </c>
      <c r="AI54" s="27">
        <f>VLOOKUP($J54,output!$A$9:$AI$2200,AI$1-$L$1+2)</f>
        <v>2.7879999999999998</v>
      </c>
      <c r="AJ54" s="27">
        <f>VLOOKUP($J54,output!$A$9:$AI$2200,AJ$1-$L$1+2)</f>
        <v>2.8559999999999999</v>
      </c>
      <c r="AK54" s="27">
        <f>VLOOKUP($J54,output!$A$9:$AI$2200,AK$1-$L$1+2)</f>
        <v>2.9220000000000002</v>
      </c>
      <c r="AL54" s="27">
        <f>VLOOKUP($J54,output!$A$9:$AI$2200,AL$1-$L$1+2)</f>
        <v>2.9870000000000001</v>
      </c>
      <c r="AM54" s="27">
        <f>VLOOKUP($J54,output!$A$9:$AI$2200,AM$1-$L$1+2)</f>
        <v>3.0529999999999999</v>
      </c>
    </row>
    <row r="55" spans="10:39" x14ac:dyDescent="0.25">
      <c r="J55" t="s">
        <v>364</v>
      </c>
      <c r="L55" s="27">
        <f>VLOOKUP($J55,output!$A$9:$AI$2200,L$1-$L$1+2)</f>
        <v>0.38300000000000001</v>
      </c>
      <c r="M55" s="113">
        <f>VLOOKUP($J55,output!$A$9:$AI$2200,M$1-$L$1+2)</f>
        <v>0.61099999999999999</v>
      </c>
      <c r="N55" s="113">
        <f>VLOOKUP($J55,output!$A$9:$AI$2200,N$1-$L$1+2)</f>
        <v>0.92200000000000004</v>
      </c>
      <c r="O55" s="113">
        <f>VLOOKUP($J55,output!$A$9:$AI$2200,O$1-$L$1+2)</f>
        <v>1.236</v>
      </c>
      <c r="P55" s="113">
        <f>VLOOKUP($J55,output!$A$9:$AI$2200,P$1-$L$1+2)</f>
        <v>1.5720000000000001</v>
      </c>
      <c r="Q55" s="113">
        <f>VLOOKUP($J55,output!$A$9:$AI$2200,Q$1-$L$1+2)</f>
        <v>1.9119999999999999</v>
      </c>
      <c r="R55" s="113">
        <f>VLOOKUP($J55,output!$A$9:$AI$2200,R$1-$L$1+2)</f>
        <v>2.2570000000000001</v>
      </c>
      <c r="S55" s="113">
        <f>VLOOKUP($J55,output!$A$9:$AI$2200,S$1-$L$1+2)</f>
        <v>2.5979999999999999</v>
      </c>
      <c r="T55" s="27">
        <f>VLOOKUP($J55,output!$A$9:$AI$2200,T$1-$L$1+2)</f>
        <v>2.95</v>
      </c>
      <c r="U55" s="27">
        <f>VLOOKUP($J55,output!$A$9:$AI$2200,U$1-$L$1+2)</f>
        <v>3.3090000000000002</v>
      </c>
      <c r="V55" s="27">
        <f>VLOOKUP($J55,output!$A$9:$AI$2200,V$1-$L$1+2)</f>
        <v>3.677</v>
      </c>
      <c r="W55" s="27">
        <f>VLOOKUP($J55,output!$A$9:$AI$2200,W$1-$L$1+2)</f>
        <v>4.0519999999999996</v>
      </c>
      <c r="X55" s="27">
        <f>VLOOKUP($J55,output!$A$9:$AI$2200,X$1-$L$1+2)</f>
        <v>4.4340000000000002</v>
      </c>
      <c r="Y55" s="27">
        <f>VLOOKUP($J55,output!$A$9:$AI$2200,Y$1-$L$1+2)</f>
        <v>4.7329999999999997</v>
      </c>
      <c r="Z55" s="27">
        <f>VLOOKUP($J55,output!$A$9:$AI$2200,Z$1-$L$1+2)</f>
        <v>5.0359999999999996</v>
      </c>
      <c r="AA55" s="27">
        <f>VLOOKUP($J55,output!$A$9:$AI$2200,AA$1-$L$1+2)</f>
        <v>5.34</v>
      </c>
      <c r="AB55" s="27">
        <f>VLOOKUP($J55,output!$A$9:$AI$2200,AB$1-$L$1+2)</f>
        <v>5.6150000000000002</v>
      </c>
      <c r="AC55" s="27">
        <f>VLOOKUP($J55,output!$A$9:$AI$2200,AC$1-$L$1+2)</f>
        <v>5.8970000000000002</v>
      </c>
      <c r="AD55" s="27">
        <f>VLOOKUP($J55,output!$A$9:$AI$2200,AD$1-$L$1+2)</f>
        <v>6.15</v>
      </c>
      <c r="AE55" s="27">
        <f>VLOOKUP($J55,output!$A$9:$AI$2200,AE$1-$L$1+2)</f>
        <v>6.4</v>
      </c>
      <c r="AF55" s="27">
        <f>VLOOKUP($J55,output!$A$9:$AI$2200,AF$1-$L$1+2)</f>
        <v>6.63</v>
      </c>
      <c r="AG55" s="27">
        <f>VLOOKUP($J55,output!$A$9:$AI$2200,AG$1-$L$1+2)</f>
        <v>6.8339999999999996</v>
      </c>
      <c r="AH55" s="27">
        <f>VLOOKUP($J55,output!$A$9:$AI$2200,AH$1-$L$1+2)</f>
        <v>6.95</v>
      </c>
      <c r="AI55" s="27">
        <f>VLOOKUP($J55,output!$A$9:$AI$2200,AI$1-$L$1+2)</f>
        <v>7.0819999999999999</v>
      </c>
      <c r="AJ55" s="27">
        <f>VLOOKUP($J55,output!$A$9:$AI$2200,AJ$1-$L$1+2)</f>
        <v>7.1989999999999998</v>
      </c>
      <c r="AK55" s="27">
        <f>VLOOKUP($J55,output!$A$9:$AI$2200,AK$1-$L$1+2)</f>
        <v>7.3159999999999998</v>
      </c>
      <c r="AL55" s="27">
        <f>VLOOKUP($J55,output!$A$9:$AI$2200,AL$1-$L$1+2)</f>
        <v>7.4340000000000002</v>
      </c>
      <c r="AM55" s="27">
        <f>VLOOKUP($J55,output!$A$9:$AI$2200,AM$1-$L$1+2)</f>
        <v>7.548</v>
      </c>
    </row>
    <row r="56" spans="10:39" x14ac:dyDescent="0.25">
      <c r="J56" t="s">
        <v>365</v>
      </c>
      <c r="L56" s="27">
        <f>VLOOKUP($J56,output!$A$9:$AI$2200,L$1-$L$1+2)</f>
        <v>0.78300000000000003</v>
      </c>
      <c r="M56" s="27">
        <f>VLOOKUP($J56,output!$A$9:$AI$2200,M$1-$L$1+2)</f>
        <v>0.90300000000000002</v>
      </c>
      <c r="N56" s="27">
        <f>VLOOKUP($J56,output!$A$9:$AI$2200,N$1-$L$1+2)</f>
        <v>1.006</v>
      </c>
      <c r="O56" s="27">
        <f>VLOOKUP($J56,output!$A$9:$AI$2200,O$1-$L$1+2)</f>
        <v>1.097</v>
      </c>
      <c r="P56" s="27">
        <f>VLOOKUP($J56,output!$A$9:$AI$2200,P$1-$L$1+2)</f>
        <v>1.196</v>
      </c>
      <c r="Q56" s="27">
        <f>VLOOKUP($J56,output!$A$9:$AI$2200,Q$1-$L$1+2)</f>
        <v>1.2849999999999999</v>
      </c>
      <c r="R56" s="27">
        <f>VLOOKUP($J56,output!$A$9:$AI$2200,R$1-$L$1+2)</f>
        <v>1.361</v>
      </c>
      <c r="S56" s="27">
        <f>VLOOKUP($J56,output!$A$9:$AI$2200,S$1-$L$1+2)</f>
        <v>1.4059999999999999</v>
      </c>
      <c r="T56" s="27">
        <f>VLOOKUP($J56,output!$A$9:$AI$2200,T$1-$L$1+2)</f>
        <v>1.4730000000000001</v>
      </c>
      <c r="U56" s="27">
        <f>VLOOKUP($J56,output!$A$9:$AI$2200,U$1-$L$1+2)</f>
        <v>1.5249999999999999</v>
      </c>
      <c r="V56" s="27">
        <f>VLOOKUP($J56,output!$A$9:$AI$2200,V$1-$L$1+2)</f>
        <v>1.583</v>
      </c>
      <c r="W56" s="27">
        <f>VLOOKUP($J56,output!$A$9:$AI$2200,W$1-$L$1+2)</f>
        <v>1.649</v>
      </c>
      <c r="X56" s="27">
        <f>VLOOKUP($J56,output!$A$9:$AI$2200,X$1-$L$1+2)</f>
        <v>1.722</v>
      </c>
      <c r="Y56" s="27">
        <f>VLOOKUP($J56,output!$A$9:$AI$2200,Y$1-$L$1+2)</f>
        <v>1.796</v>
      </c>
      <c r="Z56" s="27">
        <f>VLOOKUP($J56,output!$A$9:$AI$2200,Z$1-$L$1+2)</f>
        <v>1.881</v>
      </c>
      <c r="AA56" s="27">
        <f>VLOOKUP($J56,output!$A$9:$AI$2200,AA$1-$L$1+2)</f>
        <v>1.9710000000000001</v>
      </c>
      <c r="AB56" s="27">
        <f>VLOOKUP($J56,output!$A$9:$AI$2200,AB$1-$L$1+2)</f>
        <v>2.06</v>
      </c>
      <c r="AC56" s="27">
        <f>VLOOKUP($J56,output!$A$9:$AI$2200,AC$1-$L$1+2)</f>
        <v>2.1440000000000001</v>
      </c>
      <c r="AD56" s="27">
        <f>VLOOKUP($J56,output!$A$9:$AI$2200,AD$1-$L$1+2)</f>
        <v>2.2200000000000002</v>
      </c>
      <c r="AE56" s="27">
        <f>VLOOKUP($J56,output!$A$9:$AI$2200,AE$1-$L$1+2)</f>
        <v>2.2949999999999999</v>
      </c>
      <c r="AF56" s="27">
        <f>VLOOKUP($J56,output!$A$9:$AI$2200,AF$1-$L$1+2)</f>
        <v>2.3679999999999999</v>
      </c>
      <c r="AG56" s="27">
        <f>VLOOKUP($J56,output!$A$9:$AI$2200,AG$1-$L$1+2)</f>
        <v>2.3839999999999999</v>
      </c>
      <c r="AH56" s="27">
        <f>VLOOKUP($J56,output!$A$9:$AI$2200,AH$1-$L$1+2)</f>
        <v>2.4329999999999998</v>
      </c>
      <c r="AI56" s="27">
        <f>VLOOKUP($J56,output!$A$9:$AI$2200,AI$1-$L$1+2)</f>
        <v>2.4849999999999999</v>
      </c>
      <c r="AJ56" s="27">
        <f>VLOOKUP($J56,output!$A$9:$AI$2200,AJ$1-$L$1+2)</f>
        <v>2.5329999999999999</v>
      </c>
      <c r="AK56" s="27">
        <f>VLOOKUP($J56,output!$A$9:$AI$2200,AK$1-$L$1+2)</f>
        <v>2.58</v>
      </c>
      <c r="AL56" s="27">
        <f>VLOOKUP($J56,output!$A$9:$AI$2200,AL$1-$L$1+2)</f>
        <v>2.6269999999999998</v>
      </c>
      <c r="AM56" s="27">
        <f>VLOOKUP($J56,output!$A$9:$AI$2200,AM$1-$L$1+2)</f>
        <v>2.6789999999999998</v>
      </c>
    </row>
    <row r="57" spans="10:39" x14ac:dyDescent="0.25">
      <c r="J57" t="s">
        <v>366</v>
      </c>
      <c r="L57" s="27">
        <f>VLOOKUP($J57,output!$A$9:$AI$2200,L$1-$L$1+2)</f>
        <v>1.5329999999999999</v>
      </c>
      <c r="M57" s="27">
        <f>VLOOKUP($J57,output!$A$9:$AI$2200,M$1-$L$1+2)</f>
        <v>1.8260000000000001</v>
      </c>
      <c r="N57" s="27">
        <f>VLOOKUP($J57,output!$A$9:$AI$2200,N$1-$L$1+2)</f>
        <v>1.972</v>
      </c>
      <c r="O57" s="27">
        <f>VLOOKUP($J57,output!$A$9:$AI$2200,O$1-$L$1+2)</f>
        <v>2.121</v>
      </c>
      <c r="P57" s="27">
        <f>VLOOKUP($J57,output!$A$9:$AI$2200,P$1-$L$1+2)</f>
        <v>2.2810000000000001</v>
      </c>
      <c r="Q57" s="27">
        <f>VLOOKUP($J57,output!$A$9:$AI$2200,Q$1-$L$1+2)</f>
        <v>2.444</v>
      </c>
      <c r="R57" s="27">
        <f>VLOOKUP($J57,output!$A$9:$AI$2200,R$1-$L$1+2)</f>
        <v>2.6110000000000002</v>
      </c>
      <c r="S57" s="27">
        <f>VLOOKUP($J57,output!$A$9:$AI$2200,S$1-$L$1+2)</f>
        <v>2.7490000000000001</v>
      </c>
      <c r="T57" s="27">
        <f>VLOOKUP($J57,output!$A$9:$AI$2200,T$1-$L$1+2)</f>
        <v>2.8929999999999998</v>
      </c>
      <c r="U57" s="27">
        <f>VLOOKUP($J57,output!$A$9:$AI$2200,U$1-$L$1+2)</f>
        <v>3.0409999999999999</v>
      </c>
      <c r="V57" s="27">
        <f>VLOOKUP($J57,output!$A$9:$AI$2200,V$1-$L$1+2)</f>
        <v>3.1949999999999998</v>
      </c>
      <c r="W57" s="27">
        <f>VLOOKUP($J57,output!$A$9:$AI$2200,W$1-$L$1+2)</f>
        <v>3.355</v>
      </c>
      <c r="X57" s="27">
        <f>VLOOKUP($J57,output!$A$9:$AI$2200,X$1-$L$1+2)</f>
        <v>3.5190000000000001</v>
      </c>
      <c r="Y57" s="27">
        <f>VLOOKUP($J57,output!$A$9:$AI$2200,Y$1-$L$1+2)</f>
        <v>3.6440000000000001</v>
      </c>
      <c r="Z57" s="27">
        <f>VLOOKUP($J57,output!$A$9:$AI$2200,Z$1-$L$1+2)</f>
        <v>3.77</v>
      </c>
      <c r="AA57" s="27">
        <f>VLOOKUP($J57,output!$A$9:$AI$2200,AA$1-$L$1+2)</f>
        <v>3.8969999999999998</v>
      </c>
      <c r="AB57" s="27">
        <f>VLOOKUP($J57,output!$A$9:$AI$2200,AB$1-$L$1+2)</f>
        <v>4.01</v>
      </c>
      <c r="AC57" s="27">
        <f>VLOOKUP($J57,output!$A$9:$AI$2200,AC$1-$L$1+2)</f>
        <v>4.1050000000000004</v>
      </c>
      <c r="AD57" s="27">
        <f>VLOOKUP($J57,output!$A$9:$AI$2200,AD$1-$L$1+2)</f>
        <v>4.1859999999999999</v>
      </c>
      <c r="AE57" s="27">
        <f>VLOOKUP($J57,output!$A$9:$AI$2200,AE$1-$L$1+2)</f>
        <v>4.2670000000000003</v>
      </c>
      <c r="AF57" s="27">
        <f>VLOOKUP($J57,output!$A$9:$AI$2200,AF$1-$L$1+2)</f>
        <v>4.3380000000000001</v>
      </c>
      <c r="AG57" s="27">
        <f>VLOOKUP($J57,output!$A$9:$AI$2200,AG$1-$L$1+2)</f>
        <v>4.3010000000000002</v>
      </c>
      <c r="AH57" s="27">
        <f>VLOOKUP($J57,output!$A$9:$AI$2200,AH$1-$L$1+2)</f>
        <v>4.343</v>
      </c>
      <c r="AI57" s="27">
        <f>VLOOKUP($J57,output!$A$9:$AI$2200,AI$1-$L$1+2)</f>
        <v>4.3920000000000003</v>
      </c>
      <c r="AJ57" s="27">
        <f>VLOOKUP($J57,output!$A$9:$AI$2200,AJ$1-$L$1+2)</f>
        <v>4.431</v>
      </c>
      <c r="AK57" s="27">
        <f>VLOOKUP($J57,output!$A$9:$AI$2200,AK$1-$L$1+2)</f>
        <v>4.4690000000000003</v>
      </c>
      <c r="AL57" s="27">
        <f>VLOOKUP($J57,output!$A$9:$AI$2200,AL$1-$L$1+2)</f>
        <v>4.5060000000000002</v>
      </c>
      <c r="AM57" s="27">
        <f>VLOOKUP($J57,output!$A$9:$AI$2200,AM$1-$L$1+2)</f>
        <v>4.5380000000000003</v>
      </c>
    </row>
    <row r="58" spans="10:39" x14ac:dyDescent="0.25">
      <c r="J58" t="s">
        <v>367</v>
      </c>
      <c r="L58" s="27">
        <f>VLOOKUP($J58,output!$A$9:$AI$2200,L$1-$L$1+2)</f>
        <v>3.9329999999999998</v>
      </c>
      <c r="M58" s="27">
        <f>VLOOKUP($J58,output!$A$9:$AI$2200,M$1-$L$1+2)</f>
        <v>3.806</v>
      </c>
      <c r="N58" s="27">
        <f>VLOOKUP($J58,output!$A$9:$AI$2200,N$1-$L$1+2)</f>
        <v>3.714</v>
      </c>
      <c r="O58" s="27">
        <f>VLOOKUP($J58,output!$A$9:$AI$2200,O$1-$L$1+2)</f>
        <v>3.597</v>
      </c>
      <c r="P58" s="27">
        <f>VLOOKUP($J58,output!$A$9:$AI$2200,P$1-$L$1+2)</f>
        <v>3.4889999999999999</v>
      </c>
      <c r="Q58" s="27">
        <f>VLOOKUP($J58,output!$A$9:$AI$2200,Q$1-$L$1+2)</f>
        <v>3.3620000000000001</v>
      </c>
      <c r="R58" s="27">
        <f>VLOOKUP($J58,output!$A$9:$AI$2200,R$1-$L$1+2)</f>
        <v>3.214</v>
      </c>
      <c r="S58" s="27">
        <f>VLOOKUP($J58,output!$A$9:$AI$2200,S$1-$L$1+2)</f>
        <v>3.0329999999999999</v>
      </c>
      <c r="T58" s="27">
        <f>VLOOKUP($J58,output!$A$9:$AI$2200,T$1-$L$1+2)</f>
        <v>2.8839999999999999</v>
      </c>
      <c r="U58" s="27">
        <f>VLOOKUP($J58,output!$A$9:$AI$2200,U$1-$L$1+2)</f>
        <v>2.714</v>
      </c>
      <c r="V58" s="27">
        <f>VLOOKUP($J58,output!$A$9:$AI$2200,V$1-$L$1+2)</f>
        <v>2.5529999999999999</v>
      </c>
      <c r="W58" s="27">
        <f>VLOOKUP($J58,output!$A$9:$AI$2200,W$1-$L$1+2)</f>
        <v>2.403</v>
      </c>
      <c r="X58" s="27">
        <f>VLOOKUP($J58,output!$A$9:$AI$2200,X$1-$L$1+2)</f>
        <v>2.2629999999999999</v>
      </c>
      <c r="Y58" s="27">
        <f>VLOOKUP($J58,output!$A$9:$AI$2200,Y$1-$L$1+2)</f>
        <v>2.1259999999999999</v>
      </c>
      <c r="Z58" s="27">
        <f>VLOOKUP($J58,output!$A$9:$AI$2200,Z$1-$L$1+2)</f>
        <v>2.0049999999999999</v>
      </c>
      <c r="AA58" s="27">
        <f>VLOOKUP($J58,output!$A$9:$AI$2200,AA$1-$L$1+2)</f>
        <v>1.891</v>
      </c>
      <c r="AB58" s="27">
        <f>VLOOKUP($J58,output!$A$9:$AI$2200,AB$1-$L$1+2)</f>
        <v>1.782</v>
      </c>
      <c r="AC58" s="27">
        <f>VLOOKUP($J58,output!$A$9:$AI$2200,AC$1-$L$1+2)</f>
        <v>1.681</v>
      </c>
      <c r="AD58" s="27">
        <f>VLOOKUP($J58,output!$A$9:$AI$2200,AD$1-$L$1+2)</f>
        <v>1.573</v>
      </c>
      <c r="AE58" s="27">
        <f>VLOOKUP($J58,output!$A$9:$AI$2200,AE$1-$L$1+2)</f>
        <v>1.466</v>
      </c>
      <c r="AF58" s="27">
        <f>VLOOKUP($J58,output!$A$9:$AI$2200,AF$1-$L$1+2)</f>
        <v>1.3580000000000001</v>
      </c>
      <c r="AG58" s="27">
        <f>VLOOKUP($J58,output!$A$9:$AI$2200,AG$1-$L$1+2)</f>
        <v>1.335</v>
      </c>
      <c r="AH58" s="27">
        <f>VLOOKUP($J58,output!$A$9:$AI$2200,AH$1-$L$1+2)</f>
        <v>1.294</v>
      </c>
      <c r="AI58" s="27">
        <f>VLOOKUP($J58,output!$A$9:$AI$2200,AI$1-$L$1+2)</f>
        <v>1.2649999999999999</v>
      </c>
      <c r="AJ58" s="27">
        <f>VLOOKUP($J58,output!$A$9:$AI$2200,AJ$1-$L$1+2)</f>
        <v>1.23</v>
      </c>
      <c r="AK58" s="27">
        <f>VLOOKUP($J58,output!$A$9:$AI$2200,AK$1-$L$1+2)</f>
        <v>1.202</v>
      </c>
      <c r="AL58" s="27">
        <f>VLOOKUP($J58,output!$A$9:$AI$2200,AL$1-$L$1+2)</f>
        <v>1.1819999999999999</v>
      </c>
      <c r="AM58" s="27">
        <f>VLOOKUP($J58,output!$A$9:$AI$2200,AM$1-$L$1+2)</f>
        <v>1.169</v>
      </c>
    </row>
    <row r="59" spans="10:39" x14ac:dyDescent="0.25">
      <c r="J59" t="s">
        <v>368</v>
      </c>
      <c r="L59" s="27">
        <f>VLOOKUP($J59,output!$A$9:$AI$2200,L$1-$L$1+2)</f>
        <v>4.3840000000000003</v>
      </c>
      <c r="M59" s="27">
        <f>VLOOKUP($J59,output!$A$9:$AI$2200,M$1-$L$1+2)</f>
        <v>4.2060000000000004</v>
      </c>
      <c r="N59" s="27">
        <f>VLOOKUP($J59,output!$A$9:$AI$2200,N$1-$L$1+2)</f>
        <v>4.0540000000000003</v>
      </c>
      <c r="O59" s="27">
        <f>VLOOKUP($J59,output!$A$9:$AI$2200,O$1-$L$1+2)</f>
        <v>3.9020000000000001</v>
      </c>
      <c r="P59" s="27">
        <f>VLOOKUP($J59,output!$A$9:$AI$2200,P$1-$L$1+2)</f>
        <v>3.7519999999999998</v>
      </c>
      <c r="Q59" s="27">
        <f>VLOOKUP($J59,output!$A$9:$AI$2200,Q$1-$L$1+2)</f>
        <v>3.6019999999999999</v>
      </c>
      <c r="R59" s="27">
        <f>VLOOKUP($J59,output!$A$9:$AI$2200,R$1-$L$1+2)</f>
        <v>3.4510000000000001</v>
      </c>
      <c r="S59" s="27">
        <f>VLOOKUP($J59,output!$A$9:$AI$2200,S$1-$L$1+2)</f>
        <v>3.2989999999999999</v>
      </c>
      <c r="T59" s="27">
        <f>VLOOKUP($J59,output!$A$9:$AI$2200,T$1-$L$1+2)</f>
        <v>3.1459999999999999</v>
      </c>
      <c r="U59" s="27">
        <f>VLOOKUP($J59,output!$A$9:$AI$2200,U$1-$L$1+2)</f>
        <v>2.9929999999999999</v>
      </c>
      <c r="V59" s="27">
        <f>VLOOKUP($J59,output!$A$9:$AI$2200,V$1-$L$1+2)</f>
        <v>2.84</v>
      </c>
      <c r="W59" s="27">
        <f>VLOOKUP($J59,output!$A$9:$AI$2200,W$1-$L$1+2)</f>
        <v>2.6869999999999998</v>
      </c>
      <c r="X59" s="27">
        <f>VLOOKUP($J59,output!$A$9:$AI$2200,X$1-$L$1+2)</f>
        <v>2.5329999999999999</v>
      </c>
      <c r="Y59" s="27">
        <f>VLOOKUP($J59,output!$A$9:$AI$2200,Y$1-$L$1+2)</f>
        <v>2.37</v>
      </c>
      <c r="Z59" s="27">
        <f>VLOOKUP($J59,output!$A$9:$AI$2200,Z$1-$L$1+2)</f>
        <v>2.2080000000000002</v>
      </c>
      <c r="AA59" s="27">
        <f>VLOOKUP($J59,output!$A$9:$AI$2200,AA$1-$L$1+2)</f>
        <v>2.0470000000000002</v>
      </c>
      <c r="AB59" s="27">
        <f>VLOOKUP($J59,output!$A$9:$AI$2200,AB$1-$L$1+2)</f>
        <v>1.885</v>
      </c>
      <c r="AC59" s="27">
        <f>VLOOKUP($J59,output!$A$9:$AI$2200,AC$1-$L$1+2)</f>
        <v>1.7230000000000001</v>
      </c>
      <c r="AD59" s="27">
        <f>VLOOKUP($J59,output!$A$9:$AI$2200,AD$1-$L$1+2)</f>
        <v>1.5620000000000001</v>
      </c>
      <c r="AE59" s="27">
        <f>VLOOKUP($J59,output!$A$9:$AI$2200,AE$1-$L$1+2)</f>
        <v>1.405</v>
      </c>
      <c r="AF59" s="27">
        <f>VLOOKUP($J59,output!$A$9:$AI$2200,AF$1-$L$1+2)</f>
        <v>1.2509999999999999</v>
      </c>
      <c r="AG59" s="27">
        <f>VLOOKUP($J59,output!$A$9:$AI$2200,AG$1-$L$1+2)</f>
        <v>1.208</v>
      </c>
      <c r="AH59" s="27">
        <f>VLOOKUP($J59,output!$A$9:$AI$2200,AH$1-$L$1+2)</f>
        <v>1.145</v>
      </c>
      <c r="AI59" s="27">
        <f>VLOOKUP($J59,output!$A$9:$AI$2200,AI$1-$L$1+2)</f>
        <v>1.095</v>
      </c>
      <c r="AJ59" s="27">
        <f>VLOOKUP($J59,output!$A$9:$AI$2200,AJ$1-$L$1+2)</f>
        <v>1.04</v>
      </c>
      <c r="AK59" s="27">
        <f>VLOOKUP($J59,output!$A$9:$AI$2200,AK$1-$L$1+2)</f>
        <v>0.99299999999999999</v>
      </c>
      <c r="AL59" s="27">
        <f>VLOOKUP($J59,output!$A$9:$AI$2200,AL$1-$L$1+2)</f>
        <v>0.95399999999999996</v>
      </c>
      <c r="AM59" s="27">
        <f>VLOOKUP($J59,output!$A$9:$AI$2200,AM$1-$L$1+2)</f>
        <v>0.92200000000000004</v>
      </c>
    </row>
    <row r="60" spans="10:39" x14ac:dyDescent="0.25">
      <c r="J60" t="s">
        <v>369</v>
      </c>
      <c r="L60" s="27">
        <f>VLOOKUP($J60,output!$A$9:$AI$2200,L$1-$L$1+2)</f>
        <v>1.1559999999999999</v>
      </c>
      <c r="M60" s="27">
        <f>VLOOKUP($J60,output!$A$9:$AI$2200,M$1-$L$1+2)</f>
        <v>1.3</v>
      </c>
      <c r="N60" s="27">
        <f>VLOOKUP($J60,output!$A$9:$AI$2200,N$1-$L$1+2)</f>
        <v>1.353</v>
      </c>
      <c r="O60" s="27">
        <f>VLOOKUP($J60,output!$A$9:$AI$2200,O$1-$L$1+2)</f>
        <v>1.6020000000000001</v>
      </c>
      <c r="P60" s="27">
        <f>VLOOKUP($J60,output!$A$9:$AI$2200,P$1-$L$1+2)</f>
        <v>1.7809999999999999</v>
      </c>
      <c r="Q60" s="27">
        <f>VLOOKUP($J60,output!$A$9:$AI$2200,Q$1-$L$1+2)</f>
        <v>2.11</v>
      </c>
      <c r="R60" s="27">
        <f>VLOOKUP($J60,output!$A$9:$AI$2200,R$1-$L$1+2)</f>
        <v>2.6080000000000001</v>
      </c>
      <c r="S60" s="27">
        <f>VLOOKUP($J60,output!$A$9:$AI$2200,S$1-$L$1+2)</f>
        <v>3.2559999999999998</v>
      </c>
      <c r="T60" s="27">
        <f>VLOOKUP($J60,output!$A$9:$AI$2200,T$1-$L$1+2)</f>
        <v>3.653</v>
      </c>
      <c r="U60" s="27">
        <f>VLOOKUP($J60,output!$A$9:$AI$2200,U$1-$L$1+2)</f>
        <v>4.2249999999999996</v>
      </c>
      <c r="V60" s="27">
        <f>VLOOKUP($J60,output!$A$9:$AI$2200,V$1-$L$1+2)</f>
        <v>4.7309999999999999</v>
      </c>
      <c r="W60" s="27">
        <f>VLOOKUP($J60,output!$A$9:$AI$2200,W$1-$L$1+2)</f>
        <v>5.157</v>
      </c>
      <c r="X60" s="27">
        <f>VLOOKUP($J60,output!$A$9:$AI$2200,X$1-$L$1+2)</f>
        <v>5.5110000000000001</v>
      </c>
      <c r="Y60" s="27">
        <f>VLOOKUP($J60,output!$A$9:$AI$2200,Y$1-$L$1+2)</f>
        <v>5.8049999999999997</v>
      </c>
      <c r="Z60" s="27">
        <f>VLOOKUP($J60,output!$A$9:$AI$2200,Z$1-$L$1+2)</f>
        <v>5.9980000000000002</v>
      </c>
      <c r="AA60" s="27">
        <f>VLOOKUP($J60,output!$A$9:$AI$2200,AA$1-$L$1+2)</f>
        <v>6.14</v>
      </c>
      <c r="AB60" s="27">
        <f>VLOOKUP($J60,output!$A$9:$AI$2200,AB$1-$L$1+2)</f>
        <v>6.2329999999999997</v>
      </c>
      <c r="AC60" s="27">
        <f>VLOOKUP($J60,output!$A$9:$AI$2200,AC$1-$L$1+2)</f>
        <v>6.2329999999999997</v>
      </c>
      <c r="AD60" s="27">
        <f>VLOOKUP($J60,output!$A$9:$AI$2200,AD$1-$L$1+2)</f>
        <v>6.2649999999999997</v>
      </c>
      <c r="AE60" s="27">
        <f>VLOOKUP($J60,output!$A$9:$AI$2200,AE$1-$L$1+2)</f>
        <v>6.2949999999999999</v>
      </c>
      <c r="AF60" s="27">
        <f>VLOOKUP($J60,output!$A$9:$AI$2200,AF$1-$L$1+2)</f>
        <v>6.3250000000000002</v>
      </c>
      <c r="AG60" s="27">
        <f>VLOOKUP($J60,output!$A$9:$AI$2200,AG$1-$L$1+2)</f>
        <v>6.3540000000000001</v>
      </c>
      <c r="AH60" s="27">
        <f>VLOOKUP($J60,output!$A$9:$AI$2200,AH$1-$L$1+2)</f>
        <v>6.383</v>
      </c>
      <c r="AI60" s="27">
        <f>VLOOKUP($J60,output!$A$9:$AI$2200,AI$1-$L$1+2)</f>
        <v>6.4109999999999996</v>
      </c>
      <c r="AJ60" s="27">
        <f>VLOOKUP($J60,output!$A$9:$AI$2200,AJ$1-$L$1+2)</f>
        <v>6.4390000000000001</v>
      </c>
      <c r="AK60" s="27">
        <f>VLOOKUP($J60,output!$A$9:$AI$2200,AK$1-$L$1+2)</f>
        <v>6.4669999999999996</v>
      </c>
      <c r="AL60" s="27">
        <f>VLOOKUP($J60,output!$A$9:$AI$2200,AL$1-$L$1+2)</f>
        <v>6.4939999999999998</v>
      </c>
      <c r="AM60" s="27">
        <f>VLOOKUP($J60,output!$A$9:$AI$2200,AM$1-$L$1+2)</f>
        <v>6.5190000000000001</v>
      </c>
    </row>
    <row r="61" spans="10:39" x14ac:dyDescent="0.25">
      <c r="J61" t="s">
        <v>371</v>
      </c>
      <c r="L61" s="27">
        <f>VLOOKUP($J61,output!$A$9:$AI$2200,L$1-$L$1+2)</f>
        <v>4.883</v>
      </c>
      <c r="M61" s="27">
        <f>VLOOKUP($J61,output!$A$9:$AI$2200,M$1-$L$1+2)</f>
        <v>4.8150000000000004</v>
      </c>
      <c r="N61" s="27">
        <f>VLOOKUP($J61,output!$A$9:$AI$2200,N$1-$L$1+2)</f>
        <v>4.8179999999999996</v>
      </c>
      <c r="O61" s="27">
        <f>VLOOKUP($J61,output!$A$9:$AI$2200,O$1-$L$1+2)</f>
        <v>4.8140000000000001</v>
      </c>
      <c r="P61" s="27">
        <f>VLOOKUP($J61,output!$A$9:$AI$2200,P$1-$L$1+2)</f>
        <v>4.7720000000000002</v>
      </c>
      <c r="Q61" s="27">
        <f>VLOOKUP($J61,output!$A$9:$AI$2200,Q$1-$L$1+2)</f>
        <v>4.7229999999999999</v>
      </c>
      <c r="R61" s="27">
        <f>VLOOKUP($J61,output!$A$9:$AI$2200,R$1-$L$1+2)</f>
        <v>4.6630000000000003</v>
      </c>
      <c r="S61" s="27">
        <f>VLOOKUP($J61,output!$A$9:$AI$2200,S$1-$L$1+2)</f>
        <v>4.593</v>
      </c>
      <c r="T61" s="27">
        <f>VLOOKUP($J61,output!$A$9:$AI$2200,T$1-$L$1+2)</f>
        <v>4.5060000000000002</v>
      </c>
      <c r="U61" s="27">
        <f>VLOOKUP($J61,output!$A$9:$AI$2200,U$1-$L$1+2)</f>
        <v>4.4050000000000002</v>
      </c>
      <c r="V61" s="27">
        <f>VLOOKUP($J61,output!$A$9:$AI$2200,V$1-$L$1+2)</f>
        <v>4.29</v>
      </c>
      <c r="W61" s="27">
        <f>VLOOKUP($J61,output!$A$9:$AI$2200,W$1-$L$1+2)</f>
        <v>4.1619999999999999</v>
      </c>
      <c r="X61" s="27">
        <f>VLOOKUP($J61,output!$A$9:$AI$2200,X$1-$L$1+2)</f>
        <v>4.0199999999999996</v>
      </c>
      <c r="Y61" s="27">
        <f>VLOOKUP($J61,output!$A$9:$AI$2200,Y$1-$L$1+2)</f>
        <v>3.8159999999999998</v>
      </c>
      <c r="Z61" s="27">
        <f>VLOOKUP($J61,output!$A$9:$AI$2200,Z$1-$L$1+2)</f>
        <v>3.6059999999999999</v>
      </c>
      <c r="AA61" s="27">
        <f>VLOOKUP($J61,output!$A$9:$AI$2200,AA$1-$L$1+2)</f>
        <v>3.3919999999999999</v>
      </c>
      <c r="AB61" s="27">
        <f>VLOOKUP($J61,output!$A$9:$AI$2200,AB$1-$L$1+2)</f>
        <v>3.2240000000000002</v>
      </c>
      <c r="AC61" s="27">
        <f>VLOOKUP($J61,output!$A$9:$AI$2200,AC$1-$L$1+2)</f>
        <v>3.0070000000000001</v>
      </c>
      <c r="AD61" s="27">
        <f>VLOOKUP($J61,output!$A$9:$AI$2200,AD$1-$L$1+2)</f>
        <v>2.8330000000000002</v>
      </c>
      <c r="AE61" s="27">
        <f>VLOOKUP($J61,output!$A$9:$AI$2200,AE$1-$L$1+2)</f>
        <v>2.6619999999999999</v>
      </c>
      <c r="AF61" s="27">
        <f>VLOOKUP($J61,output!$A$9:$AI$2200,AF$1-$L$1+2)</f>
        <v>2.5179999999999998</v>
      </c>
      <c r="AG61" s="27">
        <f>VLOOKUP($J61,output!$A$9:$AI$2200,AG$1-$L$1+2)</f>
        <v>2.403</v>
      </c>
      <c r="AH61" s="27">
        <f>VLOOKUP($J61,output!$A$9:$AI$2200,AH$1-$L$1+2)</f>
        <v>2.3159999999999998</v>
      </c>
      <c r="AI61" s="27">
        <f>VLOOKUP($J61,output!$A$9:$AI$2200,AI$1-$L$1+2)</f>
        <v>2.194</v>
      </c>
      <c r="AJ61" s="27">
        <f>VLOOKUP($J61,output!$A$9:$AI$2200,AJ$1-$L$1+2)</f>
        <v>2.1019999999999999</v>
      </c>
      <c r="AK61" s="27">
        <f>VLOOKUP($J61,output!$A$9:$AI$2200,AK$1-$L$1+2)</f>
        <v>2.004</v>
      </c>
      <c r="AL61" s="27">
        <f>VLOOKUP($J61,output!$A$9:$AI$2200,AL$1-$L$1+2)</f>
        <v>1.897</v>
      </c>
      <c r="AM61" s="27">
        <f>VLOOKUP($J61,output!$A$9:$AI$2200,AM$1-$L$1+2)</f>
        <v>1.7829999999999999</v>
      </c>
    </row>
    <row r="62" spans="10:39" x14ac:dyDescent="0.25">
      <c r="J62" t="s">
        <v>370</v>
      </c>
      <c r="L62" s="27">
        <f>VLOOKUP($J62,output!$A$9:$AI$2200,L$1-$L$1+2)</f>
        <v>6.9269999999999996</v>
      </c>
      <c r="M62" s="27">
        <f>VLOOKUP($J62,output!$A$9:$AI$2200,M$1-$L$1+2)</f>
        <v>6.8579999999999997</v>
      </c>
      <c r="N62" s="27">
        <f>VLOOKUP($J62,output!$A$9:$AI$2200,N$1-$L$1+2)</f>
        <v>6.8289999999999997</v>
      </c>
      <c r="O62" s="27">
        <f>VLOOKUP($J62,output!$A$9:$AI$2200,O$1-$L$1+2)</f>
        <v>6.6760000000000002</v>
      </c>
      <c r="P62" s="27">
        <f>VLOOKUP($J62,output!$A$9:$AI$2200,P$1-$L$1+2)</f>
        <v>6.556</v>
      </c>
      <c r="Q62" s="27">
        <f>VLOOKUP($J62,output!$A$9:$AI$2200,Q$1-$L$1+2)</f>
        <v>6.3449999999999998</v>
      </c>
      <c r="R62" s="27">
        <f>VLOOKUP($J62,output!$A$9:$AI$2200,R$1-$L$1+2)</f>
        <v>6.032</v>
      </c>
      <c r="S62" s="27">
        <f>VLOOKUP($J62,output!$A$9:$AI$2200,S$1-$L$1+2)</f>
        <v>5.6310000000000002</v>
      </c>
      <c r="T62" s="27">
        <f>VLOOKUP($J62,output!$A$9:$AI$2200,T$1-$L$1+2)</f>
        <v>5.3719999999999999</v>
      </c>
      <c r="U62" s="27">
        <f>VLOOKUP($J62,output!$A$9:$AI$2200,U$1-$L$1+2)</f>
        <v>5.016</v>
      </c>
      <c r="V62" s="27">
        <f>VLOOKUP($J62,output!$A$9:$AI$2200,V$1-$L$1+2)</f>
        <v>4.6980000000000004</v>
      </c>
      <c r="W62" s="27">
        <f>VLOOKUP($J62,output!$A$9:$AI$2200,W$1-$L$1+2)</f>
        <v>4.4240000000000004</v>
      </c>
      <c r="X62" s="27">
        <f>VLOOKUP($J62,output!$A$9:$AI$2200,X$1-$L$1+2)</f>
        <v>4.1879999999999997</v>
      </c>
      <c r="Y62" s="27">
        <f>VLOOKUP($J62,output!$A$9:$AI$2200,Y$1-$L$1+2)</f>
        <v>3.956</v>
      </c>
      <c r="Z62" s="27">
        <f>VLOOKUP($J62,output!$A$9:$AI$2200,Z$1-$L$1+2)</f>
        <v>3.7749999999999999</v>
      </c>
      <c r="AA62" s="27">
        <f>VLOOKUP($J62,output!$A$9:$AI$2200,AA$1-$L$1+2)</f>
        <v>3.6190000000000002</v>
      </c>
      <c r="AB62" s="27">
        <f>VLOOKUP($J62,output!$A$9:$AI$2200,AB$1-$L$1+2)</f>
        <v>3.5110000000000001</v>
      </c>
      <c r="AC62" s="27">
        <f>VLOOKUP($J62,output!$A$9:$AI$2200,AC$1-$L$1+2)</f>
        <v>3.4049999999999998</v>
      </c>
      <c r="AD62" s="27">
        <f>VLOOKUP($J62,output!$A$9:$AI$2200,AD$1-$L$1+2)</f>
        <v>3.302</v>
      </c>
      <c r="AE62" s="27">
        <f>VLOOKUP($J62,output!$A$9:$AI$2200,AE$1-$L$1+2)</f>
        <v>3.2</v>
      </c>
      <c r="AF62" s="27">
        <f>VLOOKUP($J62,output!$A$9:$AI$2200,AF$1-$L$1+2)</f>
        <v>3.1110000000000002</v>
      </c>
      <c r="AG62" s="27">
        <f>VLOOKUP($J62,output!$A$9:$AI$2200,AG$1-$L$1+2)</f>
        <v>3.03</v>
      </c>
      <c r="AH62" s="27">
        <f>VLOOKUP($J62,output!$A$9:$AI$2200,AH$1-$L$1+2)</f>
        <v>2.9649999999999999</v>
      </c>
      <c r="AI62" s="27">
        <f>VLOOKUP($J62,output!$A$9:$AI$2200,AI$1-$L$1+2)</f>
        <v>2.8809999999999998</v>
      </c>
      <c r="AJ62" s="27">
        <f>VLOOKUP($J62,output!$A$9:$AI$2200,AJ$1-$L$1+2)</f>
        <v>2.8119999999999998</v>
      </c>
      <c r="AK62" s="27">
        <f>VLOOKUP($J62,output!$A$9:$AI$2200,AK$1-$L$1+2)</f>
        <v>2.74</v>
      </c>
      <c r="AL62" s="27">
        <f>VLOOKUP($J62,output!$A$9:$AI$2200,AL$1-$L$1+2)</f>
        <v>2.6619999999999999</v>
      </c>
      <c r="AM62" s="27">
        <f>VLOOKUP($J62,output!$A$9:$AI$2200,AM$1-$L$1+2)</f>
        <v>2.5790000000000002</v>
      </c>
    </row>
    <row r="63" spans="10:39" x14ac:dyDescent="0.25">
      <c r="J63" t="s">
        <v>373</v>
      </c>
      <c r="L63" s="27">
        <f>VLOOKUP($J63,output!$A$9:$AI$2200,L$1-$L$1+2)</f>
        <v>4.883</v>
      </c>
      <c r="M63" s="27">
        <f>VLOOKUP($J63,output!$A$9:$AI$2200,M$1-$L$1+2)</f>
        <v>4.8150000000000004</v>
      </c>
      <c r="N63" s="27">
        <f>VLOOKUP($J63,output!$A$9:$AI$2200,N$1-$L$1+2)</f>
        <v>4.8179999999999996</v>
      </c>
      <c r="O63" s="27">
        <f>VLOOKUP($J63,output!$A$9:$AI$2200,O$1-$L$1+2)</f>
        <v>4.8140000000000001</v>
      </c>
      <c r="P63" s="27">
        <f>VLOOKUP($J63,output!$A$9:$AI$2200,P$1-$L$1+2)</f>
        <v>4.7720000000000002</v>
      </c>
      <c r="Q63" s="27">
        <f>VLOOKUP($J63,output!$A$9:$AI$2200,Q$1-$L$1+2)</f>
        <v>4.7229999999999999</v>
      </c>
      <c r="R63" s="27">
        <f>VLOOKUP($J63,output!$A$9:$AI$2200,R$1-$L$1+2)</f>
        <v>4.6630000000000003</v>
      </c>
      <c r="S63" s="27">
        <f>VLOOKUP($J63,output!$A$9:$AI$2200,S$1-$L$1+2)</f>
        <v>4.593</v>
      </c>
      <c r="T63" s="27">
        <f>VLOOKUP($J63,output!$A$9:$AI$2200,T$1-$L$1+2)</f>
        <v>4.5060000000000002</v>
      </c>
      <c r="U63" s="27">
        <f>VLOOKUP($J63,output!$A$9:$AI$2200,U$1-$L$1+2)</f>
        <v>4.4050000000000002</v>
      </c>
      <c r="V63" s="27">
        <f>VLOOKUP($J63,output!$A$9:$AI$2200,V$1-$L$1+2)</f>
        <v>4.29</v>
      </c>
      <c r="W63" s="27">
        <f>VLOOKUP($J63,output!$A$9:$AI$2200,W$1-$L$1+2)</f>
        <v>4.1619999999999999</v>
      </c>
      <c r="X63" s="27">
        <f>VLOOKUP($J63,output!$A$9:$AI$2200,X$1-$L$1+2)</f>
        <v>4.0199999999999996</v>
      </c>
      <c r="Y63" s="27">
        <f>VLOOKUP($J63,output!$A$9:$AI$2200,Y$1-$L$1+2)</f>
        <v>3.8159999999999998</v>
      </c>
      <c r="Z63" s="27">
        <f>VLOOKUP($J63,output!$A$9:$AI$2200,Z$1-$L$1+2)</f>
        <v>3.6059999999999999</v>
      </c>
      <c r="AA63" s="27">
        <f>VLOOKUP($J63,output!$A$9:$AI$2200,AA$1-$L$1+2)</f>
        <v>3.3919999999999999</v>
      </c>
      <c r="AB63" s="27">
        <f>VLOOKUP($J63,output!$A$9:$AI$2200,AB$1-$L$1+2)</f>
        <v>3.2240000000000002</v>
      </c>
      <c r="AC63" s="27">
        <f>VLOOKUP($J63,output!$A$9:$AI$2200,AC$1-$L$1+2)</f>
        <v>3.0070000000000001</v>
      </c>
      <c r="AD63" s="27">
        <f>VLOOKUP($J63,output!$A$9:$AI$2200,AD$1-$L$1+2)</f>
        <v>2.8330000000000002</v>
      </c>
      <c r="AE63" s="27">
        <f>VLOOKUP($J63,output!$A$9:$AI$2200,AE$1-$L$1+2)</f>
        <v>2.6619999999999999</v>
      </c>
      <c r="AF63" s="27">
        <f>VLOOKUP($J63,output!$A$9:$AI$2200,AF$1-$L$1+2)</f>
        <v>2.5179999999999998</v>
      </c>
      <c r="AG63" s="27">
        <f>VLOOKUP($J63,output!$A$9:$AI$2200,AG$1-$L$1+2)</f>
        <v>2.403</v>
      </c>
      <c r="AH63" s="27">
        <f>VLOOKUP($J63,output!$A$9:$AI$2200,AH$1-$L$1+2)</f>
        <v>2.3159999999999998</v>
      </c>
      <c r="AI63" s="27">
        <f>VLOOKUP($J63,output!$A$9:$AI$2200,AI$1-$L$1+2)</f>
        <v>2.194</v>
      </c>
      <c r="AJ63" s="27">
        <f>VLOOKUP($J63,output!$A$9:$AI$2200,AJ$1-$L$1+2)</f>
        <v>2.1019999999999999</v>
      </c>
      <c r="AK63" s="27">
        <f>VLOOKUP($J63,output!$A$9:$AI$2200,AK$1-$L$1+2)</f>
        <v>2.004</v>
      </c>
      <c r="AL63" s="27">
        <f>VLOOKUP($J63,output!$A$9:$AI$2200,AL$1-$L$1+2)</f>
        <v>1.897</v>
      </c>
      <c r="AM63" s="27">
        <f>VLOOKUP($J63,output!$A$9:$AI$2200,AM$1-$L$1+2)</f>
        <v>1.7829999999999999</v>
      </c>
    </row>
    <row r="64" spans="10:39" x14ac:dyDescent="0.25">
      <c r="J64" t="s">
        <v>372</v>
      </c>
      <c r="L64" s="27">
        <f>VLOOKUP($J64,output!$A$9:$AI$2200,L$1-$L$1+2)</f>
        <v>6.9269999999999996</v>
      </c>
      <c r="M64" s="27">
        <f>VLOOKUP($J64,output!$A$9:$AI$2200,M$1-$L$1+2)</f>
        <v>6.8579999999999997</v>
      </c>
      <c r="N64" s="27">
        <f>VLOOKUP($J64,output!$A$9:$AI$2200,N$1-$L$1+2)</f>
        <v>6.8289999999999997</v>
      </c>
      <c r="O64" s="27">
        <f>VLOOKUP($J64,output!$A$9:$AI$2200,O$1-$L$1+2)</f>
        <v>6.6760000000000002</v>
      </c>
      <c r="P64" s="27">
        <f>VLOOKUP($J64,output!$A$9:$AI$2200,P$1-$L$1+2)</f>
        <v>6.556</v>
      </c>
      <c r="Q64" s="27">
        <f>VLOOKUP($J64,output!$A$9:$AI$2200,Q$1-$L$1+2)</f>
        <v>6.3449999999999998</v>
      </c>
      <c r="R64" s="27">
        <f>VLOOKUP($J64,output!$A$9:$AI$2200,R$1-$L$1+2)</f>
        <v>6.032</v>
      </c>
      <c r="S64" s="27">
        <f>VLOOKUP($J64,output!$A$9:$AI$2200,S$1-$L$1+2)</f>
        <v>5.6310000000000002</v>
      </c>
      <c r="T64" s="27">
        <f>VLOOKUP($J64,output!$A$9:$AI$2200,T$1-$L$1+2)</f>
        <v>5.3719999999999999</v>
      </c>
      <c r="U64" s="27">
        <f>VLOOKUP($J64,output!$A$9:$AI$2200,U$1-$L$1+2)</f>
        <v>5.016</v>
      </c>
      <c r="V64" s="27">
        <f>VLOOKUP($J64,output!$A$9:$AI$2200,V$1-$L$1+2)</f>
        <v>4.6980000000000004</v>
      </c>
      <c r="W64" s="27">
        <f>VLOOKUP($J64,output!$A$9:$AI$2200,W$1-$L$1+2)</f>
        <v>4.4240000000000004</v>
      </c>
      <c r="X64" s="27">
        <f>VLOOKUP($J64,output!$A$9:$AI$2200,X$1-$L$1+2)</f>
        <v>4.1879999999999997</v>
      </c>
      <c r="Y64" s="27">
        <f>VLOOKUP($J64,output!$A$9:$AI$2200,Y$1-$L$1+2)</f>
        <v>3.956</v>
      </c>
      <c r="Z64" s="27">
        <f>VLOOKUP($J64,output!$A$9:$AI$2200,Z$1-$L$1+2)</f>
        <v>3.7749999999999999</v>
      </c>
      <c r="AA64" s="27">
        <f>VLOOKUP($J64,output!$A$9:$AI$2200,AA$1-$L$1+2)</f>
        <v>3.6190000000000002</v>
      </c>
      <c r="AB64" s="27">
        <f>VLOOKUP($J64,output!$A$9:$AI$2200,AB$1-$L$1+2)</f>
        <v>3.5110000000000001</v>
      </c>
      <c r="AC64" s="27">
        <f>VLOOKUP($J64,output!$A$9:$AI$2200,AC$1-$L$1+2)</f>
        <v>3.4049999999999998</v>
      </c>
      <c r="AD64" s="27">
        <f>VLOOKUP($J64,output!$A$9:$AI$2200,AD$1-$L$1+2)</f>
        <v>3.302</v>
      </c>
      <c r="AE64" s="27">
        <f>VLOOKUP($J64,output!$A$9:$AI$2200,AE$1-$L$1+2)</f>
        <v>3.2</v>
      </c>
      <c r="AF64" s="27">
        <f>VLOOKUP($J64,output!$A$9:$AI$2200,AF$1-$L$1+2)</f>
        <v>3.1110000000000002</v>
      </c>
      <c r="AG64" s="27">
        <f>VLOOKUP($J64,output!$A$9:$AI$2200,AG$1-$L$1+2)</f>
        <v>3.03</v>
      </c>
      <c r="AH64" s="27">
        <f>VLOOKUP($J64,output!$A$9:$AI$2200,AH$1-$L$1+2)</f>
        <v>2.9649999999999999</v>
      </c>
      <c r="AI64" s="27">
        <f>VLOOKUP($J64,output!$A$9:$AI$2200,AI$1-$L$1+2)</f>
        <v>2.8809999999999998</v>
      </c>
      <c r="AJ64" s="27">
        <f>VLOOKUP($J64,output!$A$9:$AI$2200,AJ$1-$L$1+2)</f>
        <v>2.8119999999999998</v>
      </c>
      <c r="AK64" s="27">
        <f>VLOOKUP($J64,output!$A$9:$AI$2200,AK$1-$L$1+2)</f>
        <v>2.74</v>
      </c>
      <c r="AL64" s="27">
        <f>VLOOKUP($J64,output!$A$9:$AI$2200,AL$1-$L$1+2)</f>
        <v>2.6619999999999999</v>
      </c>
      <c r="AM64" s="27">
        <f>VLOOKUP($J64,output!$A$9:$AI$2200,AM$1-$L$1+2)</f>
        <v>2.5790000000000002</v>
      </c>
    </row>
    <row r="65" spans="10:39" x14ac:dyDescent="0.25">
      <c r="J65" t="s">
        <v>375</v>
      </c>
      <c r="L65" s="27">
        <f>VLOOKUP($J65,output!$A$9:$AI$2200,L$1-$L$1+2)</f>
        <v>2.4590000000000001</v>
      </c>
      <c r="M65" s="27">
        <f>VLOOKUP($J65,output!$A$9:$AI$2200,M$1-$L$1+2)</f>
        <v>2.2480000000000002</v>
      </c>
      <c r="N65" s="27">
        <f>VLOOKUP($J65,output!$A$9:$AI$2200,N$1-$L$1+2)</f>
        <v>2.0379999999999998</v>
      </c>
      <c r="O65" s="27">
        <f>VLOOKUP($J65,output!$A$9:$AI$2200,O$1-$L$1+2)</f>
        <v>1.83</v>
      </c>
      <c r="P65" s="27">
        <f>VLOOKUP($J65,output!$A$9:$AI$2200,P$1-$L$1+2)</f>
        <v>1.6220000000000001</v>
      </c>
      <c r="Q65" s="27">
        <f>VLOOKUP($J65,output!$A$9:$AI$2200,Q$1-$L$1+2)</f>
        <v>1.4159999999999999</v>
      </c>
      <c r="R65" s="27">
        <f>VLOOKUP($J65,output!$A$9:$AI$2200,R$1-$L$1+2)</f>
        <v>1.2110000000000001</v>
      </c>
      <c r="S65" s="27">
        <f>VLOOKUP($J65,output!$A$9:$AI$2200,S$1-$L$1+2)</f>
        <v>1.008</v>
      </c>
      <c r="T65" s="27">
        <f>VLOOKUP($J65,output!$A$9:$AI$2200,T$1-$L$1+2)</f>
        <v>0.80500000000000005</v>
      </c>
      <c r="U65" s="27">
        <f>VLOOKUP($J65,output!$A$9:$AI$2200,U$1-$L$1+2)</f>
        <v>0.60199999999999998</v>
      </c>
      <c r="V65" s="27">
        <f>VLOOKUP($J65,output!$A$9:$AI$2200,V$1-$L$1+2)</f>
        <v>0.4</v>
      </c>
      <c r="W65" s="27">
        <f>VLOOKUP($J65,output!$A$9:$AI$2200,W$1-$L$1+2)</f>
        <v>0.19900000000000001</v>
      </c>
      <c r="X65" s="27">
        <f>VLOOKUP($J65,output!$A$9:$AI$2200,X$1-$L$1+2)</f>
        <v>0</v>
      </c>
      <c r="Y65" s="27">
        <f>VLOOKUP($J65,output!$A$9:$AI$2200,Y$1-$L$1+2)</f>
        <v>0</v>
      </c>
      <c r="Z65" s="27">
        <f>VLOOKUP($J65,output!$A$9:$AI$2200,Z$1-$L$1+2)</f>
        <v>0</v>
      </c>
      <c r="AA65" s="27">
        <f>VLOOKUP($J65,output!$A$9:$AI$2200,AA$1-$L$1+2)</f>
        <v>0</v>
      </c>
      <c r="AB65" s="27">
        <f>VLOOKUP($J65,output!$A$9:$AI$2200,AB$1-$L$1+2)</f>
        <v>0</v>
      </c>
      <c r="AC65" s="27">
        <f>VLOOKUP($J65,output!$A$9:$AI$2200,AC$1-$L$1+2)</f>
        <v>0</v>
      </c>
      <c r="AD65" s="27">
        <f>VLOOKUP($J65,output!$A$9:$AI$2200,AD$1-$L$1+2)</f>
        <v>0</v>
      </c>
      <c r="AE65" s="27">
        <f>VLOOKUP($J65,output!$A$9:$AI$2200,AE$1-$L$1+2)</f>
        <v>0</v>
      </c>
      <c r="AF65" s="27">
        <f>VLOOKUP($J65,output!$A$9:$AI$2200,AF$1-$L$1+2)</f>
        <v>0</v>
      </c>
      <c r="AG65" s="27">
        <f>VLOOKUP($J65,output!$A$9:$AI$2200,AG$1-$L$1+2)</f>
        <v>0</v>
      </c>
      <c r="AH65" s="27">
        <f>VLOOKUP($J65,output!$A$9:$AI$2200,AH$1-$L$1+2)</f>
        <v>0</v>
      </c>
      <c r="AI65" s="27">
        <f>VLOOKUP($J65,output!$A$9:$AI$2200,AI$1-$L$1+2)</f>
        <v>0</v>
      </c>
      <c r="AJ65" s="27">
        <f>VLOOKUP($J65,output!$A$9:$AI$2200,AJ$1-$L$1+2)</f>
        <v>0</v>
      </c>
      <c r="AK65" s="27">
        <f>VLOOKUP($J65,output!$A$9:$AI$2200,AK$1-$L$1+2)</f>
        <v>0</v>
      </c>
      <c r="AL65" s="27">
        <f>VLOOKUP($J65,output!$A$9:$AI$2200,AL$1-$L$1+2)</f>
        <v>0</v>
      </c>
      <c r="AM65" s="27">
        <f>VLOOKUP($J65,output!$A$9:$AI$2200,AM$1-$L$1+2)</f>
        <v>0</v>
      </c>
    </row>
    <row r="66" spans="10:39" x14ac:dyDescent="0.25">
      <c r="J66" t="s">
        <v>377</v>
      </c>
      <c r="L66" s="27">
        <f>VLOOKUP($J66,output!$A$9:$AI$2200,L$1-$L$1+2)</f>
        <v>2.4590000000000001</v>
      </c>
      <c r="M66" s="27">
        <f>VLOOKUP($J66,output!$A$9:$AI$2200,M$1-$L$1+2)</f>
        <v>2.2480000000000002</v>
      </c>
      <c r="N66" s="27">
        <f>VLOOKUP($J66,output!$A$9:$AI$2200,N$1-$L$1+2)</f>
        <v>2.0379999999999998</v>
      </c>
      <c r="O66" s="27">
        <f>VLOOKUP($J66,output!$A$9:$AI$2200,O$1-$L$1+2)</f>
        <v>1.83</v>
      </c>
      <c r="P66" s="27">
        <f>VLOOKUP($J66,output!$A$9:$AI$2200,P$1-$L$1+2)</f>
        <v>1.6220000000000001</v>
      </c>
      <c r="Q66" s="27">
        <f>VLOOKUP($J66,output!$A$9:$AI$2200,Q$1-$L$1+2)</f>
        <v>1.4159999999999999</v>
      </c>
      <c r="R66" s="27">
        <f>VLOOKUP($J66,output!$A$9:$AI$2200,R$1-$L$1+2)</f>
        <v>1.2110000000000001</v>
      </c>
      <c r="S66" s="27">
        <f>VLOOKUP($J66,output!$A$9:$AI$2200,S$1-$L$1+2)</f>
        <v>1.008</v>
      </c>
      <c r="T66" s="27">
        <f>VLOOKUP($J66,output!$A$9:$AI$2200,T$1-$L$1+2)</f>
        <v>0.80500000000000005</v>
      </c>
      <c r="U66" s="27">
        <f>VLOOKUP($J66,output!$A$9:$AI$2200,U$1-$L$1+2)</f>
        <v>0.60199999999999998</v>
      </c>
      <c r="V66" s="27">
        <f>VLOOKUP($J66,output!$A$9:$AI$2200,V$1-$L$1+2)</f>
        <v>0.4</v>
      </c>
      <c r="W66" s="27">
        <f>VLOOKUP($J66,output!$A$9:$AI$2200,W$1-$L$1+2)</f>
        <v>0.19900000000000001</v>
      </c>
      <c r="X66" s="27">
        <f>VLOOKUP($J66,output!$A$9:$AI$2200,X$1-$L$1+2)</f>
        <v>0</v>
      </c>
      <c r="Y66" s="27">
        <f>VLOOKUP($J66,output!$A$9:$AI$2200,Y$1-$L$1+2)</f>
        <v>0</v>
      </c>
      <c r="Z66" s="27">
        <f>VLOOKUP($J66,output!$A$9:$AI$2200,Z$1-$L$1+2)</f>
        <v>0</v>
      </c>
      <c r="AA66" s="27">
        <f>VLOOKUP($J66,output!$A$9:$AI$2200,AA$1-$L$1+2)</f>
        <v>0</v>
      </c>
      <c r="AB66" s="27">
        <f>VLOOKUP($J66,output!$A$9:$AI$2200,AB$1-$L$1+2)</f>
        <v>0</v>
      </c>
      <c r="AC66" s="27">
        <f>VLOOKUP($J66,output!$A$9:$AI$2200,AC$1-$L$1+2)</f>
        <v>0</v>
      </c>
      <c r="AD66" s="27">
        <f>VLOOKUP($J66,output!$A$9:$AI$2200,AD$1-$L$1+2)</f>
        <v>0</v>
      </c>
      <c r="AE66" s="27">
        <f>VLOOKUP($J66,output!$A$9:$AI$2200,AE$1-$L$1+2)</f>
        <v>0</v>
      </c>
      <c r="AF66" s="27">
        <f>VLOOKUP($J66,output!$A$9:$AI$2200,AF$1-$L$1+2)</f>
        <v>0</v>
      </c>
      <c r="AG66" s="27">
        <f>VLOOKUP($J66,output!$A$9:$AI$2200,AG$1-$L$1+2)</f>
        <v>0</v>
      </c>
      <c r="AH66" s="27">
        <f>VLOOKUP($J66,output!$A$9:$AI$2200,AH$1-$L$1+2)</f>
        <v>0</v>
      </c>
      <c r="AI66" s="27">
        <f>VLOOKUP($J66,output!$A$9:$AI$2200,AI$1-$L$1+2)</f>
        <v>0</v>
      </c>
      <c r="AJ66" s="27">
        <f>VLOOKUP($J66,output!$A$9:$AI$2200,AJ$1-$L$1+2)</f>
        <v>0</v>
      </c>
      <c r="AK66" s="27">
        <f>VLOOKUP($J66,output!$A$9:$AI$2200,AK$1-$L$1+2)</f>
        <v>0</v>
      </c>
      <c r="AL66" s="27">
        <f>VLOOKUP($J66,output!$A$9:$AI$2200,AL$1-$L$1+2)</f>
        <v>0</v>
      </c>
      <c r="AM66" s="27">
        <f>VLOOKUP($J66,output!$A$9:$AI$2200,AM$1-$L$1+2)</f>
        <v>0</v>
      </c>
    </row>
    <row r="67" spans="10:39" x14ac:dyDescent="0.25">
      <c r="J67" t="s">
        <v>380</v>
      </c>
      <c r="L67" s="27">
        <f>VLOOKUP($J67,output!$A$9:$AI$2200,L$1-$L$1+2)</f>
        <v>6.9269999999999996</v>
      </c>
      <c r="M67" s="27">
        <f>VLOOKUP($J67,output!$A$9:$AI$2200,M$1-$L$1+2)</f>
        <v>6.8579999999999997</v>
      </c>
      <c r="N67" s="27">
        <f>VLOOKUP($J67,output!$A$9:$AI$2200,N$1-$L$1+2)</f>
        <v>6.8289999999999997</v>
      </c>
      <c r="O67" s="27">
        <f>VLOOKUP($J67,output!$A$9:$AI$2200,O$1-$L$1+2)</f>
        <v>6.6760000000000002</v>
      </c>
      <c r="P67" s="27">
        <f>VLOOKUP($J67,output!$A$9:$AI$2200,P$1-$L$1+2)</f>
        <v>6.556</v>
      </c>
      <c r="Q67" s="27">
        <f>VLOOKUP($J67,output!$A$9:$AI$2200,Q$1-$L$1+2)</f>
        <v>6.3449999999999998</v>
      </c>
      <c r="R67" s="27">
        <f>VLOOKUP($J67,output!$A$9:$AI$2200,R$1-$L$1+2)</f>
        <v>6.032</v>
      </c>
      <c r="S67" s="27">
        <f>VLOOKUP($J67,output!$A$9:$AI$2200,S$1-$L$1+2)</f>
        <v>5.6310000000000002</v>
      </c>
      <c r="T67" s="27">
        <f>VLOOKUP($J67,output!$A$9:$AI$2200,T$1-$L$1+2)</f>
        <v>5.3719999999999999</v>
      </c>
      <c r="U67" s="27">
        <f>VLOOKUP($J67,output!$A$9:$AI$2200,U$1-$L$1+2)</f>
        <v>5.016</v>
      </c>
      <c r="V67" s="27">
        <f>VLOOKUP($J67,output!$A$9:$AI$2200,V$1-$L$1+2)</f>
        <v>4.6980000000000004</v>
      </c>
      <c r="W67" s="27">
        <f>VLOOKUP($J67,output!$A$9:$AI$2200,W$1-$L$1+2)</f>
        <v>4.4240000000000004</v>
      </c>
      <c r="X67" s="27">
        <f>VLOOKUP($J67,output!$A$9:$AI$2200,X$1-$L$1+2)</f>
        <v>4.1879999999999997</v>
      </c>
      <c r="Y67" s="27">
        <f>VLOOKUP($J67,output!$A$9:$AI$2200,Y$1-$L$1+2)</f>
        <v>3.956</v>
      </c>
      <c r="Z67" s="27">
        <f>VLOOKUP($J67,output!$A$9:$AI$2200,Z$1-$L$1+2)</f>
        <v>3.7749999999999999</v>
      </c>
      <c r="AA67" s="27">
        <f>VLOOKUP($J67,output!$A$9:$AI$2200,AA$1-$L$1+2)</f>
        <v>3.6190000000000002</v>
      </c>
      <c r="AB67" s="27">
        <f>VLOOKUP($J67,output!$A$9:$AI$2200,AB$1-$L$1+2)</f>
        <v>3.5110000000000001</v>
      </c>
      <c r="AC67" s="27">
        <f>VLOOKUP($J67,output!$A$9:$AI$2200,AC$1-$L$1+2)</f>
        <v>3.4049999999999998</v>
      </c>
      <c r="AD67" s="27">
        <f>VLOOKUP($J67,output!$A$9:$AI$2200,AD$1-$L$1+2)</f>
        <v>3.302</v>
      </c>
      <c r="AE67" s="27">
        <f>VLOOKUP($J67,output!$A$9:$AI$2200,AE$1-$L$1+2)</f>
        <v>3.2</v>
      </c>
      <c r="AF67" s="27">
        <f>VLOOKUP($J67,output!$A$9:$AI$2200,AF$1-$L$1+2)</f>
        <v>3.1110000000000002</v>
      </c>
      <c r="AG67" s="27">
        <f>VLOOKUP($J67,output!$A$9:$AI$2200,AG$1-$L$1+2)</f>
        <v>3.03</v>
      </c>
      <c r="AH67" s="27">
        <f>VLOOKUP($J67,output!$A$9:$AI$2200,AH$1-$L$1+2)</f>
        <v>2.9649999999999999</v>
      </c>
      <c r="AI67" s="27">
        <f>VLOOKUP($J67,output!$A$9:$AI$2200,AI$1-$L$1+2)</f>
        <v>2.8809999999999998</v>
      </c>
      <c r="AJ67" s="27">
        <f>VLOOKUP($J67,output!$A$9:$AI$2200,AJ$1-$L$1+2)</f>
        <v>2.8119999999999998</v>
      </c>
      <c r="AK67" s="27">
        <f>VLOOKUP($J67,output!$A$9:$AI$2200,AK$1-$L$1+2)</f>
        <v>2.74</v>
      </c>
      <c r="AL67" s="27">
        <f>VLOOKUP($J67,output!$A$9:$AI$2200,AL$1-$L$1+2)</f>
        <v>2.6619999999999999</v>
      </c>
      <c r="AM67" s="27">
        <f>VLOOKUP($J67,output!$A$9:$AI$2200,AM$1-$L$1+2)</f>
        <v>2.5790000000000002</v>
      </c>
    </row>
    <row r="68" spans="10:39" x14ac:dyDescent="0.25">
      <c r="J68" t="s">
        <v>374</v>
      </c>
      <c r="L68" s="27">
        <f>VLOOKUP($J68,output!$A$9:$AI$2200,L$1-$L$1+2)</f>
        <v>0.59</v>
      </c>
      <c r="M68" s="27">
        <f>VLOOKUP($J68,output!$A$9:$AI$2200,M$1-$L$1+2)</f>
        <v>0.54</v>
      </c>
      <c r="N68" s="27">
        <f>VLOOKUP($J68,output!$A$9:$AI$2200,N$1-$L$1+2)</f>
        <v>0.49</v>
      </c>
      <c r="O68" s="27">
        <f>VLOOKUP($J68,output!$A$9:$AI$2200,O$1-$L$1+2)</f>
        <v>0.44</v>
      </c>
      <c r="P68" s="27">
        <f>VLOOKUP($J68,output!$A$9:$AI$2200,P$1-$L$1+2)</f>
        <v>0.39100000000000001</v>
      </c>
      <c r="Q68" s="27">
        <f>VLOOKUP($J68,output!$A$9:$AI$2200,Q$1-$L$1+2)</f>
        <v>0.34100000000000003</v>
      </c>
      <c r="R68" s="27">
        <f>VLOOKUP($J68,output!$A$9:$AI$2200,R$1-$L$1+2)</f>
        <v>0.29199999999999998</v>
      </c>
      <c r="S68" s="27">
        <f>VLOOKUP($J68,output!$A$9:$AI$2200,S$1-$L$1+2)</f>
        <v>0.24399999999999999</v>
      </c>
      <c r="T68" s="27">
        <f>VLOOKUP($J68,output!$A$9:$AI$2200,T$1-$L$1+2)</f>
        <v>0.19500000000000001</v>
      </c>
      <c r="U68" s="27">
        <f>VLOOKUP($J68,output!$A$9:$AI$2200,U$1-$L$1+2)</f>
        <v>0.14599999999999999</v>
      </c>
      <c r="V68" s="27">
        <f>VLOOKUP($J68,output!$A$9:$AI$2200,V$1-$L$1+2)</f>
        <v>9.7000000000000003E-2</v>
      </c>
      <c r="W68" s="27">
        <f>VLOOKUP($J68,output!$A$9:$AI$2200,W$1-$L$1+2)</f>
        <v>4.9000000000000002E-2</v>
      </c>
      <c r="X68" s="27">
        <f>VLOOKUP($J68,output!$A$9:$AI$2200,X$1-$L$1+2)</f>
        <v>0</v>
      </c>
      <c r="Y68" s="27">
        <f>VLOOKUP($J68,output!$A$9:$AI$2200,Y$1-$L$1+2)</f>
        <v>0</v>
      </c>
      <c r="Z68" s="27">
        <f>VLOOKUP($J68,output!$A$9:$AI$2200,Z$1-$L$1+2)</f>
        <v>0</v>
      </c>
      <c r="AA68" s="27">
        <f>VLOOKUP($J68,output!$A$9:$AI$2200,AA$1-$L$1+2)</f>
        <v>0</v>
      </c>
      <c r="AB68" s="27">
        <f>VLOOKUP($J68,output!$A$9:$AI$2200,AB$1-$L$1+2)</f>
        <v>0</v>
      </c>
      <c r="AC68" s="27">
        <f>VLOOKUP($J68,output!$A$9:$AI$2200,AC$1-$L$1+2)</f>
        <v>0</v>
      </c>
      <c r="AD68" s="27">
        <f>VLOOKUP($J68,output!$A$9:$AI$2200,AD$1-$L$1+2)</f>
        <v>0</v>
      </c>
      <c r="AE68" s="27">
        <f>VLOOKUP($J68,output!$A$9:$AI$2200,AE$1-$L$1+2)</f>
        <v>0</v>
      </c>
      <c r="AF68" s="27">
        <f>VLOOKUP($J68,output!$A$9:$AI$2200,AF$1-$L$1+2)</f>
        <v>0</v>
      </c>
      <c r="AG68" s="27">
        <f>VLOOKUP($J68,output!$A$9:$AI$2200,AG$1-$L$1+2)</f>
        <v>0</v>
      </c>
      <c r="AH68" s="27">
        <f>VLOOKUP($J68,output!$A$9:$AI$2200,AH$1-$L$1+2)</f>
        <v>0</v>
      </c>
      <c r="AI68" s="27">
        <f>VLOOKUP($J68,output!$A$9:$AI$2200,AI$1-$L$1+2)</f>
        <v>0</v>
      </c>
      <c r="AJ68" s="27">
        <f>VLOOKUP($J68,output!$A$9:$AI$2200,AJ$1-$L$1+2)</f>
        <v>0</v>
      </c>
      <c r="AK68" s="27">
        <f>VLOOKUP($J68,output!$A$9:$AI$2200,AK$1-$L$1+2)</f>
        <v>0</v>
      </c>
      <c r="AL68" s="27">
        <f>VLOOKUP($J68,output!$A$9:$AI$2200,AL$1-$L$1+2)</f>
        <v>0</v>
      </c>
      <c r="AM68" s="27">
        <f>VLOOKUP($J68,output!$A$9:$AI$2200,AM$1-$L$1+2)</f>
        <v>0</v>
      </c>
    </row>
    <row r="69" spans="10:39" x14ac:dyDescent="0.25">
      <c r="J69" t="s">
        <v>376</v>
      </c>
      <c r="L69" s="27">
        <f>VLOOKUP($J69,output!$A$9:$AI$2200,L$1-$L$1+2)</f>
        <v>0.59</v>
      </c>
      <c r="M69" s="27">
        <f>VLOOKUP($J69,output!$A$9:$AI$2200,M$1-$L$1+2)</f>
        <v>0.54</v>
      </c>
      <c r="N69" s="27">
        <f>VLOOKUP($J69,output!$A$9:$AI$2200,N$1-$L$1+2)</f>
        <v>0.49</v>
      </c>
      <c r="O69" s="27">
        <f>VLOOKUP($J69,output!$A$9:$AI$2200,O$1-$L$1+2)</f>
        <v>0.44</v>
      </c>
      <c r="P69" s="27">
        <f>VLOOKUP($J69,output!$A$9:$AI$2200,P$1-$L$1+2)</f>
        <v>0.39100000000000001</v>
      </c>
      <c r="Q69" s="27">
        <f>VLOOKUP($J69,output!$A$9:$AI$2200,Q$1-$L$1+2)</f>
        <v>0.34100000000000003</v>
      </c>
      <c r="R69" s="27">
        <f>VLOOKUP($J69,output!$A$9:$AI$2200,R$1-$L$1+2)</f>
        <v>0.29199999999999998</v>
      </c>
      <c r="S69" s="27">
        <f>VLOOKUP($J69,output!$A$9:$AI$2200,S$1-$L$1+2)</f>
        <v>0.24399999999999999</v>
      </c>
      <c r="T69" s="27">
        <f>VLOOKUP($J69,output!$A$9:$AI$2200,T$1-$L$1+2)</f>
        <v>0.19500000000000001</v>
      </c>
      <c r="U69" s="27">
        <f>VLOOKUP($J69,output!$A$9:$AI$2200,U$1-$L$1+2)</f>
        <v>0.14599999999999999</v>
      </c>
      <c r="V69" s="27">
        <f>VLOOKUP($J69,output!$A$9:$AI$2200,V$1-$L$1+2)</f>
        <v>9.7000000000000003E-2</v>
      </c>
      <c r="W69" s="27">
        <f>VLOOKUP($J69,output!$A$9:$AI$2200,W$1-$L$1+2)</f>
        <v>4.9000000000000002E-2</v>
      </c>
      <c r="X69" s="27">
        <f>VLOOKUP($J69,output!$A$9:$AI$2200,X$1-$L$1+2)</f>
        <v>0</v>
      </c>
      <c r="Y69" s="27">
        <f>VLOOKUP($J69,output!$A$9:$AI$2200,Y$1-$L$1+2)</f>
        <v>0</v>
      </c>
      <c r="Z69" s="27">
        <f>VLOOKUP($J69,output!$A$9:$AI$2200,Z$1-$L$1+2)</f>
        <v>0</v>
      </c>
      <c r="AA69" s="27">
        <f>VLOOKUP($J69,output!$A$9:$AI$2200,AA$1-$L$1+2)</f>
        <v>0</v>
      </c>
      <c r="AB69" s="27">
        <f>VLOOKUP($J69,output!$A$9:$AI$2200,AB$1-$L$1+2)</f>
        <v>0</v>
      </c>
      <c r="AC69" s="27">
        <f>VLOOKUP($J69,output!$A$9:$AI$2200,AC$1-$L$1+2)</f>
        <v>0</v>
      </c>
      <c r="AD69" s="27">
        <f>VLOOKUP($J69,output!$A$9:$AI$2200,AD$1-$L$1+2)</f>
        <v>0</v>
      </c>
      <c r="AE69" s="27">
        <f>VLOOKUP($J69,output!$A$9:$AI$2200,AE$1-$L$1+2)</f>
        <v>0</v>
      </c>
      <c r="AF69" s="27">
        <f>VLOOKUP($J69,output!$A$9:$AI$2200,AF$1-$L$1+2)</f>
        <v>0</v>
      </c>
      <c r="AG69" s="27">
        <f>VLOOKUP($J69,output!$A$9:$AI$2200,AG$1-$L$1+2)</f>
        <v>0</v>
      </c>
      <c r="AH69" s="27">
        <f>VLOOKUP($J69,output!$A$9:$AI$2200,AH$1-$L$1+2)</f>
        <v>0</v>
      </c>
      <c r="AI69" s="27">
        <f>VLOOKUP($J69,output!$A$9:$AI$2200,AI$1-$L$1+2)</f>
        <v>0</v>
      </c>
      <c r="AJ69" s="27">
        <f>VLOOKUP($J69,output!$A$9:$AI$2200,AJ$1-$L$1+2)</f>
        <v>0</v>
      </c>
      <c r="AK69" s="27">
        <f>VLOOKUP($J69,output!$A$9:$AI$2200,AK$1-$L$1+2)</f>
        <v>0</v>
      </c>
      <c r="AL69" s="27">
        <f>VLOOKUP($J69,output!$A$9:$AI$2200,AL$1-$L$1+2)</f>
        <v>0</v>
      </c>
      <c r="AM69" s="27">
        <f>VLOOKUP($J69,output!$A$9:$AI$2200,AM$1-$L$1+2)</f>
        <v>0</v>
      </c>
    </row>
    <row r="70" spans="10:39" x14ac:dyDescent="0.25">
      <c r="J70" t="s">
        <v>378</v>
      </c>
      <c r="L70" s="27">
        <f>VLOOKUP($J70,output!$A$9:$AI$2200,L$1-$L$1+2)</f>
        <v>2.7330000000000001</v>
      </c>
      <c r="M70" s="27">
        <f>VLOOKUP($J70,output!$A$9:$AI$2200,M$1-$L$1+2)</f>
        <v>2.7629999999999999</v>
      </c>
      <c r="N70" s="27">
        <f>VLOOKUP($J70,output!$A$9:$AI$2200,N$1-$L$1+2)</f>
        <v>2.782</v>
      </c>
      <c r="O70" s="27">
        <f>VLOOKUP($J70,output!$A$9:$AI$2200,O$1-$L$1+2)</f>
        <v>2.8</v>
      </c>
      <c r="P70" s="27">
        <f>VLOOKUP($J70,output!$A$9:$AI$2200,P$1-$L$1+2)</f>
        <v>2.82</v>
      </c>
      <c r="Q70" s="27">
        <f>VLOOKUP($J70,output!$A$9:$AI$2200,Q$1-$L$1+2)</f>
        <v>2.84</v>
      </c>
      <c r="R70" s="27">
        <f>VLOOKUP($J70,output!$A$9:$AI$2200,R$1-$L$1+2)</f>
        <v>2.86</v>
      </c>
      <c r="S70" s="27">
        <f>VLOOKUP($J70,output!$A$9:$AI$2200,S$1-$L$1+2)</f>
        <v>2.8759999999999999</v>
      </c>
      <c r="T70" s="27">
        <f>VLOOKUP($J70,output!$A$9:$AI$2200,T$1-$L$1+2)</f>
        <v>2.8929999999999998</v>
      </c>
      <c r="U70" s="27">
        <f>VLOOKUP($J70,output!$A$9:$AI$2200,U$1-$L$1+2)</f>
        <v>2.91</v>
      </c>
      <c r="V70" s="27">
        <f>VLOOKUP($J70,output!$A$9:$AI$2200,V$1-$L$1+2)</f>
        <v>2.927</v>
      </c>
      <c r="W70" s="27">
        <f>VLOOKUP($J70,output!$A$9:$AI$2200,W$1-$L$1+2)</f>
        <v>2.944</v>
      </c>
      <c r="X70" s="27">
        <f>VLOOKUP($J70,output!$A$9:$AI$2200,X$1-$L$1+2)</f>
        <v>2.9620000000000002</v>
      </c>
      <c r="Y70" s="27">
        <f>VLOOKUP($J70,output!$A$9:$AI$2200,Y$1-$L$1+2)</f>
        <v>2.9750000000000001</v>
      </c>
      <c r="Z70" s="27">
        <f>VLOOKUP($J70,output!$A$9:$AI$2200,Z$1-$L$1+2)</f>
        <v>2.988</v>
      </c>
      <c r="AA70" s="27">
        <f>VLOOKUP($J70,output!$A$9:$AI$2200,AA$1-$L$1+2)</f>
        <v>3.0019999999999998</v>
      </c>
      <c r="AB70" s="27">
        <f>VLOOKUP($J70,output!$A$9:$AI$2200,AB$1-$L$1+2)</f>
        <v>3.0139999999999998</v>
      </c>
      <c r="AC70" s="27">
        <f>VLOOKUP($J70,output!$A$9:$AI$2200,AC$1-$L$1+2)</f>
        <v>3.024</v>
      </c>
      <c r="AD70" s="27">
        <f>VLOOKUP($J70,output!$A$9:$AI$2200,AD$1-$L$1+2)</f>
        <v>3.0310000000000001</v>
      </c>
      <c r="AE70" s="27">
        <f>VLOOKUP($J70,output!$A$9:$AI$2200,AE$1-$L$1+2)</f>
        <v>3.0390000000000001</v>
      </c>
      <c r="AF70" s="27">
        <f>VLOOKUP($J70,output!$A$9:$AI$2200,AF$1-$L$1+2)</f>
        <v>3.0449999999999999</v>
      </c>
      <c r="AG70" s="27">
        <f>VLOOKUP($J70,output!$A$9:$AI$2200,AG$1-$L$1+2)</f>
        <v>3.0449999999999999</v>
      </c>
      <c r="AH70" s="27">
        <f>VLOOKUP($J70,output!$A$9:$AI$2200,AH$1-$L$1+2)</f>
        <v>3.0449999999999999</v>
      </c>
      <c r="AI70" s="27">
        <f>VLOOKUP($J70,output!$A$9:$AI$2200,AI$1-$L$1+2)</f>
        <v>3.0449999999999999</v>
      </c>
      <c r="AJ70" s="27">
        <f>VLOOKUP($J70,output!$A$9:$AI$2200,AJ$1-$L$1+2)</f>
        <v>3.044</v>
      </c>
      <c r="AK70" s="27">
        <f>VLOOKUP($J70,output!$A$9:$AI$2200,AK$1-$L$1+2)</f>
        <v>3.0430000000000001</v>
      </c>
      <c r="AL70" s="27">
        <f>VLOOKUP($J70,output!$A$9:$AI$2200,AL$1-$L$1+2)</f>
        <v>3.0419999999999998</v>
      </c>
      <c r="AM70" s="27">
        <f>VLOOKUP($J70,output!$A$9:$AI$2200,AM$1-$L$1+2)</f>
        <v>3.0390000000000001</v>
      </c>
    </row>
    <row r="71" spans="10:39" x14ac:dyDescent="0.25">
      <c r="J71" t="s">
        <v>379</v>
      </c>
      <c r="L71" s="27">
        <f>VLOOKUP($J71,output!$A$9:$AI$2200,L$1-$L$1+2)</f>
        <v>2.7330000000000001</v>
      </c>
      <c r="M71" s="27">
        <f>VLOOKUP($J71,output!$A$9:$AI$2200,M$1-$L$1+2)</f>
        <v>2.7629999999999999</v>
      </c>
      <c r="N71" s="27">
        <f>VLOOKUP($J71,output!$A$9:$AI$2200,N$1-$L$1+2)</f>
        <v>2.782</v>
      </c>
      <c r="O71" s="27">
        <f>VLOOKUP($J71,output!$A$9:$AI$2200,O$1-$L$1+2)</f>
        <v>2.8</v>
      </c>
      <c r="P71" s="27">
        <f>VLOOKUP($J71,output!$A$9:$AI$2200,P$1-$L$1+2)</f>
        <v>2.82</v>
      </c>
      <c r="Q71" s="27">
        <f>VLOOKUP($J71,output!$A$9:$AI$2200,Q$1-$L$1+2)</f>
        <v>2.84</v>
      </c>
      <c r="R71" s="27">
        <f>VLOOKUP($J71,output!$A$9:$AI$2200,R$1-$L$1+2)</f>
        <v>2.86</v>
      </c>
      <c r="S71" s="27">
        <f>VLOOKUP($J71,output!$A$9:$AI$2200,S$1-$L$1+2)</f>
        <v>2.8759999999999999</v>
      </c>
      <c r="T71" s="27">
        <f>VLOOKUP($J71,output!$A$9:$AI$2200,T$1-$L$1+2)</f>
        <v>2.8929999999999998</v>
      </c>
      <c r="U71" s="27">
        <f>VLOOKUP($J71,output!$A$9:$AI$2200,U$1-$L$1+2)</f>
        <v>2.91</v>
      </c>
      <c r="V71" s="27">
        <f>VLOOKUP($J71,output!$A$9:$AI$2200,V$1-$L$1+2)</f>
        <v>2.927</v>
      </c>
      <c r="W71" s="27">
        <f>VLOOKUP($J71,output!$A$9:$AI$2200,W$1-$L$1+2)</f>
        <v>2.944</v>
      </c>
      <c r="X71" s="27">
        <f>VLOOKUP($J71,output!$A$9:$AI$2200,X$1-$L$1+2)</f>
        <v>2.9620000000000002</v>
      </c>
      <c r="Y71" s="27">
        <f>VLOOKUP($J71,output!$A$9:$AI$2200,Y$1-$L$1+2)</f>
        <v>2.9750000000000001</v>
      </c>
      <c r="Z71" s="27">
        <f>VLOOKUP($J71,output!$A$9:$AI$2200,Z$1-$L$1+2)</f>
        <v>2.988</v>
      </c>
      <c r="AA71" s="27">
        <f>VLOOKUP($J71,output!$A$9:$AI$2200,AA$1-$L$1+2)</f>
        <v>3.0019999999999998</v>
      </c>
      <c r="AB71" s="27">
        <f>VLOOKUP($J71,output!$A$9:$AI$2200,AB$1-$L$1+2)</f>
        <v>3.0139999999999998</v>
      </c>
      <c r="AC71" s="27">
        <f>VLOOKUP($J71,output!$A$9:$AI$2200,AC$1-$L$1+2)</f>
        <v>3.024</v>
      </c>
      <c r="AD71" s="27">
        <f>VLOOKUP($J71,output!$A$9:$AI$2200,AD$1-$L$1+2)</f>
        <v>3.0310000000000001</v>
      </c>
      <c r="AE71" s="27">
        <f>VLOOKUP($J71,output!$A$9:$AI$2200,AE$1-$L$1+2)</f>
        <v>3.0390000000000001</v>
      </c>
      <c r="AF71" s="27">
        <f>VLOOKUP($J71,output!$A$9:$AI$2200,AF$1-$L$1+2)</f>
        <v>3.0449999999999999</v>
      </c>
      <c r="AG71" s="27">
        <f>VLOOKUP($J71,output!$A$9:$AI$2200,AG$1-$L$1+2)</f>
        <v>3.0449999999999999</v>
      </c>
      <c r="AH71" s="27">
        <f>VLOOKUP($J71,output!$A$9:$AI$2200,AH$1-$L$1+2)</f>
        <v>3.0449999999999999</v>
      </c>
      <c r="AI71" s="27">
        <f>VLOOKUP($J71,output!$A$9:$AI$2200,AI$1-$L$1+2)</f>
        <v>3.0449999999999999</v>
      </c>
      <c r="AJ71" s="27">
        <f>VLOOKUP($J71,output!$A$9:$AI$2200,AJ$1-$L$1+2)</f>
        <v>3.044</v>
      </c>
      <c r="AK71" s="27">
        <f>VLOOKUP($J71,output!$A$9:$AI$2200,AK$1-$L$1+2)</f>
        <v>3.0430000000000001</v>
      </c>
      <c r="AL71" s="27">
        <f>VLOOKUP($J71,output!$A$9:$AI$2200,AL$1-$L$1+2)</f>
        <v>3.0419999999999998</v>
      </c>
      <c r="AM71" s="27">
        <f>VLOOKUP($J71,output!$A$9:$AI$2200,AM$1-$L$1+2)</f>
        <v>3.0390000000000001</v>
      </c>
    </row>
    <row r="72" spans="10:39" x14ac:dyDescent="0.25">
      <c r="J72" t="s">
        <v>381</v>
      </c>
      <c r="L72" s="27">
        <f>VLOOKUP($J72,output!$A$9:$AI$2200,L$1-$L$1+2)</f>
        <v>0.59</v>
      </c>
      <c r="M72" s="27">
        <f>VLOOKUP($J72,output!$A$9:$AI$2200,M$1-$L$1+2)</f>
        <v>0.54</v>
      </c>
      <c r="N72" s="27">
        <f>VLOOKUP($J72,output!$A$9:$AI$2200,N$1-$L$1+2)</f>
        <v>0.49</v>
      </c>
      <c r="O72" s="27">
        <f>VLOOKUP($J72,output!$A$9:$AI$2200,O$1-$L$1+2)</f>
        <v>0.44</v>
      </c>
      <c r="P72" s="27">
        <f>VLOOKUP($J72,output!$A$9:$AI$2200,P$1-$L$1+2)</f>
        <v>0.39100000000000001</v>
      </c>
      <c r="Q72" s="27">
        <f>VLOOKUP($J72,output!$A$9:$AI$2200,Q$1-$L$1+2)</f>
        <v>0.34100000000000003</v>
      </c>
      <c r="R72" s="27">
        <f>VLOOKUP($J72,output!$A$9:$AI$2200,R$1-$L$1+2)</f>
        <v>0.29199999999999998</v>
      </c>
      <c r="S72" s="27">
        <f>VLOOKUP($J72,output!$A$9:$AI$2200,S$1-$L$1+2)</f>
        <v>0.24399999999999999</v>
      </c>
      <c r="T72" s="27">
        <f>VLOOKUP($J72,output!$A$9:$AI$2200,T$1-$L$1+2)</f>
        <v>0.19500000000000001</v>
      </c>
      <c r="U72" s="27">
        <f>VLOOKUP($J72,output!$A$9:$AI$2200,U$1-$L$1+2)</f>
        <v>0.14599999999999999</v>
      </c>
      <c r="V72" s="27">
        <f>VLOOKUP($J72,output!$A$9:$AI$2200,V$1-$L$1+2)</f>
        <v>9.7000000000000003E-2</v>
      </c>
      <c r="W72" s="27">
        <f>VLOOKUP($J72,output!$A$9:$AI$2200,W$1-$L$1+2)</f>
        <v>4.9000000000000002E-2</v>
      </c>
      <c r="X72" s="27">
        <f>VLOOKUP($J72,output!$A$9:$AI$2200,X$1-$L$1+2)</f>
        <v>0</v>
      </c>
      <c r="Y72" s="27">
        <f>VLOOKUP($J72,output!$A$9:$AI$2200,Y$1-$L$1+2)</f>
        <v>0</v>
      </c>
      <c r="Z72" s="27">
        <f>VLOOKUP($J72,output!$A$9:$AI$2200,Z$1-$L$1+2)</f>
        <v>0</v>
      </c>
      <c r="AA72" s="27">
        <f>VLOOKUP($J72,output!$A$9:$AI$2200,AA$1-$L$1+2)</f>
        <v>0</v>
      </c>
      <c r="AB72" s="27">
        <f>VLOOKUP($J72,output!$A$9:$AI$2200,AB$1-$L$1+2)</f>
        <v>0</v>
      </c>
      <c r="AC72" s="27">
        <f>VLOOKUP($J72,output!$A$9:$AI$2200,AC$1-$L$1+2)</f>
        <v>0</v>
      </c>
      <c r="AD72" s="27">
        <f>VLOOKUP($J72,output!$A$9:$AI$2200,AD$1-$L$1+2)</f>
        <v>0</v>
      </c>
      <c r="AE72" s="27">
        <f>VLOOKUP($J72,output!$A$9:$AI$2200,AE$1-$L$1+2)</f>
        <v>0</v>
      </c>
      <c r="AF72" s="27">
        <f>VLOOKUP($J72,output!$A$9:$AI$2200,AF$1-$L$1+2)</f>
        <v>0</v>
      </c>
      <c r="AG72" s="27">
        <f>VLOOKUP($J72,output!$A$9:$AI$2200,AG$1-$L$1+2)</f>
        <v>0</v>
      </c>
      <c r="AH72" s="27">
        <f>VLOOKUP($J72,output!$A$9:$AI$2200,AH$1-$L$1+2)</f>
        <v>0</v>
      </c>
      <c r="AI72" s="27">
        <f>VLOOKUP($J72,output!$A$9:$AI$2200,AI$1-$L$1+2)</f>
        <v>0</v>
      </c>
      <c r="AJ72" s="27">
        <f>VLOOKUP($J72,output!$A$9:$AI$2200,AJ$1-$L$1+2)</f>
        <v>0</v>
      </c>
      <c r="AK72" s="27">
        <f>VLOOKUP($J72,output!$A$9:$AI$2200,AK$1-$L$1+2)</f>
        <v>0</v>
      </c>
      <c r="AL72" s="27">
        <f>VLOOKUP($J72,output!$A$9:$AI$2200,AL$1-$L$1+2)</f>
        <v>0</v>
      </c>
      <c r="AM72" s="27">
        <f>VLOOKUP($J72,output!$A$9:$AI$2200,AM$1-$L$1+2)</f>
        <v>0</v>
      </c>
    </row>
    <row r="75" spans="10:39" x14ac:dyDescent="0.25">
      <c r="J75" t="s">
        <v>421</v>
      </c>
      <c r="L75" s="11">
        <f t="shared" ref="L75:AA81" si="8">L54</f>
        <v>0.19600000000000001</v>
      </c>
      <c r="M75" s="11">
        <f t="shared" si="8"/>
        <v>0.30199999999999999</v>
      </c>
      <c r="N75" s="11">
        <f t="shared" si="8"/>
        <v>0.46800000000000003</v>
      </c>
      <c r="O75" s="11">
        <f t="shared" si="8"/>
        <v>0.6</v>
      </c>
      <c r="P75" s="11">
        <f t="shared" si="8"/>
        <v>0.75</v>
      </c>
      <c r="Q75" s="11">
        <f t="shared" si="8"/>
        <v>0.87</v>
      </c>
      <c r="R75" s="11">
        <f t="shared" si="8"/>
        <v>0.95499999999999996</v>
      </c>
      <c r="S75" s="11">
        <f t="shared" si="8"/>
        <v>1.0029999999999999</v>
      </c>
      <c r="T75" s="11">
        <f t="shared" si="8"/>
        <v>1.1040000000000001</v>
      </c>
      <c r="U75" s="11">
        <f t="shared" si="8"/>
        <v>1.1639999999999999</v>
      </c>
      <c r="V75" s="11">
        <f t="shared" si="8"/>
        <v>1.2370000000000001</v>
      </c>
      <c r="W75" s="11">
        <f t="shared" si="8"/>
        <v>1.327</v>
      </c>
      <c r="X75" s="11">
        <f t="shared" si="8"/>
        <v>1.4319999999999999</v>
      </c>
      <c r="Y75" s="11">
        <f t="shared" si="8"/>
        <v>1.54</v>
      </c>
      <c r="Z75" s="11">
        <f t="shared" si="8"/>
        <v>1.6719999999999999</v>
      </c>
      <c r="AA75" s="11">
        <f t="shared" si="8"/>
        <v>1.8160000000000001</v>
      </c>
      <c r="AB75" s="11">
        <f t="shared" ref="M75:AM81" si="9">AB54</f>
        <v>1.958</v>
      </c>
      <c r="AC75" s="11">
        <f t="shared" si="9"/>
        <v>2.1219999999999999</v>
      </c>
      <c r="AD75" s="11">
        <f t="shared" si="9"/>
        <v>2.2669999999999999</v>
      </c>
      <c r="AE75" s="11">
        <f t="shared" si="9"/>
        <v>2.411</v>
      </c>
      <c r="AF75" s="11">
        <f t="shared" si="9"/>
        <v>2.5470000000000002</v>
      </c>
      <c r="AG75" s="11">
        <f t="shared" si="9"/>
        <v>2.6459999999999999</v>
      </c>
      <c r="AH75" s="11">
        <f t="shared" si="9"/>
        <v>2.714</v>
      </c>
      <c r="AI75" s="11">
        <f t="shared" si="9"/>
        <v>2.7879999999999998</v>
      </c>
      <c r="AJ75" s="11">
        <f t="shared" si="9"/>
        <v>2.8559999999999999</v>
      </c>
      <c r="AK75" s="11">
        <f t="shared" si="9"/>
        <v>2.9220000000000002</v>
      </c>
      <c r="AL75" s="11">
        <f t="shared" si="9"/>
        <v>2.9870000000000001</v>
      </c>
      <c r="AM75" s="11">
        <f t="shared" si="9"/>
        <v>3.0529999999999999</v>
      </c>
    </row>
    <row r="76" spans="10:39" x14ac:dyDescent="0.25">
      <c r="J76" t="s">
        <v>422</v>
      </c>
      <c r="L76" s="11">
        <f t="shared" si="8"/>
        <v>0.38300000000000001</v>
      </c>
      <c r="M76" s="11">
        <f t="shared" si="9"/>
        <v>0.61099999999999999</v>
      </c>
      <c r="N76" s="11">
        <f t="shared" si="9"/>
        <v>0.92200000000000004</v>
      </c>
      <c r="O76" s="11">
        <f t="shared" si="9"/>
        <v>1.236</v>
      </c>
      <c r="P76" s="11">
        <f t="shared" si="9"/>
        <v>1.5720000000000001</v>
      </c>
      <c r="Q76" s="11">
        <f t="shared" si="9"/>
        <v>1.9119999999999999</v>
      </c>
      <c r="R76" s="11">
        <f t="shared" si="9"/>
        <v>2.2570000000000001</v>
      </c>
      <c r="S76" s="11">
        <f t="shared" si="9"/>
        <v>2.5979999999999999</v>
      </c>
      <c r="T76" s="11">
        <f t="shared" si="9"/>
        <v>2.95</v>
      </c>
      <c r="U76" s="11">
        <f t="shared" si="9"/>
        <v>3.3090000000000002</v>
      </c>
      <c r="V76" s="11">
        <f t="shared" si="9"/>
        <v>3.677</v>
      </c>
      <c r="W76" s="11">
        <f t="shared" si="9"/>
        <v>4.0519999999999996</v>
      </c>
      <c r="X76" s="11">
        <f t="shared" si="9"/>
        <v>4.4340000000000002</v>
      </c>
      <c r="Y76" s="11">
        <f t="shared" si="9"/>
        <v>4.7329999999999997</v>
      </c>
      <c r="Z76" s="11">
        <f t="shared" si="9"/>
        <v>5.0359999999999996</v>
      </c>
      <c r="AA76" s="11">
        <f t="shared" si="9"/>
        <v>5.34</v>
      </c>
      <c r="AB76" s="11">
        <f t="shared" si="9"/>
        <v>5.6150000000000002</v>
      </c>
      <c r="AC76" s="11">
        <f t="shared" si="9"/>
        <v>5.8970000000000002</v>
      </c>
      <c r="AD76" s="11">
        <f t="shared" si="9"/>
        <v>6.15</v>
      </c>
      <c r="AE76" s="11">
        <f t="shared" si="9"/>
        <v>6.4</v>
      </c>
      <c r="AF76" s="11">
        <f t="shared" si="9"/>
        <v>6.63</v>
      </c>
      <c r="AG76" s="11">
        <f t="shared" si="9"/>
        <v>6.8339999999999996</v>
      </c>
      <c r="AH76" s="11">
        <f t="shared" si="9"/>
        <v>6.95</v>
      </c>
      <c r="AI76" s="11">
        <f t="shared" si="9"/>
        <v>7.0819999999999999</v>
      </c>
      <c r="AJ76" s="11">
        <f t="shared" si="9"/>
        <v>7.1989999999999998</v>
      </c>
      <c r="AK76" s="11">
        <f t="shared" si="9"/>
        <v>7.3159999999999998</v>
      </c>
      <c r="AL76" s="11">
        <f t="shared" si="9"/>
        <v>7.4340000000000002</v>
      </c>
      <c r="AM76" s="11">
        <f t="shared" si="9"/>
        <v>7.548</v>
      </c>
    </row>
    <row r="77" spans="10:39" x14ac:dyDescent="0.25">
      <c r="J77" t="s">
        <v>423</v>
      </c>
      <c r="L77" s="11">
        <f t="shared" si="8"/>
        <v>0.78300000000000003</v>
      </c>
      <c r="M77" s="11">
        <f t="shared" si="9"/>
        <v>0.90300000000000002</v>
      </c>
      <c r="N77" s="11">
        <f t="shared" si="9"/>
        <v>1.006</v>
      </c>
      <c r="O77" s="11">
        <f t="shared" si="9"/>
        <v>1.097</v>
      </c>
      <c r="P77" s="11">
        <f t="shared" si="9"/>
        <v>1.196</v>
      </c>
      <c r="Q77" s="11">
        <f t="shared" si="9"/>
        <v>1.2849999999999999</v>
      </c>
      <c r="R77" s="11">
        <f t="shared" si="9"/>
        <v>1.361</v>
      </c>
      <c r="S77" s="11">
        <f t="shared" si="9"/>
        <v>1.4059999999999999</v>
      </c>
      <c r="T77" s="11">
        <f t="shared" si="9"/>
        <v>1.4730000000000001</v>
      </c>
      <c r="U77" s="11">
        <f t="shared" si="9"/>
        <v>1.5249999999999999</v>
      </c>
      <c r="V77" s="11">
        <f t="shared" si="9"/>
        <v>1.583</v>
      </c>
      <c r="W77" s="11">
        <f t="shared" si="9"/>
        <v>1.649</v>
      </c>
      <c r="X77" s="11">
        <f t="shared" si="9"/>
        <v>1.722</v>
      </c>
      <c r="Y77" s="11">
        <f t="shared" si="9"/>
        <v>1.796</v>
      </c>
      <c r="Z77" s="11">
        <f t="shared" si="9"/>
        <v>1.881</v>
      </c>
      <c r="AA77" s="11">
        <f t="shared" si="9"/>
        <v>1.9710000000000001</v>
      </c>
      <c r="AB77" s="11">
        <f t="shared" si="9"/>
        <v>2.06</v>
      </c>
      <c r="AC77" s="11">
        <f t="shared" si="9"/>
        <v>2.1440000000000001</v>
      </c>
      <c r="AD77" s="11">
        <f t="shared" si="9"/>
        <v>2.2200000000000002</v>
      </c>
      <c r="AE77" s="11">
        <f t="shared" si="9"/>
        <v>2.2949999999999999</v>
      </c>
      <c r="AF77" s="11">
        <f t="shared" si="9"/>
        <v>2.3679999999999999</v>
      </c>
      <c r="AG77" s="11">
        <f t="shared" si="9"/>
        <v>2.3839999999999999</v>
      </c>
      <c r="AH77" s="11">
        <f t="shared" si="9"/>
        <v>2.4329999999999998</v>
      </c>
      <c r="AI77" s="11">
        <f t="shared" si="9"/>
        <v>2.4849999999999999</v>
      </c>
      <c r="AJ77" s="11">
        <f t="shared" si="9"/>
        <v>2.5329999999999999</v>
      </c>
      <c r="AK77" s="11">
        <f t="shared" si="9"/>
        <v>2.58</v>
      </c>
      <c r="AL77" s="11">
        <f t="shared" si="9"/>
        <v>2.6269999999999998</v>
      </c>
      <c r="AM77" s="11">
        <f t="shared" si="9"/>
        <v>2.6789999999999998</v>
      </c>
    </row>
    <row r="78" spans="10:39" x14ac:dyDescent="0.25">
      <c r="J78" t="s">
        <v>424</v>
      </c>
      <c r="L78" s="11">
        <f t="shared" si="8"/>
        <v>1.5329999999999999</v>
      </c>
      <c r="M78" s="11">
        <f t="shared" si="9"/>
        <v>1.8260000000000001</v>
      </c>
      <c r="N78" s="11">
        <f t="shared" si="9"/>
        <v>1.972</v>
      </c>
      <c r="O78" s="11">
        <f t="shared" si="9"/>
        <v>2.121</v>
      </c>
      <c r="P78" s="11">
        <f t="shared" si="9"/>
        <v>2.2810000000000001</v>
      </c>
      <c r="Q78" s="11">
        <f t="shared" si="9"/>
        <v>2.444</v>
      </c>
      <c r="R78" s="11">
        <f t="shared" si="9"/>
        <v>2.6110000000000002</v>
      </c>
      <c r="S78" s="11">
        <f t="shared" si="9"/>
        <v>2.7490000000000001</v>
      </c>
      <c r="T78" s="11">
        <f t="shared" si="9"/>
        <v>2.8929999999999998</v>
      </c>
      <c r="U78" s="11">
        <f t="shared" si="9"/>
        <v>3.0409999999999999</v>
      </c>
      <c r="V78" s="11">
        <f t="shared" si="9"/>
        <v>3.1949999999999998</v>
      </c>
      <c r="W78" s="11">
        <f t="shared" si="9"/>
        <v>3.355</v>
      </c>
      <c r="X78" s="11">
        <f t="shared" si="9"/>
        <v>3.5190000000000001</v>
      </c>
      <c r="Y78" s="11">
        <f t="shared" si="9"/>
        <v>3.6440000000000001</v>
      </c>
      <c r="Z78" s="11">
        <f t="shared" si="9"/>
        <v>3.77</v>
      </c>
      <c r="AA78" s="11">
        <f t="shared" si="9"/>
        <v>3.8969999999999998</v>
      </c>
      <c r="AB78" s="11">
        <f t="shared" si="9"/>
        <v>4.01</v>
      </c>
      <c r="AC78" s="11">
        <f t="shared" si="9"/>
        <v>4.1050000000000004</v>
      </c>
      <c r="AD78" s="11">
        <f t="shared" si="9"/>
        <v>4.1859999999999999</v>
      </c>
      <c r="AE78" s="11">
        <f t="shared" si="9"/>
        <v>4.2670000000000003</v>
      </c>
      <c r="AF78" s="11">
        <f t="shared" si="9"/>
        <v>4.3380000000000001</v>
      </c>
      <c r="AG78" s="11">
        <f t="shared" si="9"/>
        <v>4.3010000000000002</v>
      </c>
      <c r="AH78" s="11">
        <f t="shared" si="9"/>
        <v>4.343</v>
      </c>
      <c r="AI78" s="11">
        <f t="shared" si="9"/>
        <v>4.3920000000000003</v>
      </c>
      <c r="AJ78" s="11">
        <f t="shared" si="9"/>
        <v>4.431</v>
      </c>
      <c r="AK78" s="11">
        <f t="shared" si="9"/>
        <v>4.4690000000000003</v>
      </c>
      <c r="AL78" s="11">
        <f t="shared" si="9"/>
        <v>4.5060000000000002</v>
      </c>
      <c r="AM78" s="11">
        <f t="shared" si="9"/>
        <v>4.5380000000000003</v>
      </c>
    </row>
    <row r="79" spans="10:39" x14ac:dyDescent="0.25">
      <c r="J79" t="s">
        <v>425</v>
      </c>
      <c r="L79" s="11">
        <f t="shared" si="8"/>
        <v>3.9329999999999998</v>
      </c>
      <c r="M79" s="11">
        <f t="shared" si="9"/>
        <v>3.806</v>
      </c>
      <c r="N79" s="11">
        <f t="shared" si="9"/>
        <v>3.714</v>
      </c>
      <c r="O79" s="11">
        <f t="shared" si="9"/>
        <v>3.597</v>
      </c>
      <c r="P79" s="11">
        <f t="shared" si="9"/>
        <v>3.4889999999999999</v>
      </c>
      <c r="Q79" s="11">
        <f t="shared" si="9"/>
        <v>3.3620000000000001</v>
      </c>
      <c r="R79" s="11">
        <f t="shared" si="9"/>
        <v>3.214</v>
      </c>
      <c r="S79" s="11">
        <f t="shared" si="9"/>
        <v>3.0329999999999999</v>
      </c>
      <c r="T79" s="11">
        <f t="shared" si="9"/>
        <v>2.8839999999999999</v>
      </c>
      <c r="U79" s="11">
        <f t="shared" si="9"/>
        <v>2.714</v>
      </c>
      <c r="V79" s="11">
        <f t="shared" si="9"/>
        <v>2.5529999999999999</v>
      </c>
      <c r="W79" s="11">
        <f t="shared" si="9"/>
        <v>2.403</v>
      </c>
      <c r="X79" s="11">
        <f t="shared" si="9"/>
        <v>2.2629999999999999</v>
      </c>
      <c r="Y79" s="11">
        <f t="shared" si="9"/>
        <v>2.1259999999999999</v>
      </c>
      <c r="Z79" s="11">
        <f t="shared" si="9"/>
        <v>2.0049999999999999</v>
      </c>
      <c r="AA79" s="11">
        <f t="shared" si="9"/>
        <v>1.891</v>
      </c>
      <c r="AB79" s="11">
        <f t="shared" si="9"/>
        <v>1.782</v>
      </c>
      <c r="AC79" s="11">
        <f t="shared" si="9"/>
        <v>1.681</v>
      </c>
      <c r="AD79" s="11">
        <f t="shared" si="9"/>
        <v>1.573</v>
      </c>
      <c r="AE79" s="11">
        <f t="shared" si="9"/>
        <v>1.466</v>
      </c>
      <c r="AF79" s="11">
        <f t="shared" si="9"/>
        <v>1.3580000000000001</v>
      </c>
      <c r="AG79" s="11">
        <f t="shared" si="9"/>
        <v>1.335</v>
      </c>
      <c r="AH79" s="11">
        <f t="shared" si="9"/>
        <v>1.294</v>
      </c>
      <c r="AI79" s="11">
        <f t="shared" si="9"/>
        <v>1.2649999999999999</v>
      </c>
      <c r="AJ79" s="11">
        <f t="shared" si="9"/>
        <v>1.23</v>
      </c>
      <c r="AK79" s="11">
        <f t="shared" si="9"/>
        <v>1.202</v>
      </c>
      <c r="AL79" s="11">
        <f t="shared" si="9"/>
        <v>1.1819999999999999</v>
      </c>
      <c r="AM79" s="11">
        <f t="shared" si="9"/>
        <v>1.169</v>
      </c>
    </row>
    <row r="80" spans="10:39" x14ac:dyDescent="0.25">
      <c r="J80" t="s">
        <v>426</v>
      </c>
      <c r="L80" s="11">
        <f t="shared" si="8"/>
        <v>4.3840000000000003</v>
      </c>
      <c r="M80" s="11">
        <f t="shared" si="9"/>
        <v>4.2060000000000004</v>
      </c>
      <c r="N80" s="11">
        <f t="shared" si="9"/>
        <v>4.0540000000000003</v>
      </c>
      <c r="O80" s="11">
        <f t="shared" si="9"/>
        <v>3.9020000000000001</v>
      </c>
      <c r="P80" s="11">
        <f t="shared" si="9"/>
        <v>3.7519999999999998</v>
      </c>
      <c r="Q80" s="11">
        <f t="shared" si="9"/>
        <v>3.6019999999999999</v>
      </c>
      <c r="R80" s="11">
        <f t="shared" si="9"/>
        <v>3.4510000000000001</v>
      </c>
      <c r="S80" s="11">
        <f t="shared" si="9"/>
        <v>3.2989999999999999</v>
      </c>
      <c r="T80" s="11">
        <f t="shared" si="9"/>
        <v>3.1459999999999999</v>
      </c>
      <c r="U80" s="11">
        <f t="shared" si="9"/>
        <v>2.9929999999999999</v>
      </c>
      <c r="V80" s="11">
        <f t="shared" si="9"/>
        <v>2.84</v>
      </c>
      <c r="W80" s="11">
        <f t="shared" si="9"/>
        <v>2.6869999999999998</v>
      </c>
      <c r="X80" s="11">
        <f t="shared" si="9"/>
        <v>2.5329999999999999</v>
      </c>
      <c r="Y80" s="11">
        <f t="shared" si="9"/>
        <v>2.37</v>
      </c>
      <c r="Z80" s="11">
        <f t="shared" si="9"/>
        <v>2.2080000000000002</v>
      </c>
      <c r="AA80" s="11">
        <f t="shared" si="9"/>
        <v>2.0470000000000002</v>
      </c>
      <c r="AB80" s="11">
        <f t="shared" si="9"/>
        <v>1.885</v>
      </c>
      <c r="AC80" s="11">
        <f t="shared" si="9"/>
        <v>1.7230000000000001</v>
      </c>
      <c r="AD80" s="11">
        <f t="shared" si="9"/>
        <v>1.5620000000000001</v>
      </c>
      <c r="AE80" s="11">
        <f t="shared" si="9"/>
        <v>1.405</v>
      </c>
      <c r="AF80" s="11">
        <f t="shared" si="9"/>
        <v>1.2509999999999999</v>
      </c>
      <c r="AG80" s="11">
        <f t="shared" si="9"/>
        <v>1.208</v>
      </c>
      <c r="AH80" s="11">
        <f t="shared" si="9"/>
        <v>1.145</v>
      </c>
      <c r="AI80" s="11">
        <f t="shared" si="9"/>
        <v>1.095</v>
      </c>
      <c r="AJ80" s="11">
        <f t="shared" si="9"/>
        <v>1.04</v>
      </c>
      <c r="AK80" s="11">
        <f t="shared" si="9"/>
        <v>0.99299999999999999</v>
      </c>
      <c r="AL80" s="11">
        <f t="shared" si="9"/>
        <v>0.95399999999999996</v>
      </c>
      <c r="AM80" s="11">
        <f t="shared" si="9"/>
        <v>0.92200000000000004</v>
      </c>
    </row>
    <row r="81" spans="10:39" x14ac:dyDescent="0.25">
      <c r="J81" t="s">
        <v>427</v>
      </c>
      <c r="L81" s="11">
        <f t="shared" si="8"/>
        <v>1.1559999999999999</v>
      </c>
      <c r="M81" s="11">
        <f t="shared" si="9"/>
        <v>1.3</v>
      </c>
      <c r="N81" s="11">
        <f t="shared" si="9"/>
        <v>1.353</v>
      </c>
      <c r="O81" s="11">
        <f t="shared" si="9"/>
        <v>1.6020000000000001</v>
      </c>
      <c r="P81" s="11">
        <f t="shared" si="9"/>
        <v>1.7809999999999999</v>
      </c>
      <c r="Q81" s="11">
        <f t="shared" si="9"/>
        <v>2.11</v>
      </c>
      <c r="R81" s="11">
        <f t="shared" si="9"/>
        <v>2.6080000000000001</v>
      </c>
      <c r="S81" s="11">
        <f t="shared" si="9"/>
        <v>3.2559999999999998</v>
      </c>
      <c r="T81" s="11">
        <f t="shared" si="9"/>
        <v>3.653</v>
      </c>
      <c r="U81" s="11">
        <f t="shared" si="9"/>
        <v>4.2249999999999996</v>
      </c>
      <c r="V81" s="11">
        <f t="shared" si="9"/>
        <v>4.7309999999999999</v>
      </c>
      <c r="W81" s="11">
        <f t="shared" si="9"/>
        <v>5.157</v>
      </c>
      <c r="X81" s="11">
        <f t="shared" si="9"/>
        <v>5.5110000000000001</v>
      </c>
      <c r="Y81" s="11">
        <f t="shared" si="9"/>
        <v>5.8049999999999997</v>
      </c>
      <c r="Z81" s="11">
        <f t="shared" si="9"/>
        <v>5.9980000000000002</v>
      </c>
      <c r="AA81" s="11">
        <f t="shared" si="9"/>
        <v>6.14</v>
      </c>
      <c r="AB81" s="11">
        <f t="shared" si="9"/>
        <v>6.2329999999999997</v>
      </c>
      <c r="AC81" s="11">
        <f t="shared" si="9"/>
        <v>6.2329999999999997</v>
      </c>
      <c r="AD81" s="11">
        <f t="shared" si="9"/>
        <v>6.2649999999999997</v>
      </c>
      <c r="AE81" s="11">
        <f t="shared" si="9"/>
        <v>6.2949999999999999</v>
      </c>
      <c r="AF81" s="11">
        <f t="shared" si="9"/>
        <v>6.3250000000000002</v>
      </c>
      <c r="AG81" s="11">
        <f t="shared" si="9"/>
        <v>6.3540000000000001</v>
      </c>
      <c r="AH81" s="11">
        <f t="shared" si="9"/>
        <v>6.383</v>
      </c>
      <c r="AI81" s="11">
        <f t="shared" si="9"/>
        <v>6.4109999999999996</v>
      </c>
      <c r="AJ81" s="11">
        <f t="shared" si="9"/>
        <v>6.4390000000000001</v>
      </c>
      <c r="AK81" s="11">
        <f t="shared" si="9"/>
        <v>6.4669999999999996</v>
      </c>
      <c r="AL81" s="11">
        <f t="shared" si="9"/>
        <v>6.4939999999999998</v>
      </c>
      <c r="AM81" s="11">
        <f t="shared" si="9"/>
        <v>6.5190000000000001</v>
      </c>
    </row>
    <row r="82" spans="10:39" x14ac:dyDescent="0.25">
      <c r="J82" t="s">
        <v>428</v>
      </c>
      <c r="L82" s="11">
        <f>L62</f>
        <v>6.9269999999999996</v>
      </c>
      <c r="M82" s="11">
        <f t="shared" ref="M82:AM82" si="10">M62</f>
        <v>6.8579999999999997</v>
      </c>
      <c r="N82" s="11">
        <f t="shared" si="10"/>
        <v>6.8289999999999997</v>
      </c>
      <c r="O82" s="11">
        <f t="shared" si="10"/>
        <v>6.6760000000000002</v>
      </c>
      <c r="P82" s="11">
        <f t="shared" si="10"/>
        <v>6.556</v>
      </c>
      <c r="Q82" s="11">
        <f t="shared" si="10"/>
        <v>6.3449999999999998</v>
      </c>
      <c r="R82" s="11">
        <f t="shared" si="10"/>
        <v>6.032</v>
      </c>
      <c r="S82" s="11">
        <f t="shared" si="10"/>
        <v>5.6310000000000002</v>
      </c>
      <c r="T82" s="11">
        <f t="shared" si="10"/>
        <v>5.3719999999999999</v>
      </c>
      <c r="U82" s="11">
        <f t="shared" si="10"/>
        <v>5.016</v>
      </c>
      <c r="V82" s="11">
        <f t="shared" si="10"/>
        <v>4.6980000000000004</v>
      </c>
      <c r="W82" s="11">
        <f t="shared" si="10"/>
        <v>4.4240000000000004</v>
      </c>
      <c r="X82" s="11">
        <f t="shared" si="10"/>
        <v>4.1879999999999997</v>
      </c>
      <c r="Y82" s="11">
        <f t="shared" si="10"/>
        <v>3.956</v>
      </c>
      <c r="Z82" s="11">
        <f t="shared" si="10"/>
        <v>3.7749999999999999</v>
      </c>
      <c r="AA82" s="11">
        <f t="shared" si="10"/>
        <v>3.6190000000000002</v>
      </c>
      <c r="AB82" s="11">
        <f t="shared" si="10"/>
        <v>3.5110000000000001</v>
      </c>
      <c r="AC82" s="11">
        <f t="shared" si="10"/>
        <v>3.4049999999999998</v>
      </c>
      <c r="AD82" s="11">
        <f t="shared" si="10"/>
        <v>3.302</v>
      </c>
      <c r="AE82" s="11">
        <f t="shared" si="10"/>
        <v>3.2</v>
      </c>
      <c r="AF82" s="11">
        <f t="shared" si="10"/>
        <v>3.1110000000000002</v>
      </c>
      <c r="AG82" s="11">
        <f t="shared" si="10"/>
        <v>3.03</v>
      </c>
      <c r="AH82" s="11">
        <f t="shared" si="10"/>
        <v>2.9649999999999999</v>
      </c>
      <c r="AI82" s="11">
        <f t="shared" si="10"/>
        <v>2.8809999999999998</v>
      </c>
      <c r="AJ82" s="11">
        <f t="shared" si="10"/>
        <v>2.8119999999999998</v>
      </c>
      <c r="AK82" s="11">
        <f t="shared" si="10"/>
        <v>2.74</v>
      </c>
      <c r="AL82" s="11">
        <f t="shared" si="10"/>
        <v>2.6619999999999999</v>
      </c>
      <c r="AM82" s="11">
        <f t="shared" si="10"/>
        <v>2.5790000000000002</v>
      </c>
    </row>
    <row r="83" spans="10:39" x14ac:dyDescent="0.25">
      <c r="J83" t="s">
        <v>429</v>
      </c>
      <c r="L83" s="11">
        <f>L63</f>
        <v>4.883</v>
      </c>
      <c r="M83" s="11">
        <f t="shared" ref="M83:AM83" si="11">M63</f>
        <v>4.8150000000000004</v>
      </c>
      <c r="N83" s="11">
        <f t="shared" si="11"/>
        <v>4.8179999999999996</v>
      </c>
      <c r="O83" s="11">
        <f t="shared" si="11"/>
        <v>4.8140000000000001</v>
      </c>
      <c r="P83" s="11">
        <f t="shared" si="11"/>
        <v>4.7720000000000002</v>
      </c>
      <c r="Q83" s="11">
        <f t="shared" si="11"/>
        <v>4.7229999999999999</v>
      </c>
      <c r="R83" s="11">
        <f t="shared" si="11"/>
        <v>4.6630000000000003</v>
      </c>
      <c r="S83" s="11">
        <f t="shared" si="11"/>
        <v>4.593</v>
      </c>
      <c r="T83" s="11">
        <f t="shared" si="11"/>
        <v>4.5060000000000002</v>
      </c>
      <c r="U83" s="11">
        <f t="shared" si="11"/>
        <v>4.4050000000000002</v>
      </c>
      <c r="V83" s="11">
        <f t="shared" si="11"/>
        <v>4.29</v>
      </c>
      <c r="W83" s="11">
        <f t="shared" si="11"/>
        <v>4.1619999999999999</v>
      </c>
      <c r="X83" s="11">
        <f t="shared" si="11"/>
        <v>4.0199999999999996</v>
      </c>
      <c r="Y83" s="11">
        <f t="shared" si="11"/>
        <v>3.8159999999999998</v>
      </c>
      <c r="Z83" s="11">
        <f t="shared" si="11"/>
        <v>3.6059999999999999</v>
      </c>
      <c r="AA83" s="11">
        <f t="shared" si="11"/>
        <v>3.3919999999999999</v>
      </c>
      <c r="AB83" s="11">
        <f t="shared" si="11"/>
        <v>3.2240000000000002</v>
      </c>
      <c r="AC83" s="11">
        <f t="shared" si="11"/>
        <v>3.0070000000000001</v>
      </c>
      <c r="AD83" s="11">
        <f t="shared" si="11"/>
        <v>2.8330000000000002</v>
      </c>
      <c r="AE83" s="11">
        <f t="shared" si="11"/>
        <v>2.6619999999999999</v>
      </c>
      <c r="AF83" s="11">
        <f t="shared" si="11"/>
        <v>2.5179999999999998</v>
      </c>
      <c r="AG83" s="11">
        <f t="shared" si="11"/>
        <v>2.403</v>
      </c>
      <c r="AH83" s="11">
        <f t="shared" si="11"/>
        <v>2.3159999999999998</v>
      </c>
      <c r="AI83" s="11">
        <f t="shared" si="11"/>
        <v>2.194</v>
      </c>
      <c r="AJ83" s="11">
        <f t="shared" si="11"/>
        <v>2.1019999999999999</v>
      </c>
      <c r="AK83" s="11">
        <f t="shared" si="11"/>
        <v>2.004</v>
      </c>
      <c r="AL83" s="11">
        <f t="shared" si="11"/>
        <v>1.897</v>
      </c>
      <c r="AM83" s="11">
        <f t="shared" si="11"/>
        <v>1.7829999999999999</v>
      </c>
    </row>
    <row r="84" spans="10:39" x14ac:dyDescent="0.25">
      <c r="J84" t="s">
        <v>430</v>
      </c>
      <c r="L84" s="11">
        <f>L68</f>
        <v>0.59</v>
      </c>
      <c r="M84" s="11">
        <f t="shared" ref="M84:AM84" si="12">M68</f>
        <v>0.54</v>
      </c>
      <c r="N84" s="11">
        <f t="shared" si="12"/>
        <v>0.49</v>
      </c>
      <c r="O84" s="11">
        <f t="shared" si="12"/>
        <v>0.44</v>
      </c>
      <c r="P84" s="11">
        <f t="shared" si="12"/>
        <v>0.39100000000000001</v>
      </c>
      <c r="Q84" s="11">
        <f t="shared" si="12"/>
        <v>0.34100000000000003</v>
      </c>
      <c r="R84" s="11">
        <f t="shared" si="12"/>
        <v>0.29199999999999998</v>
      </c>
      <c r="S84" s="11">
        <f t="shared" si="12"/>
        <v>0.24399999999999999</v>
      </c>
      <c r="T84" s="11">
        <f t="shared" si="12"/>
        <v>0.19500000000000001</v>
      </c>
      <c r="U84" s="11">
        <f t="shared" si="12"/>
        <v>0.14599999999999999</v>
      </c>
      <c r="V84" s="11">
        <f t="shared" si="12"/>
        <v>9.7000000000000003E-2</v>
      </c>
      <c r="W84" s="11">
        <f t="shared" si="12"/>
        <v>4.9000000000000002E-2</v>
      </c>
      <c r="X84" s="11">
        <f t="shared" si="12"/>
        <v>0</v>
      </c>
      <c r="Y84" s="11">
        <f t="shared" si="12"/>
        <v>0</v>
      </c>
      <c r="Z84" s="11">
        <f t="shared" si="12"/>
        <v>0</v>
      </c>
      <c r="AA84" s="11">
        <f t="shared" si="12"/>
        <v>0</v>
      </c>
      <c r="AB84" s="11">
        <f t="shared" si="12"/>
        <v>0</v>
      </c>
      <c r="AC84" s="11">
        <f t="shared" si="12"/>
        <v>0</v>
      </c>
      <c r="AD84" s="11">
        <f t="shared" si="12"/>
        <v>0</v>
      </c>
      <c r="AE84" s="11">
        <f t="shared" si="12"/>
        <v>0</v>
      </c>
      <c r="AF84" s="11">
        <f t="shared" si="12"/>
        <v>0</v>
      </c>
      <c r="AG84" s="11">
        <f t="shared" si="12"/>
        <v>0</v>
      </c>
      <c r="AH84" s="11">
        <f t="shared" si="12"/>
        <v>0</v>
      </c>
      <c r="AI84" s="11">
        <f t="shared" si="12"/>
        <v>0</v>
      </c>
      <c r="AJ84" s="11">
        <f t="shared" si="12"/>
        <v>0</v>
      </c>
      <c r="AK84" s="11">
        <f t="shared" si="12"/>
        <v>0</v>
      </c>
      <c r="AL84" s="11">
        <f t="shared" si="12"/>
        <v>0</v>
      </c>
      <c r="AM84" s="11">
        <f t="shared" si="12"/>
        <v>0</v>
      </c>
    </row>
    <row r="85" spans="10:39" x14ac:dyDescent="0.25">
      <c r="J85" t="s">
        <v>431</v>
      </c>
      <c r="L85" s="11">
        <f>L65</f>
        <v>2.4590000000000001</v>
      </c>
      <c r="M85" s="11">
        <f t="shared" ref="M85:AM85" si="13">M65</f>
        <v>2.2480000000000002</v>
      </c>
      <c r="N85" s="11">
        <f t="shared" si="13"/>
        <v>2.0379999999999998</v>
      </c>
      <c r="O85" s="11">
        <f t="shared" si="13"/>
        <v>1.83</v>
      </c>
      <c r="P85" s="11">
        <f t="shared" si="13"/>
        <v>1.6220000000000001</v>
      </c>
      <c r="Q85" s="11">
        <f t="shared" si="13"/>
        <v>1.4159999999999999</v>
      </c>
      <c r="R85" s="11">
        <f t="shared" si="13"/>
        <v>1.2110000000000001</v>
      </c>
      <c r="S85" s="11">
        <f t="shared" si="13"/>
        <v>1.008</v>
      </c>
      <c r="T85" s="11">
        <f t="shared" si="13"/>
        <v>0.80500000000000005</v>
      </c>
      <c r="U85" s="11">
        <f t="shared" si="13"/>
        <v>0.60199999999999998</v>
      </c>
      <c r="V85" s="11">
        <f t="shared" si="13"/>
        <v>0.4</v>
      </c>
      <c r="W85" s="11">
        <f t="shared" si="13"/>
        <v>0.19900000000000001</v>
      </c>
      <c r="X85" s="11">
        <f t="shared" si="13"/>
        <v>0</v>
      </c>
      <c r="Y85" s="11">
        <f t="shared" si="13"/>
        <v>0</v>
      </c>
      <c r="Z85" s="11">
        <f t="shared" si="13"/>
        <v>0</v>
      </c>
      <c r="AA85" s="11">
        <f t="shared" si="13"/>
        <v>0</v>
      </c>
      <c r="AB85" s="11">
        <f t="shared" si="13"/>
        <v>0</v>
      </c>
      <c r="AC85" s="11">
        <f t="shared" si="13"/>
        <v>0</v>
      </c>
      <c r="AD85" s="11">
        <f t="shared" si="13"/>
        <v>0</v>
      </c>
      <c r="AE85" s="11">
        <f t="shared" si="13"/>
        <v>0</v>
      </c>
      <c r="AF85" s="11">
        <f t="shared" si="13"/>
        <v>0</v>
      </c>
      <c r="AG85" s="11">
        <f t="shared" si="13"/>
        <v>0</v>
      </c>
      <c r="AH85" s="11">
        <f t="shared" si="13"/>
        <v>0</v>
      </c>
      <c r="AI85" s="11">
        <f t="shared" si="13"/>
        <v>0</v>
      </c>
      <c r="AJ85" s="11">
        <f t="shared" si="13"/>
        <v>0</v>
      </c>
      <c r="AK85" s="11">
        <f t="shared" si="13"/>
        <v>0</v>
      </c>
      <c r="AL85" s="11">
        <f t="shared" si="13"/>
        <v>0</v>
      </c>
      <c r="AM85" s="11">
        <f t="shared" si="13"/>
        <v>0</v>
      </c>
    </row>
    <row r="86" spans="10:39" x14ac:dyDescent="0.25">
      <c r="J86" t="s">
        <v>432</v>
      </c>
      <c r="L86" s="11">
        <f>L72</f>
        <v>0.59</v>
      </c>
      <c r="M86" s="11">
        <f t="shared" ref="M86:AM86" si="14">M72</f>
        <v>0.54</v>
      </c>
      <c r="N86" s="11">
        <f t="shared" si="14"/>
        <v>0.49</v>
      </c>
      <c r="O86" s="11">
        <f t="shared" si="14"/>
        <v>0.44</v>
      </c>
      <c r="P86" s="11">
        <f t="shared" si="14"/>
        <v>0.39100000000000001</v>
      </c>
      <c r="Q86" s="11">
        <f t="shared" si="14"/>
        <v>0.34100000000000003</v>
      </c>
      <c r="R86" s="11">
        <f t="shared" si="14"/>
        <v>0.29199999999999998</v>
      </c>
      <c r="S86" s="11">
        <f t="shared" si="14"/>
        <v>0.24399999999999999</v>
      </c>
      <c r="T86" s="11">
        <f t="shared" si="14"/>
        <v>0.19500000000000001</v>
      </c>
      <c r="U86" s="11">
        <f t="shared" si="14"/>
        <v>0.14599999999999999</v>
      </c>
      <c r="V86" s="11">
        <f t="shared" si="14"/>
        <v>9.7000000000000003E-2</v>
      </c>
      <c r="W86" s="11">
        <f t="shared" si="14"/>
        <v>4.9000000000000002E-2</v>
      </c>
      <c r="X86" s="11">
        <f t="shared" si="14"/>
        <v>0</v>
      </c>
      <c r="Y86" s="11">
        <f t="shared" si="14"/>
        <v>0</v>
      </c>
      <c r="Z86" s="11">
        <f t="shared" si="14"/>
        <v>0</v>
      </c>
      <c r="AA86" s="11">
        <f t="shared" si="14"/>
        <v>0</v>
      </c>
      <c r="AB86" s="11">
        <f t="shared" si="14"/>
        <v>0</v>
      </c>
      <c r="AC86" s="11">
        <f t="shared" si="14"/>
        <v>0</v>
      </c>
      <c r="AD86" s="11">
        <f t="shared" si="14"/>
        <v>0</v>
      </c>
      <c r="AE86" s="11">
        <f t="shared" si="14"/>
        <v>0</v>
      </c>
      <c r="AF86" s="11">
        <f t="shared" si="14"/>
        <v>0</v>
      </c>
      <c r="AG86" s="11">
        <f t="shared" si="14"/>
        <v>0</v>
      </c>
      <c r="AH86" s="11">
        <f t="shared" si="14"/>
        <v>0</v>
      </c>
      <c r="AI86" s="11">
        <f t="shared" si="14"/>
        <v>0</v>
      </c>
      <c r="AJ86" s="11">
        <f t="shared" si="14"/>
        <v>0</v>
      </c>
      <c r="AK86" s="11">
        <f t="shared" si="14"/>
        <v>0</v>
      </c>
      <c r="AL86" s="11">
        <f t="shared" si="14"/>
        <v>0</v>
      </c>
      <c r="AM86" s="11">
        <f t="shared" si="14"/>
        <v>0</v>
      </c>
    </row>
    <row r="87" spans="10:39" x14ac:dyDescent="0.25">
      <c r="J87" t="s">
        <v>433</v>
      </c>
      <c r="L87" s="11">
        <f>L70</f>
        <v>2.7330000000000001</v>
      </c>
      <c r="M87" s="11">
        <f t="shared" ref="M87:AM87" si="15">M70</f>
        <v>2.7629999999999999</v>
      </c>
      <c r="N87" s="11">
        <f t="shared" si="15"/>
        <v>2.782</v>
      </c>
      <c r="O87" s="11">
        <f t="shared" si="15"/>
        <v>2.8</v>
      </c>
      <c r="P87" s="11">
        <f t="shared" si="15"/>
        <v>2.82</v>
      </c>
      <c r="Q87" s="11">
        <f t="shared" si="15"/>
        <v>2.84</v>
      </c>
      <c r="R87" s="11">
        <f t="shared" si="15"/>
        <v>2.86</v>
      </c>
      <c r="S87" s="11">
        <f t="shared" si="15"/>
        <v>2.8759999999999999</v>
      </c>
      <c r="T87" s="11">
        <f t="shared" si="15"/>
        <v>2.8929999999999998</v>
      </c>
      <c r="U87" s="11">
        <f t="shared" si="15"/>
        <v>2.91</v>
      </c>
      <c r="V87" s="11">
        <f t="shared" si="15"/>
        <v>2.927</v>
      </c>
      <c r="W87" s="11">
        <f t="shared" si="15"/>
        <v>2.944</v>
      </c>
      <c r="X87" s="11">
        <f t="shared" si="15"/>
        <v>2.9620000000000002</v>
      </c>
      <c r="Y87" s="11">
        <f t="shared" si="15"/>
        <v>2.9750000000000001</v>
      </c>
      <c r="Z87" s="11">
        <f t="shared" si="15"/>
        <v>2.988</v>
      </c>
      <c r="AA87" s="11">
        <f t="shared" si="15"/>
        <v>3.0019999999999998</v>
      </c>
      <c r="AB87" s="11">
        <f t="shared" si="15"/>
        <v>3.0139999999999998</v>
      </c>
      <c r="AC87" s="11">
        <f t="shared" si="15"/>
        <v>3.024</v>
      </c>
      <c r="AD87" s="11">
        <f t="shared" si="15"/>
        <v>3.0310000000000001</v>
      </c>
      <c r="AE87" s="11">
        <f t="shared" si="15"/>
        <v>3.0390000000000001</v>
      </c>
      <c r="AF87" s="11">
        <f t="shared" si="15"/>
        <v>3.0449999999999999</v>
      </c>
      <c r="AG87" s="11">
        <f t="shared" si="15"/>
        <v>3.0449999999999999</v>
      </c>
      <c r="AH87" s="11">
        <f t="shared" si="15"/>
        <v>3.0449999999999999</v>
      </c>
      <c r="AI87" s="11">
        <f t="shared" si="15"/>
        <v>3.0449999999999999</v>
      </c>
      <c r="AJ87" s="11">
        <f t="shared" si="15"/>
        <v>3.044</v>
      </c>
      <c r="AK87" s="11">
        <f t="shared" si="15"/>
        <v>3.0430000000000001</v>
      </c>
      <c r="AL87" s="11">
        <f t="shared" si="15"/>
        <v>3.0419999999999998</v>
      </c>
      <c r="AM87" s="11">
        <f t="shared" si="15"/>
        <v>3.0390000000000001</v>
      </c>
    </row>
    <row r="91" spans="10:39" x14ac:dyDescent="0.25">
      <c r="J91" t="s">
        <v>458</v>
      </c>
    </row>
    <row r="92" spans="10:39" x14ac:dyDescent="0.25">
      <c r="L92" t="s">
        <v>457</v>
      </c>
    </row>
    <row r="93" spans="10:39" x14ac:dyDescent="0.25">
      <c r="J93" t="s">
        <v>121</v>
      </c>
      <c r="L93" s="26">
        <f>L22/L29</f>
        <v>5.1215113622700486</v>
      </c>
      <c r="M93" s="26">
        <f t="shared" ref="M93:AM93" si="16">M22/M29</f>
        <v>4.8749987019470788</v>
      </c>
      <c r="N93" s="26">
        <f t="shared" si="16"/>
        <v>4.7150533384826643</v>
      </c>
      <c r="O93" s="26">
        <f t="shared" si="16"/>
        <v>4.5715926656887591</v>
      </c>
      <c r="P93" s="26">
        <f t="shared" si="16"/>
        <v>4.4306102472034263</v>
      </c>
      <c r="Q93" s="26">
        <f t="shared" si="16"/>
        <v>4.3034021635075641</v>
      </c>
      <c r="R93" s="26">
        <f t="shared" si="16"/>
        <v>4.188356225622563</v>
      </c>
      <c r="S93" s="26">
        <f t="shared" si="16"/>
        <v>4.0757169930511701</v>
      </c>
      <c r="T93" s="26">
        <f t="shared" si="16"/>
        <v>3.9931732730790501</v>
      </c>
      <c r="U93" s="26">
        <f t="shared" si="16"/>
        <v>3.9181595525962281</v>
      </c>
      <c r="V93" s="26">
        <f t="shared" si="16"/>
        <v>3.8453387323845742</v>
      </c>
      <c r="W93" s="26">
        <f t="shared" si="16"/>
        <v>3.7731262658808133</v>
      </c>
      <c r="X93" s="26">
        <f t="shared" si="16"/>
        <v>3.703515289363922</v>
      </c>
      <c r="Y93" s="26">
        <f t="shared" si="16"/>
        <v>3.6281625572603975</v>
      </c>
      <c r="Z93" s="26">
        <f t="shared" si="16"/>
        <v>3.532403257180158</v>
      </c>
      <c r="AA93" s="26">
        <f t="shared" si="16"/>
        <v>3.4404648044692747</v>
      </c>
      <c r="AB93" s="26">
        <f t="shared" si="16"/>
        <v>3.347295060335425</v>
      </c>
      <c r="AC93" s="26">
        <f t="shared" si="16"/>
        <v>3.2476732030943998</v>
      </c>
      <c r="AD93" s="26">
        <f t="shared" si="16"/>
        <v>3.1487580440848224</v>
      </c>
      <c r="AE93" s="26">
        <f t="shared" si="16"/>
        <v>3.0498217548746531</v>
      </c>
      <c r="AF93" s="26">
        <f t="shared" si="16"/>
        <v>2.9521859582215417</v>
      </c>
      <c r="AG93" s="26">
        <f t="shared" si="16"/>
        <v>2.8856417007471498</v>
      </c>
      <c r="AH93" s="26">
        <f t="shared" si="16"/>
        <v>2.814620581454919</v>
      </c>
      <c r="AI93" s="26">
        <f t="shared" si="16"/>
        <v>2.748104248587572</v>
      </c>
      <c r="AJ93" s="26">
        <f t="shared" si="16"/>
        <v>2.6818626035242299</v>
      </c>
      <c r="AK93" s="26">
        <f t="shared" si="16"/>
        <v>2.6178935330296138</v>
      </c>
      <c r="AL93" s="26">
        <f t="shared" si="16"/>
        <v>2.5577628142556188</v>
      </c>
      <c r="AM93" s="26">
        <f t="shared" si="16"/>
        <v>2.4979317384370026</v>
      </c>
    </row>
    <row r="94" spans="10:39" x14ac:dyDescent="0.25">
      <c r="J94" t="s">
        <v>122</v>
      </c>
      <c r="L94" s="26">
        <f>L19/L30</f>
        <v>2.3392541436464089</v>
      </c>
      <c r="M94" s="26">
        <f t="shared" ref="M94:AM94" si="17">M19/M30</f>
        <v>2.3715084019769357</v>
      </c>
      <c r="N94" s="26">
        <f t="shared" si="17"/>
        <v>2.3442598443223441</v>
      </c>
      <c r="O94" s="26">
        <f t="shared" si="17"/>
        <v>2.3264999999999998</v>
      </c>
      <c r="P94" s="26">
        <f t="shared" si="17"/>
        <v>2.3084784273150545</v>
      </c>
      <c r="Q94" s="26">
        <f t="shared" si="17"/>
        <v>2.2871629549992321</v>
      </c>
      <c r="R94" s="26">
        <f t="shared" si="17"/>
        <v>2.2651273106904237</v>
      </c>
      <c r="S94" s="26">
        <f t="shared" si="17"/>
        <v>2.2522391696750907</v>
      </c>
      <c r="T94" s="26">
        <f t="shared" si="17"/>
        <v>2.2521195597260171</v>
      </c>
      <c r="U94" s="26">
        <f t="shared" si="17"/>
        <v>2.2522830619168794</v>
      </c>
      <c r="V94" s="26">
        <f t="shared" si="17"/>
        <v>2.247390142385473</v>
      </c>
      <c r="W94" s="26">
        <f t="shared" si="17"/>
        <v>2.2380345880690946</v>
      </c>
      <c r="X94" s="26">
        <f t="shared" si="17"/>
        <v>2.2250302324360023</v>
      </c>
      <c r="Y94" s="26">
        <f t="shared" si="17"/>
        <v>2.1989785076410837</v>
      </c>
      <c r="Z94" s="26">
        <f t="shared" si="17"/>
        <v>2.169000580494417</v>
      </c>
      <c r="AA94" s="26">
        <f t="shared" si="17"/>
        <v>2.1399304954954963</v>
      </c>
      <c r="AB94" s="26">
        <f t="shared" si="17"/>
        <v>2.1090750233636304</v>
      </c>
      <c r="AC94" s="26">
        <f t="shared" si="17"/>
        <v>2.0825916824362216</v>
      </c>
      <c r="AD94" s="26">
        <f t="shared" si="17"/>
        <v>2.054830186815535</v>
      </c>
      <c r="AE94" s="26">
        <f t="shared" si="17"/>
        <v>2.0272385767254284</v>
      </c>
      <c r="AF94" s="26">
        <f t="shared" si="17"/>
        <v>1.9996067711022274</v>
      </c>
      <c r="AG94" s="26">
        <f t="shared" si="17"/>
        <v>1.9772337748494599</v>
      </c>
      <c r="AH94" s="26">
        <f t="shared" si="17"/>
        <v>1.953931339714738</v>
      </c>
      <c r="AI94" s="26">
        <f t="shared" si="17"/>
        <v>1.9315793085328719</v>
      </c>
      <c r="AJ94" s="26">
        <f t="shared" si="17"/>
        <v>1.9091807775835397</v>
      </c>
      <c r="AK94" s="26">
        <f t="shared" si="17"/>
        <v>1.8872420720772844</v>
      </c>
      <c r="AL94" s="26">
        <f t="shared" si="17"/>
        <v>1.865969611081046</v>
      </c>
      <c r="AM94" s="26">
        <f t="shared" si="17"/>
        <v>1.844857645320013</v>
      </c>
    </row>
    <row r="95" spans="10:39" x14ac:dyDescent="0.25">
      <c r="J95" t="s">
        <v>119</v>
      </c>
      <c r="L95" s="26">
        <f>L17/L33</f>
        <v>9.8622499180059044</v>
      </c>
      <c r="M95" s="26">
        <f t="shared" ref="M95:AC95" si="18">M17/M33</f>
        <v>9.575893256814922</v>
      </c>
      <c r="N95" s="26">
        <f t="shared" si="18"/>
        <v>9.426214662447256</v>
      </c>
      <c r="O95" s="26">
        <f t="shared" si="18"/>
        <v>9.1481669603524232</v>
      </c>
      <c r="P95" s="26">
        <f t="shared" si="18"/>
        <v>8.638568107302536</v>
      </c>
      <c r="Q95" s="26">
        <f t="shared" si="18"/>
        <v>8.3174785741372794</v>
      </c>
      <c r="R95" s="26">
        <f t="shared" si="18"/>
        <v>8.0131550531914915</v>
      </c>
      <c r="S95" s="26">
        <f t="shared" si="18"/>
        <v>7.7177745803357345</v>
      </c>
      <c r="T95" s="26">
        <f t="shared" si="18"/>
        <v>7.4546342513346708</v>
      </c>
      <c r="U95" s="26">
        <f t="shared" si="18"/>
        <v>7.1764960784313745</v>
      </c>
      <c r="V95" s="26">
        <f t="shared" si="18"/>
        <v>6.925557869718312</v>
      </c>
      <c r="W95" s="26">
        <f t="shared" si="18"/>
        <v>6.6812395698924743</v>
      </c>
      <c r="X95" s="26" t="e">
        <f t="shared" si="18"/>
        <v>#DIV/0!</v>
      </c>
      <c r="Y95" s="26" t="e">
        <f t="shared" si="18"/>
        <v>#DIV/0!</v>
      </c>
      <c r="Z95" s="26" t="e">
        <f t="shared" si="18"/>
        <v>#DIV/0!</v>
      </c>
      <c r="AA95" s="26" t="e">
        <f t="shared" si="18"/>
        <v>#DIV/0!</v>
      </c>
      <c r="AB95" s="26" t="e">
        <f t="shared" si="18"/>
        <v>#DIV/0!</v>
      </c>
      <c r="AC95" s="26" t="e">
        <f t="shared" si="18"/>
        <v>#DIV/0!</v>
      </c>
      <c r="AD95" s="26"/>
      <c r="AE95" s="26"/>
      <c r="AF95" s="26"/>
      <c r="AG95" s="26"/>
      <c r="AH95" s="26"/>
      <c r="AI95" s="26"/>
      <c r="AJ95" s="26"/>
      <c r="AK95" s="26"/>
      <c r="AL95" s="26"/>
      <c r="AM95" s="26"/>
    </row>
    <row r="96" spans="10:39" x14ac:dyDescent="0.25">
      <c r="J96" t="s">
        <v>459</v>
      </c>
      <c r="L96" s="26">
        <f>L18/L34</f>
        <v>27.010578119282837</v>
      </c>
      <c r="M96" s="26">
        <f t="shared" ref="M96:AM96" si="19">M18/M34</f>
        <v>25.820787260224392</v>
      </c>
      <c r="N96" s="26">
        <f t="shared" si="19"/>
        <v>24.945431464174455</v>
      </c>
      <c r="O96" s="26">
        <f t="shared" si="19"/>
        <v>23.879196</v>
      </c>
      <c r="P96" s="26">
        <f t="shared" si="19"/>
        <v>22.661791489361708</v>
      </c>
      <c r="Q96" s="26">
        <f t="shared" si="19"/>
        <v>21.607198826291086</v>
      </c>
      <c r="R96" s="26">
        <f t="shared" si="19"/>
        <v>20.558172727272737</v>
      </c>
      <c r="S96" s="26">
        <f t="shared" si="19"/>
        <v>19.492650208623093</v>
      </c>
      <c r="T96" s="26">
        <f t="shared" si="19"/>
        <v>18.666854883483126</v>
      </c>
      <c r="U96" s="26">
        <f t="shared" si="19"/>
        <v>17.835001983390612</v>
      </c>
      <c r="V96" s="26">
        <f t="shared" si="19"/>
        <v>17.061485143491634</v>
      </c>
      <c r="W96" s="26">
        <f t="shared" si="19"/>
        <v>16.343253804347828</v>
      </c>
      <c r="X96" s="26">
        <f t="shared" si="19"/>
        <v>15.667125590817019</v>
      </c>
      <c r="Y96" s="26">
        <f t="shared" si="19"/>
        <v>15.158734151260507</v>
      </c>
      <c r="Z96" s="26">
        <f t="shared" si="19"/>
        <v>14.666984752761048</v>
      </c>
      <c r="AA96" s="26">
        <f t="shared" si="19"/>
        <v>14.203492356206979</v>
      </c>
      <c r="AB96" s="26">
        <f t="shared" si="19"/>
        <v>13.810288075232254</v>
      </c>
      <c r="AC96" s="26">
        <f t="shared" si="19"/>
        <v>13.046221547067903</v>
      </c>
      <c r="AD96" s="26">
        <f t="shared" si="19"/>
        <v>12.980493483448811</v>
      </c>
      <c r="AE96" s="26">
        <f t="shared" si="19"/>
        <v>12.632453820335641</v>
      </c>
      <c r="AF96" s="26">
        <f t="shared" si="19"/>
        <v>12.320694912698418</v>
      </c>
      <c r="AG96" s="26">
        <f t="shared" si="19"/>
        <v>12.076987206349209</v>
      </c>
      <c r="AH96" s="26">
        <f t="shared" si="19"/>
        <v>11.851020268883419</v>
      </c>
      <c r="AI96" s="26">
        <f t="shared" si="19"/>
        <v>11.617552560481666</v>
      </c>
      <c r="AJ96" s="26">
        <f t="shared" si="19"/>
        <v>11.408573912888746</v>
      </c>
      <c r="AK96" s="26">
        <f t="shared" si="19"/>
        <v>11.202341963522843</v>
      </c>
      <c r="AL96" s="26">
        <f t="shared" si="19"/>
        <v>10.998039818923958</v>
      </c>
      <c r="AM96" s="26">
        <f t="shared" si="19"/>
        <v>10.797202149829989</v>
      </c>
    </row>
    <row r="97" spans="10:39" x14ac:dyDescent="0.25">
      <c r="J97" t="s">
        <v>118</v>
      </c>
      <c r="L97" s="26">
        <f>L16/L35</f>
        <v>7.4748073503260226</v>
      </c>
      <c r="M97" s="26">
        <f t="shared" ref="M97:AM97" si="20">M16/M35</f>
        <v>7.3023821826280617</v>
      </c>
      <c r="N97" s="26">
        <f t="shared" si="20"/>
        <v>7.2086638335622713</v>
      </c>
      <c r="O97" s="26">
        <f t="shared" si="20"/>
        <v>7.0272043864229765</v>
      </c>
      <c r="P97" s="26">
        <f t="shared" si="20"/>
        <v>6.7222624293785325</v>
      </c>
      <c r="Q97" s="26">
        <f t="shared" si="20"/>
        <v>6.5372732146622097</v>
      </c>
      <c r="R97" s="26">
        <f t="shared" si="20"/>
        <v>6.3715962225338965</v>
      </c>
      <c r="S97" s="26">
        <f t="shared" si="20"/>
        <v>6.2087167172063014</v>
      </c>
      <c r="T97" s="26">
        <f t="shared" si="20"/>
        <v>6.0433757623000615</v>
      </c>
      <c r="U97" s="26">
        <f t="shared" si="20"/>
        <v>5.8971007287907744</v>
      </c>
      <c r="V97" s="26">
        <f t="shared" si="20"/>
        <v>5.7530177132009364</v>
      </c>
      <c r="W97" s="26">
        <f t="shared" si="20"/>
        <v>5.6069554965447637</v>
      </c>
      <c r="X97" s="26">
        <f t="shared" si="20"/>
        <v>5.4573747842552001</v>
      </c>
      <c r="Y97" s="26">
        <f t="shared" si="20"/>
        <v>5.3041436882398374</v>
      </c>
      <c r="Z97" s="26">
        <f t="shared" si="20"/>
        <v>5.1260181284153017</v>
      </c>
      <c r="AA97" s="26">
        <f t="shared" si="20"/>
        <v>4.9496950337612944</v>
      </c>
      <c r="AB97" s="26">
        <f t="shared" si="20"/>
        <v>4.7870874203786196</v>
      </c>
      <c r="AC97" s="26">
        <f t="shared" si="20"/>
        <v>3.9775047762008744</v>
      </c>
      <c r="AD97" s="26">
        <f t="shared" si="20"/>
        <v>4.3587063929405705</v>
      </c>
      <c r="AE97" s="26">
        <f t="shared" si="20"/>
        <v>4.2137374002047094</v>
      </c>
      <c r="AF97" s="26">
        <f t="shared" si="20"/>
        <v>4.0825152430555569</v>
      </c>
      <c r="AG97" s="26">
        <f t="shared" si="20"/>
        <v>3.9642154469599373</v>
      </c>
      <c r="AH97" s="26">
        <f t="shared" si="20"/>
        <v>3.8571984197443188</v>
      </c>
      <c r="AI97" s="26">
        <f t="shared" si="20"/>
        <v>3.7464710121510687</v>
      </c>
      <c r="AJ97" s="26">
        <f t="shared" si="20"/>
        <v>3.6483265077144802</v>
      </c>
      <c r="AK97" s="26">
        <f t="shared" si="20"/>
        <v>3.550293000632379</v>
      </c>
      <c r="AL97" s="26">
        <f t="shared" si="20"/>
        <v>3.450973105944287</v>
      </c>
      <c r="AM97" s="26">
        <f t="shared" si="20"/>
        <v>3.3498262265016052</v>
      </c>
    </row>
    <row r="98" spans="10:39" x14ac:dyDescent="0.25">
      <c r="J98" t="s">
        <v>117</v>
      </c>
      <c r="L98" s="26">
        <f>L15/L36</f>
        <v>7.8214356087262491</v>
      </c>
      <c r="M98" s="26">
        <f t="shared" ref="M98:AM98" si="21">M15/M36</f>
        <v>7.6012104792332265</v>
      </c>
      <c r="N98" s="26">
        <f t="shared" si="21"/>
        <v>7.2957848466131354</v>
      </c>
      <c r="O98" s="26">
        <f t="shared" si="21"/>
        <v>6.9919544967880096</v>
      </c>
      <c r="P98" s="26">
        <f t="shared" si="21"/>
        <v>6.7293655105031762</v>
      </c>
      <c r="Q98" s="26">
        <f t="shared" si="21"/>
        <v>6.489983438596493</v>
      </c>
      <c r="R98" s="26">
        <f t="shared" si="21"/>
        <v>6.2782844119693824</v>
      </c>
      <c r="S98" s="26">
        <f t="shared" si="21"/>
        <v>6.1040834752981272</v>
      </c>
      <c r="T98" s="26">
        <f t="shared" si="21"/>
        <v>5.9770799179212393</v>
      </c>
      <c r="U98" s="26">
        <f t="shared" si="21"/>
        <v>5.8570841367921052</v>
      </c>
      <c r="V98" s="26">
        <f t="shared" si="21"/>
        <v>5.7428348003802299</v>
      </c>
      <c r="W98" s="26">
        <f t="shared" si="21"/>
        <v>5.6339484077216291</v>
      </c>
      <c r="X98" s="26">
        <f t="shared" si="21"/>
        <v>5.5279743378916413</v>
      </c>
      <c r="Y98" s="26">
        <f t="shared" si="21"/>
        <v>5.4196331779242195</v>
      </c>
      <c r="Z98" s="26">
        <f t="shared" si="21"/>
        <v>5.3037250969982459</v>
      </c>
      <c r="AA98" s="26">
        <f t="shared" si="21"/>
        <v>5.1919004516599045</v>
      </c>
      <c r="AB98" s="26">
        <f t="shared" si="21"/>
        <v>5.0836890495152369</v>
      </c>
      <c r="AC98" s="26">
        <f t="shared" si="21"/>
        <v>4.9893209532235741</v>
      </c>
      <c r="AD98" s="26">
        <f t="shared" si="21"/>
        <v>4.8945885354772853</v>
      </c>
      <c r="AE98" s="26">
        <f t="shared" si="21"/>
        <v>4.8018327317073188</v>
      </c>
      <c r="AF98" s="26">
        <f t="shared" si="21"/>
        <v>4.7151838304248868</v>
      </c>
      <c r="AG98" s="26">
        <f t="shared" si="21"/>
        <v>4.6294491584831556</v>
      </c>
      <c r="AH98" s="26">
        <f t="shared" si="21"/>
        <v>4.5461348337845982</v>
      </c>
      <c r="AI98" s="26">
        <f t="shared" si="21"/>
        <v>4.4658604553624937</v>
      </c>
      <c r="AJ98" s="26">
        <f t="shared" si="21"/>
        <v>4.3873931646529449</v>
      </c>
      <c r="AK98" s="26">
        <f t="shared" si="21"/>
        <v>4.3109407352941185</v>
      </c>
      <c r="AL98" s="26">
        <f t="shared" si="21"/>
        <v>4.2370908584849838</v>
      </c>
      <c r="AM98" s="26">
        <f t="shared" si="21"/>
        <v>4.1619912539308181</v>
      </c>
    </row>
  </sheetData>
  <mergeCells count="2">
    <mergeCell ref="K15:K22"/>
    <mergeCell ref="K29:K3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EEEE-D8AD-4AA3-8AAE-CBEFF3A5512A}">
  <dimension ref="A1:AH143"/>
  <sheetViews>
    <sheetView zoomScale="89" workbookViewId="0">
      <pane xSplit="1" ySplit="1" topLeftCell="B93" activePane="bottomRight" state="frozen"/>
      <selection pane="topRight" activeCell="B1" sqref="B1"/>
      <selection pane="bottomLeft" activeCell="A2" sqref="A2"/>
      <selection pane="bottomRight" activeCell="F108" sqref="F108"/>
    </sheetView>
  </sheetViews>
  <sheetFormatPr baseColWidth="10" defaultRowHeight="15" x14ac:dyDescent="0.25"/>
  <cols>
    <col min="1" max="1" width="54.28515625" customWidth="1"/>
    <col min="3" max="3" width="12.7109375" customWidth="1"/>
  </cols>
  <sheetData>
    <row r="1" spans="1:32" x14ac:dyDescent="0.25"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</row>
    <row r="2" spans="1:32" ht="18.75" x14ac:dyDescent="0.3">
      <c r="A2" s="76" t="s">
        <v>484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82" t="s">
        <v>475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77" t="s">
        <v>473</v>
      </c>
      <c r="B4" s="77"/>
      <c r="C4" s="77"/>
      <c r="D4" s="78">
        <v>3.2</v>
      </c>
      <c r="E4" s="79">
        <f>D4+($L$4-$D$4)/8</f>
        <v>4.05</v>
      </c>
      <c r="F4" s="79">
        <f t="shared" ref="F4:K4" si="0">E4+($L$4-$D$4)/8</f>
        <v>4.8999999999999995</v>
      </c>
      <c r="G4" s="79">
        <f t="shared" si="0"/>
        <v>5.7499999999999991</v>
      </c>
      <c r="H4" s="79">
        <f t="shared" si="0"/>
        <v>6.5999999999999988</v>
      </c>
      <c r="I4" s="79">
        <f t="shared" si="0"/>
        <v>7.4499999999999984</v>
      </c>
      <c r="J4" s="79">
        <f t="shared" si="0"/>
        <v>8.2999999999999989</v>
      </c>
      <c r="K4" s="79">
        <f t="shared" si="0"/>
        <v>9.1499999999999986</v>
      </c>
      <c r="L4" s="78">
        <v>10</v>
      </c>
      <c r="M4" s="79">
        <f>L4+($Q$4-$L$4)/5</f>
        <v>11.2</v>
      </c>
      <c r="N4" s="79">
        <f t="shared" ref="N4:P4" si="1">M4+($Q$4-$L$4)/5</f>
        <v>12.399999999999999</v>
      </c>
      <c r="O4" s="79">
        <f t="shared" si="1"/>
        <v>13.599999999999998</v>
      </c>
      <c r="P4" s="79">
        <f t="shared" si="1"/>
        <v>14.799999999999997</v>
      </c>
      <c r="Q4" s="78">
        <v>16</v>
      </c>
      <c r="R4" s="79">
        <f>Q4+($AF$4-$Q$4)/15</f>
        <v>17.266666666666666</v>
      </c>
      <c r="S4" s="79">
        <f t="shared" ref="S4:AD4" si="2">R4+($AF$4-$Q$4)/15</f>
        <v>18.533333333333331</v>
      </c>
      <c r="T4" s="79">
        <f t="shared" si="2"/>
        <v>19.799999999999997</v>
      </c>
      <c r="U4" s="79">
        <f t="shared" si="2"/>
        <v>21.066666666666663</v>
      </c>
      <c r="V4" s="79">
        <f t="shared" si="2"/>
        <v>22.333333333333329</v>
      </c>
      <c r="W4" s="79">
        <f t="shared" si="2"/>
        <v>23.599999999999994</v>
      </c>
      <c r="X4" s="79">
        <f t="shared" si="2"/>
        <v>24.86666666666666</v>
      </c>
      <c r="Y4" s="79">
        <f t="shared" si="2"/>
        <v>26.133333333333326</v>
      </c>
      <c r="Z4" s="79">
        <f t="shared" si="2"/>
        <v>27.399999999999991</v>
      </c>
      <c r="AA4" s="79">
        <f t="shared" si="2"/>
        <v>28.666666666666657</v>
      </c>
      <c r="AB4" s="79">
        <f t="shared" si="2"/>
        <v>29.933333333333323</v>
      </c>
      <c r="AC4" s="79">
        <f t="shared" si="2"/>
        <v>31.199999999999989</v>
      </c>
      <c r="AD4" s="79">
        <f t="shared" si="2"/>
        <v>32.466666666666654</v>
      </c>
      <c r="AE4" s="79">
        <f>AD4+($AF$4-$Q$4)/15</f>
        <v>33.73333333333332</v>
      </c>
      <c r="AF4" s="36">
        <v>35</v>
      </c>
    </row>
    <row r="5" spans="1:32" x14ac:dyDescent="0.25">
      <c r="A5" s="123" t="s">
        <v>472</v>
      </c>
      <c r="B5" s="82" t="s">
        <v>464</v>
      </c>
      <c r="C5" s="82" t="s">
        <v>465</v>
      </c>
      <c r="AF5" t="s">
        <v>467</v>
      </c>
    </row>
    <row r="6" spans="1:32" x14ac:dyDescent="0.25">
      <c r="A6" s="123"/>
      <c r="B6" s="81">
        <v>0.65</v>
      </c>
      <c r="C6" s="81">
        <v>0.35</v>
      </c>
    </row>
    <row r="7" spans="1:32" x14ac:dyDescent="0.25">
      <c r="A7" s="80" t="s">
        <v>468</v>
      </c>
      <c r="B7" s="80">
        <v>3.2</v>
      </c>
    </row>
    <row r="8" spans="1:32" x14ac:dyDescent="0.25">
      <c r="A8" s="80" t="s">
        <v>469</v>
      </c>
      <c r="B8" s="80">
        <v>4.2</v>
      </c>
    </row>
    <row r="9" spans="1:32" x14ac:dyDescent="0.25">
      <c r="A9" s="80" t="s">
        <v>489</v>
      </c>
      <c r="B9" s="36" t="s">
        <v>486</v>
      </c>
      <c r="C9" t="s">
        <v>487</v>
      </c>
    </row>
    <row r="10" spans="1:32" x14ac:dyDescent="0.25">
      <c r="A10" s="80" t="s">
        <v>490</v>
      </c>
      <c r="B10" s="36" t="s">
        <v>486</v>
      </c>
    </row>
    <row r="12" spans="1:32" x14ac:dyDescent="0.25">
      <c r="A12" s="2" t="s">
        <v>476</v>
      </c>
    </row>
    <row r="13" spans="1:32" x14ac:dyDescent="0.25">
      <c r="A13" t="s">
        <v>477</v>
      </c>
      <c r="D13" s="11"/>
      <c r="E13" s="11">
        <f>Consommation!L21</f>
        <v>5.4193899999999999</v>
      </c>
      <c r="F13" s="11">
        <f>Consommation!M21</f>
        <v>6.3636767999999995</v>
      </c>
      <c r="G13" s="11">
        <f>Consommation!N21</f>
        <v>6.7226813333333331</v>
      </c>
      <c r="H13" s="11">
        <f>Consommation!O21</f>
        <v>7.0827966000000009</v>
      </c>
      <c r="I13" s="11">
        <f>Consommation!P21</f>
        <v>7.4802752000000012</v>
      </c>
      <c r="J13" s="11">
        <f>Consommation!Q21</f>
        <v>7.8470786666666674</v>
      </c>
      <c r="K13" s="11">
        <f>Consommation!R21</f>
        <v>8.1831568000000026</v>
      </c>
      <c r="L13" s="11">
        <f>Consommation!S21</f>
        <v>8.4366420000000026</v>
      </c>
      <c r="M13" s="11">
        <f>Consommation!T21</f>
        <v>8.8133856791666698</v>
      </c>
      <c r="N13" s="11">
        <f>Consommation!U21</f>
        <v>9.1683325650000036</v>
      </c>
      <c r="O13" s="11">
        <f>Consommation!V21</f>
        <v>9.5347020037500041</v>
      </c>
      <c r="P13" s="11">
        <f>Consommation!W21</f>
        <v>9.9149037866666685</v>
      </c>
      <c r="Q13" s="11">
        <f>Consommation!X21</f>
        <v>10.306142562500003</v>
      </c>
      <c r="R13" s="11">
        <f>Consommation!Y21</f>
        <v>10.559227050000004</v>
      </c>
      <c r="S13" s="11">
        <f>Consommation!Z21</f>
        <v>10.81150161666667</v>
      </c>
      <c r="T13" s="11">
        <f>Consommation!AA21</f>
        <v>11.072289653333335</v>
      </c>
      <c r="U13" s="11">
        <f>Consommation!AB21</f>
        <v>11.282291133750002</v>
      </c>
      <c r="V13" s="11">
        <f>Consommation!AC21</f>
        <v>11.482540416666669</v>
      </c>
      <c r="W13" s="11">
        <f>Consommation!AD21</f>
        <v>11.622879910833337</v>
      </c>
      <c r="X13" s="11">
        <f>Consommation!AE21</f>
        <v>11.752457640000003</v>
      </c>
      <c r="Y13" s="11">
        <f>Consommation!AF21</f>
        <v>11.849811871250004</v>
      </c>
      <c r="Z13" s="11">
        <f>Consommation!AG21</f>
        <v>11.62685569166667</v>
      </c>
      <c r="AA13" s="11">
        <f>Consommation!AH21</f>
        <v>11.645830781250003</v>
      </c>
      <c r="AB13" s="11">
        <f>Consommation!AI21</f>
        <v>11.681484346666668</v>
      </c>
      <c r="AC13" s="11">
        <f>Consommation!AJ21</f>
        <v>11.686280970000002</v>
      </c>
      <c r="AD13" s="11">
        <f>Consommation!AK21</f>
        <v>11.687424210000003</v>
      </c>
      <c r="AE13" s="11">
        <f>Consommation!AL21</f>
        <v>11.685767788750004</v>
      </c>
      <c r="AF13" s="11">
        <f>Consommation!AM21</f>
        <v>11.677322666666671</v>
      </c>
    </row>
    <row r="14" spans="1:32" x14ac:dyDescent="0.25">
      <c r="A14" t="s">
        <v>482</v>
      </c>
      <c r="D14" s="27"/>
      <c r="E14" s="27">
        <f>Consommation!L32</f>
        <v>2.3170000000000002</v>
      </c>
      <c r="F14" s="27">
        <f>Consommation!M32</f>
        <v>2.7290000000000001</v>
      </c>
      <c r="G14" s="27">
        <f>Consommation!N32</f>
        <v>2.9780000000000002</v>
      </c>
      <c r="H14" s="27">
        <f>Consommation!O32</f>
        <v>3.218</v>
      </c>
      <c r="I14" s="27">
        <f>Consommation!P32</f>
        <v>3.4769999999999999</v>
      </c>
      <c r="J14" s="27">
        <f>Consommation!Q32</f>
        <v>3.7290000000000001</v>
      </c>
      <c r="K14" s="27">
        <f>Consommation!R32</f>
        <v>3.972</v>
      </c>
      <c r="L14" s="27">
        <f>Consommation!S32</f>
        <v>4.1550000000000002</v>
      </c>
      <c r="M14" s="27">
        <f>Consommation!T32</f>
        <v>4.3650000000000002</v>
      </c>
      <c r="N14" s="27">
        <f>Consommation!U32</f>
        <v>4.5659999999999998</v>
      </c>
      <c r="O14" s="27">
        <f>Consommation!V32</f>
        <v>4.7779999999999996</v>
      </c>
      <c r="P14" s="27">
        <f>Consommation!W32</f>
        <v>5.0030000000000001</v>
      </c>
      <c r="Q14" s="27">
        <f>Consommation!X32</f>
        <v>5.2409999999999997</v>
      </c>
      <c r="R14" s="27">
        <f>Consommation!Y32</f>
        <v>5.44</v>
      </c>
      <c r="S14" s="27">
        <f>Consommation!Z32</f>
        <v>5.6509999999999998</v>
      </c>
      <c r="T14" s="27">
        <f>Consommation!AA32</f>
        <v>5.8680000000000003</v>
      </c>
      <c r="U14" s="27">
        <f>Consommation!AB32</f>
        <v>6.069</v>
      </c>
      <c r="V14" s="27">
        <f>Consommation!AC32</f>
        <v>6.2489999999999997</v>
      </c>
      <c r="W14" s="27">
        <f>Consommation!AD32</f>
        <v>6.4059999999999997</v>
      </c>
      <c r="X14" s="27">
        <f>Consommation!AE32</f>
        <v>6.5620000000000003</v>
      </c>
      <c r="Y14" s="27">
        <f>Consommation!AF32</f>
        <v>6.7050000000000001</v>
      </c>
      <c r="Z14" s="27">
        <f>Consommation!AG32</f>
        <v>6.6840000000000002</v>
      </c>
      <c r="AA14" s="27">
        <f>Consommation!AH32</f>
        <v>6.7759999999999998</v>
      </c>
      <c r="AB14" s="27">
        <f>Consommation!AI32</f>
        <v>6.8760000000000003</v>
      </c>
      <c r="AC14" s="27">
        <f>Consommation!AJ32</f>
        <v>6.9630000000000001</v>
      </c>
      <c r="AD14" s="27">
        <f>Consommation!AK32</f>
        <v>7.0490000000000004</v>
      </c>
      <c r="AE14" s="27">
        <f>Consommation!AL32</f>
        <v>7.133</v>
      </c>
      <c r="AF14" s="27">
        <f>Consommation!AM32</f>
        <v>7.2160000000000002</v>
      </c>
    </row>
    <row r="16" spans="1:32" x14ac:dyDescent="0.25">
      <c r="A16" s="2" t="s">
        <v>474</v>
      </c>
    </row>
    <row r="17" spans="1:32" x14ac:dyDescent="0.25">
      <c r="A17" t="s">
        <v>471</v>
      </c>
      <c r="D17" s="27"/>
      <c r="E17" s="27">
        <f t="shared" ref="E17:AF17" si="3">E4*$B$6</f>
        <v>2.6324999999999998</v>
      </c>
      <c r="F17" s="27">
        <f t="shared" si="3"/>
        <v>3.1849999999999996</v>
      </c>
      <c r="G17" s="27">
        <f t="shared" si="3"/>
        <v>3.7374999999999994</v>
      </c>
      <c r="H17" s="27">
        <f t="shared" si="3"/>
        <v>4.2899999999999991</v>
      </c>
      <c r="I17" s="27">
        <f t="shared" si="3"/>
        <v>4.8424999999999994</v>
      </c>
      <c r="J17" s="27">
        <f t="shared" si="3"/>
        <v>5.3949999999999996</v>
      </c>
      <c r="K17" s="27">
        <f t="shared" si="3"/>
        <v>5.9474999999999989</v>
      </c>
      <c r="L17" s="27">
        <f t="shared" si="3"/>
        <v>6.5</v>
      </c>
      <c r="M17" s="27">
        <f t="shared" si="3"/>
        <v>7.2799999999999994</v>
      </c>
      <c r="N17" s="27">
        <f t="shared" si="3"/>
        <v>8.0599999999999987</v>
      </c>
      <c r="O17" s="27">
        <f t="shared" si="3"/>
        <v>8.8399999999999981</v>
      </c>
      <c r="P17" s="27">
        <f t="shared" si="3"/>
        <v>9.6199999999999992</v>
      </c>
      <c r="Q17" s="27">
        <f t="shared" si="3"/>
        <v>10.4</v>
      </c>
      <c r="R17" s="27">
        <f t="shared" si="3"/>
        <v>11.223333333333333</v>
      </c>
      <c r="S17" s="27">
        <f t="shared" si="3"/>
        <v>12.046666666666665</v>
      </c>
      <c r="T17" s="27">
        <f t="shared" si="3"/>
        <v>12.87</v>
      </c>
      <c r="U17" s="27">
        <f t="shared" si="3"/>
        <v>13.693333333333332</v>
      </c>
      <c r="V17" s="27">
        <f t="shared" si="3"/>
        <v>14.516666666666664</v>
      </c>
      <c r="W17" s="27">
        <f t="shared" si="3"/>
        <v>15.339999999999996</v>
      </c>
      <c r="X17" s="27">
        <f t="shared" si="3"/>
        <v>16.16333333333333</v>
      </c>
      <c r="Y17" s="27">
        <f t="shared" si="3"/>
        <v>16.986666666666661</v>
      </c>
      <c r="Z17" s="27">
        <f t="shared" si="3"/>
        <v>17.809999999999995</v>
      </c>
      <c r="AA17" s="27">
        <f t="shared" si="3"/>
        <v>18.633333333333329</v>
      </c>
      <c r="AB17" s="27">
        <f t="shared" si="3"/>
        <v>19.45666666666666</v>
      </c>
      <c r="AC17" s="27">
        <f t="shared" si="3"/>
        <v>20.279999999999994</v>
      </c>
      <c r="AD17" s="27">
        <f t="shared" si="3"/>
        <v>21.103333333333325</v>
      </c>
      <c r="AE17" s="27">
        <f t="shared" si="3"/>
        <v>21.926666666666659</v>
      </c>
      <c r="AF17" s="27">
        <f t="shared" si="3"/>
        <v>22.75</v>
      </c>
    </row>
    <row r="18" spans="1:32" x14ac:dyDescent="0.25">
      <c r="A18" t="s">
        <v>516</v>
      </c>
      <c r="D18" s="11"/>
      <c r="E18" s="11">
        <f t="shared" ref="E18:AF18" si="4">E4*$C$6</f>
        <v>1.4174999999999998</v>
      </c>
      <c r="F18" s="11">
        <f t="shared" si="4"/>
        <v>1.7149999999999996</v>
      </c>
      <c r="G18" s="11">
        <f t="shared" si="4"/>
        <v>2.0124999999999997</v>
      </c>
      <c r="H18" s="11">
        <f t="shared" si="4"/>
        <v>2.3099999999999996</v>
      </c>
      <c r="I18" s="11">
        <f t="shared" si="4"/>
        <v>2.6074999999999995</v>
      </c>
      <c r="J18" s="11">
        <f t="shared" si="4"/>
        <v>2.9049999999999994</v>
      </c>
      <c r="K18" s="11">
        <f t="shared" si="4"/>
        <v>3.2024999999999992</v>
      </c>
      <c r="L18" s="13">
        <f t="shared" si="4"/>
        <v>3.5</v>
      </c>
      <c r="M18" s="11">
        <f t="shared" si="4"/>
        <v>3.9199999999999995</v>
      </c>
      <c r="N18" s="11">
        <f t="shared" si="4"/>
        <v>4.339999999999999</v>
      </c>
      <c r="O18" s="11">
        <f t="shared" si="4"/>
        <v>4.7599999999999989</v>
      </c>
      <c r="P18" s="11">
        <f t="shared" si="4"/>
        <v>5.1799999999999988</v>
      </c>
      <c r="Q18" s="11">
        <f t="shared" si="4"/>
        <v>5.6</v>
      </c>
      <c r="R18" s="11">
        <f t="shared" si="4"/>
        <v>6.043333333333333</v>
      </c>
      <c r="S18" s="11">
        <f t="shared" si="4"/>
        <v>6.4866666666666655</v>
      </c>
      <c r="T18" s="11">
        <f t="shared" si="4"/>
        <v>6.9299999999999988</v>
      </c>
      <c r="U18" s="11">
        <f t="shared" si="4"/>
        <v>7.3733333333333313</v>
      </c>
      <c r="V18" s="13">
        <f t="shared" si="4"/>
        <v>7.8166666666666647</v>
      </c>
      <c r="W18" s="11">
        <f t="shared" si="4"/>
        <v>8.259999999999998</v>
      </c>
      <c r="X18" s="11">
        <f t="shared" si="4"/>
        <v>8.7033333333333296</v>
      </c>
      <c r="Y18" s="11">
        <f t="shared" si="4"/>
        <v>9.1466666666666629</v>
      </c>
      <c r="Z18" s="11">
        <f t="shared" si="4"/>
        <v>9.5899999999999963</v>
      </c>
      <c r="AA18" s="11">
        <f t="shared" si="4"/>
        <v>10.03333333333333</v>
      </c>
      <c r="AB18" s="11">
        <f t="shared" si="4"/>
        <v>10.476666666666663</v>
      </c>
      <c r="AC18" s="11">
        <f t="shared" si="4"/>
        <v>10.919999999999995</v>
      </c>
      <c r="AD18" s="11">
        <f t="shared" si="4"/>
        <v>11.363333333333328</v>
      </c>
      <c r="AE18" s="11">
        <f t="shared" si="4"/>
        <v>11.806666666666661</v>
      </c>
      <c r="AF18" s="13">
        <f t="shared" si="4"/>
        <v>12.25</v>
      </c>
    </row>
    <row r="19" spans="1:32" ht="30" x14ac:dyDescent="0.25">
      <c r="A19" s="72" t="s">
        <v>466</v>
      </c>
    </row>
    <row r="20" spans="1:32" x14ac:dyDescent="0.25">
      <c r="A20" t="s">
        <v>478</v>
      </c>
      <c r="D20" s="11"/>
      <c r="E20" s="11">
        <f t="shared" ref="E20:AF20" si="5">E13*$B$7</f>
        <v>17.342048000000002</v>
      </c>
      <c r="F20" s="11">
        <f t="shared" si="5"/>
        <v>20.36376576</v>
      </c>
      <c r="G20" s="11">
        <f t="shared" si="5"/>
        <v>21.512580266666667</v>
      </c>
      <c r="H20" s="11">
        <f t="shared" si="5"/>
        <v>22.664949120000003</v>
      </c>
      <c r="I20" s="11">
        <f t="shared" si="5"/>
        <v>23.936880640000005</v>
      </c>
      <c r="J20" s="11">
        <f t="shared" si="5"/>
        <v>25.110651733333338</v>
      </c>
      <c r="K20" s="11">
        <f t="shared" si="5"/>
        <v>26.18610176000001</v>
      </c>
      <c r="L20" s="11">
        <f t="shared" si="5"/>
        <v>26.99725440000001</v>
      </c>
      <c r="M20" s="11">
        <f t="shared" si="5"/>
        <v>28.202834173333343</v>
      </c>
      <c r="N20" s="11">
        <f t="shared" si="5"/>
        <v>29.338664208000012</v>
      </c>
      <c r="O20" s="11">
        <f t="shared" si="5"/>
        <v>30.511046412000013</v>
      </c>
      <c r="P20" s="11">
        <f t="shared" si="5"/>
        <v>31.727692117333341</v>
      </c>
      <c r="Q20" s="11">
        <f t="shared" si="5"/>
        <v>32.979656200000015</v>
      </c>
      <c r="R20" s="11">
        <f t="shared" si="5"/>
        <v>33.789526560000013</v>
      </c>
      <c r="S20" s="11">
        <f t="shared" si="5"/>
        <v>34.596805173333344</v>
      </c>
      <c r="T20" s="11">
        <f t="shared" si="5"/>
        <v>35.431326890666675</v>
      </c>
      <c r="U20" s="11">
        <f t="shared" si="5"/>
        <v>36.103331628000007</v>
      </c>
      <c r="V20" s="11">
        <f t="shared" si="5"/>
        <v>36.744129333333341</v>
      </c>
      <c r="W20" s="11">
        <f t="shared" si="5"/>
        <v>37.193215714666678</v>
      </c>
      <c r="X20" s="11">
        <f t="shared" si="5"/>
        <v>37.607864448000008</v>
      </c>
      <c r="Y20" s="11">
        <f t="shared" si="5"/>
        <v>37.919397988000014</v>
      </c>
      <c r="Z20" s="11">
        <f t="shared" si="5"/>
        <v>37.205938213333347</v>
      </c>
      <c r="AA20" s="11">
        <f t="shared" si="5"/>
        <v>37.266658500000013</v>
      </c>
      <c r="AB20" s="11">
        <f t="shared" si="5"/>
        <v>37.380749909333339</v>
      </c>
      <c r="AC20" s="11">
        <f t="shared" si="5"/>
        <v>37.396099104000008</v>
      </c>
      <c r="AD20" s="11">
        <f t="shared" si="5"/>
        <v>37.399757472000012</v>
      </c>
      <c r="AE20" s="11">
        <f t="shared" si="5"/>
        <v>37.394456924000018</v>
      </c>
      <c r="AF20" s="11">
        <f t="shared" si="5"/>
        <v>37.36743253333335</v>
      </c>
    </row>
    <row r="22" spans="1:32" x14ac:dyDescent="0.25">
      <c r="A22" s="2" t="s">
        <v>470</v>
      </c>
    </row>
    <row r="23" spans="1:32" x14ac:dyDescent="0.25">
      <c r="A23" t="s">
        <v>478</v>
      </c>
      <c r="D23" s="73"/>
      <c r="E23" s="73">
        <f t="shared" ref="E23:AF23" si="6">E20-E17</f>
        <v>14.709548000000002</v>
      </c>
      <c r="F23" s="73">
        <f t="shared" si="6"/>
        <v>17.178765760000001</v>
      </c>
      <c r="G23" s="73">
        <f t="shared" si="6"/>
        <v>17.775080266666667</v>
      </c>
      <c r="H23" s="73">
        <f t="shared" si="6"/>
        <v>18.374949120000004</v>
      </c>
      <c r="I23" s="73">
        <f t="shared" si="6"/>
        <v>19.094380640000004</v>
      </c>
      <c r="J23" s="73">
        <f t="shared" si="6"/>
        <v>19.715651733333338</v>
      </c>
      <c r="K23" s="73">
        <f t="shared" si="6"/>
        <v>20.238601760000012</v>
      </c>
      <c r="L23" s="73">
        <f t="shared" si="6"/>
        <v>20.49725440000001</v>
      </c>
      <c r="M23" s="73">
        <f t="shared" si="6"/>
        <v>20.922834173333342</v>
      </c>
      <c r="N23" s="73">
        <f t="shared" si="6"/>
        <v>21.278664208000013</v>
      </c>
      <c r="O23" s="73">
        <f t="shared" si="6"/>
        <v>21.671046412000017</v>
      </c>
      <c r="P23" s="73">
        <f t="shared" si="6"/>
        <v>22.107692117333343</v>
      </c>
      <c r="Q23" s="73">
        <f t="shared" si="6"/>
        <v>22.579656200000016</v>
      </c>
      <c r="R23" s="73">
        <f t="shared" si="6"/>
        <v>22.56619322666668</v>
      </c>
      <c r="S23" s="73">
        <f t="shared" si="6"/>
        <v>22.550138506666677</v>
      </c>
      <c r="T23" s="73">
        <f t="shared" si="6"/>
        <v>22.561326890666678</v>
      </c>
      <c r="U23" s="73">
        <f t="shared" si="6"/>
        <v>22.409998294666675</v>
      </c>
      <c r="V23" s="73">
        <f t="shared" si="6"/>
        <v>22.227462666666675</v>
      </c>
      <c r="W23" s="73">
        <f t="shared" si="6"/>
        <v>21.853215714666682</v>
      </c>
      <c r="X23" s="73">
        <f t="shared" si="6"/>
        <v>21.444531114666677</v>
      </c>
      <c r="Y23" s="73">
        <f t="shared" si="6"/>
        <v>20.932731321333353</v>
      </c>
      <c r="Z23" s="73">
        <f t="shared" si="6"/>
        <v>19.395938213333352</v>
      </c>
      <c r="AA23" s="73">
        <f t="shared" si="6"/>
        <v>18.633325166666683</v>
      </c>
      <c r="AB23" s="73">
        <f t="shared" si="6"/>
        <v>17.924083242666679</v>
      </c>
      <c r="AC23" s="73">
        <f t="shared" si="6"/>
        <v>17.116099104000014</v>
      </c>
      <c r="AD23" s="73">
        <f t="shared" si="6"/>
        <v>16.296424138666687</v>
      </c>
      <c r="AE23" s="73">
        <f t="shared" si="6"/>
        <v>15.467790257333359</v>
      </c>
      <c r="AF23" s="73">
        <f t="shared" si="6"/>
        <v>14.61743253333335</v>
      </c>
    </row>
    <row r="24" spans="1:32" x14ac:dyDescent="0.25">
      <c r="A24" t="s">
        <v>483</v>
      </c>
      <c r="D24" s="74"/>
      <c r="E24" s="74">
        <f t="shared" ref="E24:AF24" si="7">E17</f>
        <v>2.6324999999999998</v>
      </c>
      <c r="F24" s="74">
        <f t="shared" si="7"/>
        <v>3.1849999999999996</v>
      </c>
      <c r="G24" s="74">
        <f t="shared" si="7"/>
        <v>3.7374999999999994</v>
      </c>
      <c r="H24" s="74">
        <f t="shared" si="7"/>
        <v>4.2899999999999991</v>
      </c>
      <c r="I24" s="74">
        <f t="shared" si="7"/>
        <v>4.8424999999999994</v>
      </c>
      <c r="J24" s="74">
        <f t="shared" si="7"/>
        <v>5.3949999999999996</v>
      </c>
      <c r="K24" s="74">
        <f t="shared" si="7"/>
        <v>5.9474999999999989</v>
      </c>
      <c r="L24" s="74">
        <f t="shared" si="7"/>
        <v>6.5</v>
      </c>
      <c r="M24" s="74">
        <f t="shared" si="7"/>
        <v>7.2799999999999994</v>
      </c>
      <c r="N24" s="74">
        <f t="shared" si="7"/>
        <v>8.0599999999999987</v>
      </c>
      <c r="O24" s="74">
        <f t="shared" si="7"/>
        <v>8.8399999999999981</v>
      </c>
      <c r="P24" s="74">
        <f t="shared" si="7"/>
        <v>9.6199999999999992</v>
      </c>
      <c r="Q24" s="74">
        <f t="shared" si="7"/>
        <v>10.4</v>
      </c>
      <c r="R24" s="74">
        <f t="shared" si="7"/>
        <v>11.223333333333333</v>
      </c>
      <c r="S24" s="74">
        <f t="shared" si="7"/>
        <v>12.046666666666665</v>
      </c>
      <c r="T24" s="74">
        <f t="shared" si="7"/>
        <v>12.87</v>
      </c>
      <c r="U24" s="74">
        <f t="shared" si="7"/>
        <v>13.693333333333332</v>
      </c>
      <c r="V24" s="74">
        <f t="shared" si="7"/>
        <v>14.516666666666664</v>
      </c>
      <c r="W24" s="74">
        <f t="shared" si="7"/>
        <v>15.339999999999996</v>
      </c>
      <c r="X24" s="74">
        <f t="shared" si="7"/>
        <v>16.16333333333333</v>
      </c>
      <c r="Y24" s="74">
        <f t="shared" si="7"/>
        <v>16.986666666666661</v>
      </c>
      <c r="Z24" s="74">
        <f t="shared" si="7"/>
        <v>17.809999999999995</v>
      </c>
      <c r="AA24" s="74">
        <f t="shared" si="7"/>
        <v>18.633333333333329</v>
      </c>
      <c r="AB24" s="74">
        <f t="shared" si="7"/>
        <v>19.45666666666666</v>
      </c>
      <c r="AC24" s="74">
        <f t="shared" si="7"/>
        <v>20.279999999999994</v>
      </c>
      <c r="AD24" s="74">
        <f t="shared" si="7"/>
        <v>21.103333333333325</v>
      </c>
      <c r="AE24" s="74">
        <f t="shared" si="7"/>
        <v>21.926666666666659</v>
      </c>
      <c r="AF24" s="74">
        <f t="shared" si="7"/>
        <v>22.75</v>
      </c>
    </row>
    <row r="26" spans="1:32" x14ac:dyDescent="0.25">
      <c r="A26" s="64" t="s">
        <v>479</v>
      </c>
      <c r="B26" s="75"/>
      <c r="C26" s="75"/>
      <c r="D26" s="83"/>
      <c r="E26" s="83">
        <f t="shared" ref="E26:AF26" si="8">E23/$B$7</f>
        <v>4.5967337500000003</v>
      </c>
      <c r="F26" s="83">
        <f t="shared" si="8"/>
        <v>5.3683642999999996</v>
      </c>
      <c r="G26" s="83">
        <f t="shared" si="8"/>
        <v>5.5547125833333331</v>
      </c>
      <c r="H26" s="83">
        <f t="shared" si="8"/>
        <v>5.7421716000000007</v>
      </c>
      <c r="I26" s="83">
        <f t="shared" si="8"/>
        <v>5.9669939500000009</v>
      </c>
      <c r="J26" s="83">
        <f t="shared" si="8"/>
        <v>6.1611411666666678</v>
      </c>
      <c r="K26" s="83">
        <f t="shared" si="8"/>
        <v>6.3245630500000036</v>
      </c>
      <c r="L26" s="83">
        <f t="shared" si="8"/>
        <v>6.4053920000000026</v>
      </c>
      <c r="M26" s="83">
        <f t="shared" si="8"/>
        <v>6.5383856791666695</v>
      </c>
      <c r="N26" s="83">
        <f t="shared" si="8"/>
        <v>6.6495825650000038</v>
      </c>
      <c r="O26" s="83">
        <f t="shared" si="8"/>
        <v>6.7722020037500048</v>
      </c>
      <c r="P26" s="83">
        <f t="shared" si="8"/>
        <v>6.9086537866666697</v>
      </c>
      <c r="Q26" s="83">
        <f t="shared" si="8"/>
        <v>7.0561425625000052</v>
      </c>
      <c r="R26" s="83">
        <f t="shared" si="8"/>
        <v>7.0519353833333369</v>
      </c>
      <c r="S26" s="83">
        <f t="shared" si="8"/>
        <v>7.0469182833333361</v>
      </c>
      <c r="T26" s="83">
        <f t="shared" si="8"/>
        <v>7.0504146533333367</v>
      </c>
      <c r="U26" s="83">
        <f t="shared" si="8"/>
        <v>7.0031244670833352</v>
      </c>
      <c r="V26" s="83">
        <f t="shared" si="8"/>
        <v>6.9460820833333354</v>
      </c>
      <c r="W26" s="83">
        <f t="shared" si="8"/>
        <v>6.8291299108333376</v>
      </c>
      <c r="X26" s="83">
        <f t="shared" si="8"/>
        <v>6.7014159733333365</v>
      </c>
      <c r="Y26" s="83">
        <f t="shared" si="8"/>
        <v>6.5414785379166727</v>
      </c>
      <c r="Z26" s="83">
        <f t="shared" si="8"/>
        <v>6.0612306916666725</v>
      </c>
      <c r="AA26" s="83">
        <f t="shared" si="8"/>
        <v>5.8229141145833383</v>
      </c>
      <c r="AB26" s="83">
        <f t="shared" si="8"/>
        <v>5.6012760133333366</v>
      </c>
      <c r="AC26" s="83">
        <f t="shared" si="8"/>
        <v>5.3487809700000044</v>
      </c>
      <c r="AD26" s="83">
        <f t="shared" si="8"/>
        <v>5.0926325433333393</v>
      </c>
      <c r="AE26" s="83">
        <f t="shared" si="8"/>
        <v>4.833684455416674</v>
      </c>
      <c r="AF26" s="83">
        <f t="shared" si="8"/>
        <v>4.5679476666666714</v>
      </c>
    </row>
    <row r="27" spans="1:32" x14ac:dyDescent="0.25">
      <c r="A27" s="64" t="s">
        <v>480</v>
      </c>
      <c r="B27" s="75"/>
      <c r="C27" s="75"/>
      <c r="D27" s="83"/>
      <c r="E27" s="83">
        <f t="shared" ref="E27:AF27" si="9">E24/$B$8</f>
        <v>0.62678571428571417</v>
      </c>
      <c r="F27" s="83">
        <f t="shared" si="9"/>
        <v>0.75833333333333319</v>
      </c>
      <c r="G27" s="83">
        <f t="shared" si="9"/>
        <v>0.88988095238095222</v>
      </c>
      <c r="H27" s="83">
        <f t="shared" si="9"/>
        <v>1.0214285714285711</v>
      </c>
      <c r="I27" s="83">
        <f t="shared" si="9"/>
        <v>1.1529761904761904</v>
      </c>
      <c r="J27" s="83">
        <f t="shared" si="9"/>
        <v>1.2845238095238094</v>
      </c>
      <c r="K27" s="83">
        <f t="shared" si="9"/>
        <v>1.4160714285714282</v>
      </c>
      <c r="L27" s="83">
        <f t="shared" si="9"/>
        <v>1.5476190476190474</v>
      </c>
      <c r="M27" s="83">
        <f t="shared" si="9"/>
        <v>1.7333333333333332</v>
      </c>
      <c r="N27" s="83">
        <f t="shared" si="9"/>
        <v>1.9190476190476187</v>
      </c>
      <c r="O27" s="83">
        <f t="shared" si="9"/>
        <v>2.1047619047619044</v>
      </c>
      <c r="P27" s="83">
        <f t="shared" si="9"/>
        <v>2.2904761904761903</v>
      </c>
      <c r="Q27" s="83">
        <f t="shared" si="9"/>
        <v>2.4761904761904763</v>
      </c>
      <c r="R27" s="83">
        <f t="shared" si="9"/>
        <v>2.6722222222222221</v>
      </c>
      <c r="S27" s="83">
        <f t="shared" si="9"/>
        <v>2.8682539682539678</v>
      </c>
      <c r="T27" s="83">
        <f t="shared" si="9"/>
        <v>3.0642857142857141</v>
      </c>
      <c r="U27" s="83">
        <f t="shared" si="9"/>
        <v>3.2603174603174598</v>
      </c>
      <c r="V27" s="83">
        <f t="shared" si="9"/>
        <v>3.4563492063492056</v>
      </c>
      <c r="W27" s="83">
        <f t="shared" si="9"/>
        <v>3.6523809523809514</v>
      </c>
      <c r="X27" s="83">
        <f t="shared" si="9"/>
        <v>3.8484126984126976</v>
      </c>
      <c r="Y27" s="83">
        <f t="shared" si="9"/>
        <v>4.0444444444444425</v>
      </c>
      <c r="Z27" s="83">
        <f t="shared" si="9"/>
        <v>4.2404761904761887</v>
      </c>
      <c r="AA27" s="83">
        <f t="shared" si="9"/>
        <v>4.436507936507935</v>
      </c>
      <c r="AB27" s="83">
        <f t="shared" si="9"/>
        <v>4.6325396825396803</v>
      </c>
      <c r="AC27" s="83">
        <f t="shared" si="9"/>
        <v>4.8285714285714265</v>
      </c>
      <c r="AD27" s="83">
        <f t="shared" si="9"/>
        <v>5.0246031746031727</v>
      </c>
      <c r="AE27" s="83">
        <f t="shared" si="9"/>
        <v>5.220634920634919</v>
      </c>
      <c r="AF27" s="83">
        <f t="shared" si="9"/>
        <v>5.4166666666666661</v>
      </c>
    </row>
    <row r="28" spans="1:32" x14ac:dyDescent="0.25">
      <c r="A28" s="64" t="s">
        <v>481</v>
      </c>
      <c r="B28" s="75"/>
      <c r="C28" s="75"/>
      <c r="D28" s="84"/>
      <c r="E28" s="84">
        <f t="shared" ref="E28:AF28" si="10">E14*E24/E20</f>
        <v>0.35171754224183899</v>
      </c>
      <c r="F28" s="84">
        <f t="shared" si="10"/>
        <v>0.42682994405058411</v>
      </c>
      <c r="G28" s="84">
        <f t="shared" si="10"/>
        <v>0.51738447280757616</v>
      </c>
      <c r="H28" s="84">
        <f t="shared" si="10"/>
        <v>0.60909997754276868</v>
      </c>
      <c r="I28" s="84">
        <f t="shared" si="10"/>
        <v>0.70340712949304296</v>
      </c>
      <c r="J28" s="84">
        <f t="shared" si="10"/>
        <v>0.8011721564874501</v>
      </c>
      <c r="K28" s="84">
        <f t="shared" si="10"/>
        <v>0.90213771475086424</v>
      </c>
      <c r="L28" s="84">
        <f t="shared" si="10"/>
        <v>1.0003795052581343</v>
      </c>
      <c r="M28" s="84">
        <f t="shared" si="10"/>
        <v>1.1267378237484489</v>
      </c>
      <c r="N28" s="84">
        <f t="shared" si="10"/>
        <v>1.2543843079933035</v>
      </c>
      <c r="O28" s="84">
        <f t="shared" si="10"/>
        <v>1.3843353462760277</v>
      </c>
      <c r="P28" s="84">
        <f t="shared" si="10"/>
        <v>1.5169354210200003</v>
      </c>
      <c r="Q28" s="84">
        <f t="shared" si="10"/>
        <v>1.6527279626401918</v>
      </c>
      <c r="R28" s="84">
        <f t="shared" si="10"/>
        <v>1.8069188754366883</v>
      </c>
      <c r="S28" s="84">
        <f t="shared" si="10"/>
        <v>1.9676878541896401</v>
      </c>
      <c r="T28" s="84">
        <f t="shared" si="10"/>
        <v>2.1314798690165282</v>
      </c>
      <c r="U28" s="84">
        <f t="shared" si="10"/>
        <v>2.3018606940847492</v>
      </c>
      <c r="V28" s="84">
        <f t="shared" si="10"/>
        <v>2.4688202345757029</v>
      </c>
      <c r="W28" s="84">
        <f t="shared" si="10"/>
        <v>2.6420958261280214</v>
      </c>
      <c r="X28" s="84">
        <f t="shared" si="10"/>
        <v>2.8202556802975769</v>
      </c>
      <c r="Y28" s="84">
        <f t="shared" si="10"/>
        <v>3.0036236344269862</v>
      </c>
      <c r="Z28" s="84">
        <f t="shared" si="10"/>
        <v>3.1995440974349449</v>
      </c>
      <c r="AA28" s="84">
        <f t="shared" si="10"/>
        <v>3.3880007424509659</v>
      </c>
      <c r="AB28" s="84">
        <f t="shared" si="10"/>
        <v>3.5789554871021019</v>
      </c>
      <c r="AC28" s="84">
        <f t="shared" si="10"/>
        <v>3.7760526734965176</v>
      </c>
      <c r="AD28" s="84">
        <f t="shared" si="10"/>
        <v>3.9774962920023333</v>
      </c>
      <c r="AE28" s="84">
        <f t="shared" si="10"/>
        <v>4.1825159715838209</v>
      </c>
      <c r="AF28" s="84">
        <f t="shared" si="10"/>
        <v>4.3932373425323963</v>
      </c>
    </row>
    <row r="29" spans="1:32" x14ac:dyDescent="0.25">
      <c r="A29" s="64" t="s">
        <v>482</v>
      </c>
      <c r="B29" s="75"/>
      <c r="C29" s="75"/>
      <c r="D29" s="83"/>
      <c r="E29" s="83">
        <f t="shared" ref="E29:AF29" si="11">E14-E28</f>
        <v>1.9652824577581611</v>
      </c>
      <c r="F29" s="83">
        <f t="shared" si="11"/>
        <v>2.302170055949416</v>
      </c>
      <c r="G29" s="83">
        <f t="shared" si="11"/>
        <v>2.4606155271924242</v>
      </c>
      <c r="H29" s="83">
        <f t="shared" si="11"/>
        <v>2.6089000224572314</v>
      </c>
      <c r="I29" s="83">
        <f t="shared" si="11"/>
        <v>2.773592870506957</v>
      </c>
      <c r="J29" s="83">
        <f t="shared" si="11"/>
        <v>2.9278278435125502</v>
      </c>
      <c r="K29" s="83">
        <f t="shared" si="11"/>
        <v>3.069862285249136</v>
      </c>
      <c r="L29" s="83">
        <f t="shared" si="11"/>
        <v>3.1546204947418657</v>
      </c>
      <c r="M29" s="83">
        <f t="shared" si="11"/>
        <v>3.2382621762515513</v>
      </c>
      <c r="N29" s="83">
        <f t="shared" si="11"/>
        <v>3.3116156920066961</v>
      </c>
      <c r="O29" s="83">
        <f t="shared" si="11"/>
        <v>3.3936646537239721</v>
      </c>
      <c r="P29" s="83">
        <f t="shared" si="11"/>
        <v>3.4860645789799998</v>
      </c>
      <c r="Q29" s="83">
        <f t="shared" si="11"/>
        <v>3.5882720373598076</v>
      </c>
      <c r="R29" s="83">
        <f t="shared" si="11"/>
        <v>3.6330811245633123</v>
      </c>
      <c r="S29" s="83">
        <f t="shared" si="11"/>
        <v>3.6833121458103597</v>
      </c>
      <c r="T29" s="83">
        <f t="shared" si="11"/>
        <v>3.7365201309834721</v>
      </c>
      <c r="U29" s="83">
        <f t="shared" si="11"/>
        <v>3.7671393059152507</v>
      </c>
      <c r="V29" s="83">
        <f t="shared" si="11"/>
        <v>3.7801797654242968</v>
      </c>
      <c r="W29" s="83">
        <f t="shared" si="11"/>
        <v>3.7639041738719783</v>
      </c>
      <c r="X29" s="83">
        <f t="shared" si="11"/>
        <v>3.7417443197024234</v>
      </c>
      <c r="Y29" s="83">
        <f t="shared" si="11"/>
        <v>3.7013763655730139</v>
      </c>
      <c r="Z29" s="83">
        <f t="shared" si="11"/>
        <v>3.4844559025650552</v>
      </c>
      <c r="AA29" s="83">
        <f t="shared" si="11"/>
        <v>3.3879992575490339</v>
      </c>
      <c r="AB29" s="83">
        <f t="shared" si="11"/>
        <v>3.2970445128978985</v>
      </c>
      <c r="AC29" s="83">
        <f t="shared" si="11"/>
        <v>3.1869473265034824</v>
      </c>
      <c r="AD29" s="83">
        <f t="shared" si="11"/>
        <v>3.071503707997667</v>
      </c>
      <c r="AE29" s="83">
        <f t="shared" si="11"/>
        <v>2.9504840284161791</v>
      </c>
      <c r="AF29" s="83">
        <f t="shared" si="11"/>
        <v>2.8227626574676039</v>
      </c>
    </row>
    <row r="32" spans="1:32" ht="18.75" x14ac:dyDescent="0.3">
      <c r="A32" s="76" t="s">
        <v>485</v>
      </c>
    </row>
    <row r="34" spans="1:32" x14ac:dyDescent="0.25">
      <c r="A34" s="82" t="s">
        <v>475</v>
      </c>
    </row>
    <row r="35" spans="1:32" s="77" customFormat="1" x14ac:dyDescent="0.25">
      <c r="A35" s="77" t="s">
        <v>488</v>
      </c>
      <c r="D35" s="77">
        <v>0.02</v>
      </c>
      <c r="E35" s="77">
        <f>D35+($L$35-$D$35)/8</f>
        <v>0.03</v>
      </c>
      <c r="F35" s="77">
        <f t="shared" ref="F35:K35" si="12">E35+($L$35-$D$35)/8</f>
        <v>0.04</v>
      </c>
      <c r="G35" s="77">
        <f t="shared" si="12"/>
        <v>0.05</v>
      </c>
      <c r="H35" s="77">
        <f t="shared" si="12"/>
        <v>6.0000000000000005E-2</v>
      </c>
      <c r="I35" s="77">
        <f t="shared" si="12"/>
        <v>7.0000000000000007E-2</v>
      </c>
      <c r="J35" s="77">
        <f t="shared" si="12"/>
        <v>0.08</v>
      </c>
      <c r="K35" s="77">
        <f t="shared" si="12"/>
        <v>0.09</v>
      </c>
      <c r="L35" s="78">
        <v>0.1</v>
      </c>
      <c r="M35" s="77">
        <f>L35+($Q$35-$L$35)/5</f>
        <v>0.16000000000000003</v>
      </c>
      <c r="N35" s="77">
        <f t="shared" ref="N35:P35" si="13">M35+($Q$35-$L$35)/5</f>
        <v>0.22000000000000003</v>
      </c>
      <c r="O35" s="77">
        <f t="shared" si="13"/>
        <v>0.28000000000000003</v>
      </c>
      <c r="P35" s="77">
        <f t="shared" si="13"/>
        <v>0.34</v>
      </c>
      <c r="Q35" s="78">
        <v>0.4</v>
      </c>
      <c r="R35" s="79">
        <f>Q35+($AF$35-$Q$35)/15</f>
        <v>0.46666666666666667</v>
      </c>
      <c r="S35" s="79">
        <f t="shared" ref="S35:AE35" si="14">R35+($AF$35-$Q$35)/15</f>
        <v>0.53333333333333333</v>
      </c>
      <c r="T35" s="79">
        <f t="shared" si="14"/>
        <v>0.6</v>
      </c>
      <c r="U35" s="79">
        <f t="shared" si="14"/>
        <v>0.66666666666666663</v>
      </c>
      <c r="V35" s="79">
        <f t="shared" si="14"/>
        <v>0.73333333333333328</v>
      </c>
      <c r="W35" s="79">
        <f t="shared" si="14"/>
        <v>0.79999999999999993</v>
      </c>
      <c r="X35" s="79">
        <f t="shared" si="14"/>
        <v>0.86666666666666659</v>
      </c>
      <c r="Y35" s="79">
        <f t="shared" si="14"/>
        <v>0.93333333333333324</v>
      </c>
      <c r="Z35" s="79">
        <f t="shared" si="14"/>
        <v>0.99999999999999989</v>
      </c>
      <c r="AA35" s="79">
        <f t="shared" si="14"/>
        <v>1.0666666666666667</v>
      </c>
      <c r="AB35" s="79">
        <f t="shared" si="14"/>
        <v>1.1333333333333333</v>
      </c>
      <c r="AC35" s="79">
        <f t="shared" si="14"/>
        <v>1.2</v>
      </c>
      <c r="AD35" s="79">
        <f t="shared" si="14"/>
        <v>1.2666666666666666</v>
      </c>
      <c r="AE35" s="79">
        <f t="shared" si="14"/>
        <v>1.3333333333333333</v>
      </c>
      <c r="AF35" s="78">
        <v>1.4</v>
      </c>
    </row>
    <row r="36" spans="1:32" ht="45" x14ac:dyDescent="0.25">
      <c r="A36" s="85" t="s">
        <v>514</v>
      </c>
      <c r="C36" s="19" t="s">
        <v>515</v>
      </c>
      <c r="D36" s="99">
        <f>D35/Consommation!P30</f>
        <v>3.4488704949129159E-3</v>
      </c>
      <c r="E36" s="3">
        <f>E35/Consommation!Q30</f>
        <v>4.6075871601904466E-3</v>
      </c>
      <c r="F36" s="3">
        <f>F35/Consommation!R30</f>
        <v>5.5679287305122494E-3</v>
      </c>
      <c r="G36" s="3">
        <f>G35/Consommation!S30</f>
        <v>6.4466219700876739E-3</v>
      </c>
      <c r="H36" s="3">
        <f>H35/Consommation!T30</f>
        <v>7.1267371421784064E-3</v>
      </c>
      <c r="I36" s="3">
        <f>I35/Consommation!U30</f>
        <v>7.7442194933067827E-3</v>
      </c>
      <c r="J36" s="3">
        <f>J35/Consommation!V30</f>
        <v>8.2542302930251749E-3</v>
      </c>
      <c r="K36" s="3">
        <f>K35/Consommation!W30</f>
        <v>8.6688499325756115E-3</v>
      </c>
      <c r="L36" s="6">
        <f>L35/Consommation!X30</f>
        <v>9.0033312325560472E-3</v>
      </c>
      <c r="M36" s="3">
        <f>M35/Consommation!Y30</f>
        <v>1.366003585759413E-2</v>
      </c>
      <c r="N36" s="3">
        <f>N35/Consommation!Z30</f>
        <v>1.7802233371095648E-2</v>
      </c>
      <c r="O36" s="3">
        <f>O35/Consommation!AA30</f>
        <v>2.1498771498771503E-2</v>
      </c>
      <c r="P36" s="3">
        <f>P35/Consommation!AB30</f>
        <v>2.4921205013560068E-2</v>
      </c>
      <c r="Q36" s="3">
        <f>Q35/Consommation!AC30</f>
        <v>2.8034763106251751E-2</v>
      </c>
      <c r="R36" s="3">
        <f>R35/Consommation!AD30</f>
        <v>3.1482605860262206E-2</v>
      </c>
      <c r="S36" s="3">
        <f>S35/Consommation!AE30</f>
        <v>3.4692859775797398E-2</v>
      </c>
      <c r="T36" s="3">
        <f>T35/Consommation!AF30</f>
        <v>3.7776238745828875E-2</v>
      </c>
      <c r="U36" s="3">
        <f>U35/Consommation!AG30</f>
        <v>4.1243916522312955E-2</v>
      </c>
      <c r="V36" s="6">
        <f>V35/Consommation!AH30</f>
        <v>4.460393731119356E-2</v>
      </c>
      <c r="W36" s="3">
        <f>W35/Consommation!AI30</f>
        <v>4.7769749805935388E-2</v>
      </c>
      <c r="X36" s="3">
        <f>X35/Consommation!AJ30</f>
        <v>5.0926470012143996E-2</v>
      </c>
      <c r="Y36" s="3">
        <f>Y35/Consommation!AK30</f>
        <v>5.3990474537706556E-2</v>
      </c>
      <c r="Z36" s="3">
        <f>Z35/Consommation!AL30</f>
        <v>5.6967073031787628E-2</v>
      </c>
      <c r="AA36" s="3">
        <f>AA35/Consommation!AM30</f>
        <v>5.9867916409421712E-2</v>
      </c>
      <c r="AB36" s="3" t="e">
        <f>AB35/Consommation!#REF!</f>
        <v>#REF!</v>
      </c>
      <c r="AC36" s="3" t="e">
        <f>AC35/Consommation!#REF!</f>
        <v>#REF!</v>
      </c>
      <c r="AD36" s="3" t="e">
        <f>AD35/Consommation!#REF!</f>
        <v>#REF!</v>
      </c>
      <c r="AE36" s="3" t="e">
        <f>AE35/Consommation!#REF!</f>
        <v>#REF!</v>
      </c>
      <c r="AF36" s="6" t="e">
        <f>AF35/Consommation!#REF!</f>
        <v>#REF!</v>
      </c>
    </row>
    <row r="37" spans="1:32" x14ac:dyDescent="0.25">
      <c r="A37" s="124" t="s">
        <v>472</v>
      </c>
    </row>
    <row r="38" spans="1:32" x14ac:dyDescent="0.25">
      <c r="A38" s="124"/>
    </row>
    <row r="39" spans="1:32" x14ac:dyDescent="0.25">
      <c r="A39" s="80" t="s">
        <v>489</v>
      </c>
      <c r="B39" s="81">
        <v>0.1</v>
      </c>
    </row>
    <row r="40" spans="1:32" x14ac:dyDescent="0.25">
      <c r="A40" s="80" t="s">
        <v>490</v>
      </c>
      <c r="B40" s="81">
        <v>0.9</v>
      </c>
    </row>
    <row r="41" spans="1:32" x14ac:dyDescent="0.25">
      <c r="A41" s="80" t="s">
        <v>491</v>
      </c>
      <c r="B41" s="81">
        <v>0.7</v>
      </c>
    </row>
    <row r="42" spans="1:32" x14ac:dyDescent="0.25">
      <c r="A42" s="80" t="s">
        <v>492</v>
      </c>
      <c r="B42" s="81">
        <v>0.3</v>
      </c>
    </row>
    <row r="43" spans="1:32" x14ac:dyDescent="0.25">
      <c r="A43" s="80" t="s">
        <v>493</v>
      </c>
      <c r="B43" s="87">
        <v>3.2</v>
      </c>
    </row>
    <row r="44" spans="1:32" x14ac:dyDescent="0.25">
      <c r="A44" s="80" t="s">
        <v>494</v>
      </c>
      <c r="B44" s="81">
        <v>0.95</v>
      </c>
    </row>
    <row r="46" spans="1:32" x14ac:dyDescent="0.25">
      <c r="A46" s="86" t="s">
        <v>495</v>
      </c>
    </row>
    <row r="48" spans="1:32" ht="15.75" customHeight="1" x14ac:dyDescent="0.25">
      <c r="A48" s="19" t="s">
        <v>496</v>
      </c>
      <c r="D48" s="73">
        <f>D26</f>
        <v>0</v>
      </c>
      <c r="E48" s="73">
        <f t="shared" ref="E48:AF48" si="15">E26</f>
        <v>4.5967337500000003</v>
      </c>
      <c r="F48" s="73">
        <f t="shared" si="15"/>
        <v>5.3683642999999996</v>
      </c>
      <c r="G48" s="73">
        <f t="shared" si="15"/>
        <v>5.5547125833333331</v>
      </c>
      <c r="H48" s="73">
        <f t="shared" si="15"/>
        <v>5.7421716000000007</v>
      </c>
      <c r="I48" s="73">
        <f t="shared" si="15"/>
        <v>5.9669939500000009</v>
      </c>
      <c r="J48" s="73">
        <f t="shared" si="15"/>
        <v>6.1611411666666678</v>
      </c>
      <c r="K48" s="73">
        <f t="shared" si="15"/>
        <v>6.3245630500000036</v>
      </c>
      <c r="L48" s="73">
        <f t="shared" si="15"/>
        <v>6.4053920000000026</v>
      </c>
      <c r="M48" s="73">
        <f t="shared" si="15"/>
        <v>6.5383856791666695</v>
      </c>
      <c r="N48" s="73">
        <f t="shared" si="15"/>
        <v>6.6495825650000038</v>
      </c>
      <c r="O48" s="73">
        <f t="shared" si="15"/>
        <v>6.7722020037500048</v>
      </c>
      <c r="P48" s="73">
        <f t="shared" si="15"/>
        <v>6.9086537866666697</v>
      </c>
      <c r="Q48" s="73">
        <f t="shared" si="15"/>
        <v>7.0561425625000052</v>
      </c>
      <c r="R48" s="73">
        <f t="shared" si="15"/>
        <v>7.0519353833333369</v>
      </c>
      <c r="S48" s="73">
        <f t="shared" si="15"/>
        <v>7.0469182833333361</v>
      </c>
      <c r="T48" s="73">
        <f t="shared" si="15"/>
        <v>7.0504146533333367</v>
      </c>
      <c r="U48" s="73">
        <f t="shared" si="15"/>
        <v>7.0031244670833352</v>
      </c>
      <c r="V48" s="73">
        <f t="shared" si="15"/>
        <v>6.9460820833333354</v>
      </c>
      <c r="W48" s="73">
        <f t="shared" si="15"/>
        <v>6.8291299108333376</v>
      </c>
      <c r="X48" s="73">
        <f t="shared" si="15"/>
        <v>6.7014159733333365</v>
      </c>
      <c r="Y48" s="73">
        <f t="shared" si="15"/>
        <v>6.5414785379166727</v>
      </c>
      <c r="Z48" s="73">
        <f t="shared" si="15"/>
        <v>6.0612306916666725</v>
      </c>
      <c r="AA48" s="73">
        <f t="shared" si="15"/>
        <v>5.8229141145833383</v>
      </c>
      <c r="AB48" s="73">
        <f t="shared" si="15"/>
        <v>5.6012760133333366</v>
      </c>
      <c r="AC48" s="73">
        <f t="shared" si="15"/>
        <v>5.3487809700000044</v>
      </c>
      <c r="AD48" s="73">
        <f t="shared" si="15"/>
        <v>5.0926325433333393</v>
      </c>
      <c r="AE48" s="73">
        <f t="shared" si="15"/>
        <v>4.833684455416674</v>
      </c>
      <c r="AF48" s="73">
        <f t="shared" si="15"/>
        <v>4.5679476666666714</v>
      </c>
    </row>
    <row r="49" spans="1:32" ht="15.75" customHeight="1" x14ac:dyDescent="0.25">
      <c r="A49" s="19" t="s">
        <v>498</v>
      </c>
      <c r="D49" s="73">
        <f>D29</f>
        <v>0</v>
      </c>
      <c r="E49" s="73">
        <f t="shared" ref="E49:AF49" si="16">E29</f>
        <v>1.9652824577581611</v>
      </c>
      <c r="F49" s="73">
        <f t="shared" si="16"/>
        <v>2.302170055949416</v>
      </c>
      <c r="G49" s="73">
        <f t="shared" si="16"/>
        <v>2.4606155271924242</v>
      </c>
      <c r="H49" s="73">
        <f t="shared" si="16"/>
        <v>2.6089000224572314</v>
      </c>
      <c r="I49" s="73">
        <f t="shared" si="16"/>
        <v>2.773592870506957</v>
      </c>
      <c r="J49" s="73">
        <f t="shared" si="16"/>
        <v>2.9278278435125502</v>
      </c>
      <c r="K49" s="73">
        <f t="shared" si="16"/>
        <v>3.069862285249136</v>
      </c>
      <c r="L49" s="73">
        <f t="shared" si="16"/>
        <v>3.1546204947418657</v>
      </c>
      <c r="M49" s="73">
        <f t="shared" si="16"/>
        <v>3.2382621762515513</v>
      </c>
      <c r="N49" s="73">
        <f t="shared" si="16"/>
        <v>3.3116156920066961</v>
      </c>
      <c r="O49" s="73">
        <f t="shared" si="16"/>
        <v>3.3936646537239721</v>
      </c>
      <c r="P49" s="73">
        <f t="shared" si="16"/>
        <v>3.4860645789799998</v>
      </c>
      <c r="Q49" s="73">
        <f t="shared" si="16"/>
        <v>3.5882720373598076</v>
      </c>
      <c r="R49" s="73">
        <f t="shared" si="16"/>
        <v>3.6330811245633123</v>
      </c>
      <c r="S49" s="73">
        <f t="shared" si="16"/>
        <v>3.6833121458103597</v>
      </c>
      <c r="T49" s="73">
        <f t="shared" si="16"/>
        <v>3.7365201309834721</v>
      </c>
      <c r="U49" s="73">
        <f t="shared" si="16"/>
        <v>3.7671393059152507</v>
      </c>
      <c r="V49" s="73">
        <f t="shared" si="16"/>
        <v>3.7801797654242968</v>
      </c>
      <c r="W49" s="73">
        <f t="shared" si="16"/>
        <v>3.7639041738719783</v>
      </c>
      <c r="X49" s="73">
        <f t="shared" si="16"/>
        <v>3.7417443197024234</v>
      </c>
      <c r="Y49" s="73">
        <f t="shared" si="16"/>
        <v>3.7013763655730139</v>
      </c>
      <c r="Z49" s="73">
        <f t="shared" si="16"/>
        <v>3.4844559025650552</v>
      </c>
      <c r="AA49" s="73">
        <f t="shared" si="16"/>
        <v>3.3879992575490339</v>
      </c>
      <c r="AB49" s="73">
        <f t="shared" si="16"/>
        <v>3.2970445128978985</v>
      </c>
      <c r="AC49" s="73">
        <f t="shared" si="16"/>
        <v>3.1869473265034824</v>
      </c>
      <c r="AD49" s="73">
        <f t="shared" si="16"/>
        <v>3.071503707997667</v>
      </c>
      <c r="AE49" s="73">
        <f t="shared" si="16"/>
        <v>2.9504840284161791</v>
      </c>
      <c r="AF49" s="73">
        <f t="shared" si="16"/>
        <v>2.8227626574676039</v>
      </c>
    </row>
    <row r="50" spans="1:32" s="75" customFormat="1" ht="30" x14ac:dyDescent="0.25">
      <c r="A50" s="88" t="s">
        <v>497</v>
      </c>
      <c r="D50" s="89"/>
      <c r="E50" s="89">
        <f t="shared" ref="E50:AF50" si="17">E48*(1-E35/E49)</f>
        <v>4.5265646951877434</v>
      </c>
      <c r="F50" s="89">
        <f t="shared" si="17"/>
        <v>5.2750894476731398</v>
      </c>
      <c r="G50" s="89">
        <f t="shared" si="17"/>
        <v>5.4418401633646738</v>
      </c>
      <c r="H50" s="89">
        <f t="shared" si="17"/>
        <v>5.6101119990055937</v>
      </c>
      <c r="I50" s="89">
        <f t="shared" si="17"/>
        <v>5.8163988208656896</v>
      </c>
      <c r="J50" s="89">
        <f t="shared" si="17"/>
        <v>5.9927940780817028</v>
      </c>
      <c r="K50" s="89">
        <f t="shared" si="17"/>
        <v>6.1391440892749278</v>
      </c>
      <c r="L50" s="89">
        <f t="shared" si="17"/>
        <v>6.202344057761735</v>
      </c>
      <c r="M50" s="89">
        <f t="shared" si="17"/>
        <v>6.21532915942631</v>
      </c>
      <c r="N50" s="89">
        <f t="shared" si="17"/>
        <v>6.207831981491462</v>
      </c>
      <c r="O50" s="89">
        <f t="shared" si="17"/>
        <v>6.213450107339372</v>
      </c>
      <c r="P50" s="89">
        <f t="shared" si="17"/>
        <v>6.23484461467653</v>
      </c>
      <c r="Q50" s="89">
        <f t="shared" si="17"/>
        <v>6.269564232982737</v>
      </c>
      <c r="R50" s="89">
        <f t="shared" si="17"/>
        <v>6.1461193373774545</v>
      </c>
      <c r="S50" s="89">
        <f t="shared" si="17"/>
        <v>6.0265441556469872</v>
      </c>
      <c r="T50" s="89">
        <f t="shared" si="17"/>
        <v>5.9182786969597849</v>
      </c>
      <c r="U50" s="89">
        <f t="shared" si="17"/>
        <v>5.7637889221006366</v>
      </c>
      <c r="V50" s="89">
        <f t="shared" si="17"/>
        <v>5.598581741056349</v>
      </c>
      <c r="W50" s="89">
        <f t="shared" si="17"/>
        <v>5.3776307024869956</v>
      </c>
      <c r="X50" s="89">
        <f t="shared" si="17"/>
        <v>5.1492271150584203</v>
      </c>
      <c r="Y50" s="89">
        <f t="shared" si="17"/>
        <v>4.8919894382646714</v>
      </c>
      <c r="Z50" s="89">
        <f t="shared" si="17"/>
        <v>4.3217250525783024</v>
      </c>
      <c r="AA50" s="89">
        <f t="shared" si="17"/>
        <v>3.9896467739694064</v>
      </c>
      <c r="AB50" s="89">
        <f t="shared" si="17"/>
        <v>3.6758810754495546</v>
      </c>
      <c r="AC50" s="89">
        <f t="shared" si="17"/>
        <v>3.3347730475527828</v>
      </c>
      <c r="AD50" s="89">
        <f t="shared" si="17"/>
        <v>2.9924664678616413</v>
      </c>
      <c r="AE50" s="89">
        <f t="shared" si="17"/>
        <v>2.6493267211767555</v>
      </c>
      <c r="AF50" s="89">
        <f t="shared" si="17"/>
        <v>2.3023917169253547</v>
      </c>
    </row>
    <row r="51" spans="1:32" s="75" customFormat="1" x14ac:dyDescent="0.25">
      <c r="A51" s="88" t="s">
        <v>499</v>
      </c>
      <c r="D51" s="89"/>
      <c r="E51" s="89">
        <f t="shared" ref="E51:AF51" si="18">E48*E35/E49*$B$41</f>
        <v>4.911833836858006E-2</v>
      </c>
      <c r="F51" s="89">
        <f t="shared" si="18"/>
        <v>6.5292396628801749E-2</v>
      </c>
      <c r="G51" s="89">
        <f t="shared" si="18"/>
        <v>7.9010693978061319E-2</v>
      </c>
      <c r="H51" s="89">
        <f t="shared" si="18"/>
        <v>9.2441720696084528E-2</v>
      </c>
      <c r="I51" s="89">
        <f t="shared" si="18"/>
        <v>0.10541659039401785</v>
      </c>
      <c r="J51" s="89">
        <f t="shared" si="18"/>
        <v>0.11784296200947528</v>
      </c>
      <c r="K51" s="89">
        <f t="shared" si="18"/>
        <v>0.1297932725075529</v>
      </c>
      <c r="L51" s="89">
        <f t="shared" si="18"/>
        <v>0.14213355956678705</v>
      </c>
      <c r="M51" s="89">
        <f t="shared" si="18"/>
        <v>0.22613956381825132</v>
      </c>
      <c r="N51" s="89">
        <f t="shared" si="18"/>
        <v>0.30922540845597918</v>
      </c>
      <c r="O51" s="89">
        <f t="shared" si="18"/>
        <v>0.39112632748744264</v>
      </c>
      <c r="P51" s="89">
        <f t="shared" si="18"/>
        <v>0.47166642039309759</v>
      </c>
      <c r="Q51" s="89">
        <f t="shared" si="18"/>
        <v>0.55060483066208776</v>
      </c>
      <c r="R51" s="89">
        <f t="shared" si="18"/>
        <v>0.63407123216911776</v>
      </c>
      <c r="S51" s="89">
        <f t="shared" si="18"/>
        <v>0.7142618893804441</v>
      </c>
      <c r="T51" s="89">
        <f t="shared" si="18"/>
        <v>0.79249516946148624</v>
      </c>
      <c r="U51" s="89">
        <f t="shared" si="18"/>
        <v>0.86753488148788915</v>
      </c>
      <c r="V51" s="89">
        <f t="shared" si="18"/>
        <v>0.94325023959389043</v>
      </c>
      <c r="W51" s="89">
        <f t="shared" si="18"/>
        <v>1.0160494458424396</v>
      </c>
      <c r="X51" s="89">
        <f t="shared" si="18"/>
        <v>1.0865322007924414</v>
      </c>
      <c r="Y51" s="89">
        <f t="shared" si="18"/>
        <v>1.1546423697564008</v>
      </c>
      <c r="Z51" s="89">
        <f t="shared" si="18"/>
        <v>1.2176539473618593</v>
      </c>
      <c r="AA51" s="89">
        <f t="shared" si="18"/>
        <v>1.2832871384297524</v>
      </c>
      <c r="AB51" s="89">
        <f t="shared" si="18"/>
        <v>1.3477764565186476</v>
      </c>
      <c r="AC51" s="89">
        <f t="shared" si="18"/>
        <v>1.4098055457130549</v>
      </c>
      <c r="AD51" s="89">
        <f t="shared" si="18"/>
        <v>1.4701162528301885</v>
      </c>
      <c r="AE51" s="89">
        <f t="shared" si="18"/>
        <v>1.5290504139679428</v>
      </c>
      <c r="AF51" s="89">
        <f t="shared" si="18"/>
        <v>1.5858891648189213</v>
      </c>
    </row>
    <row r="52" spans="1:32" s="75" customFormat="1" x14ac:dyDescent="0.25">
      <c r="A52" s="88" t="s">
        <v>500</v>
      </c>
      <c r="D52" s="89"/>
      <c r="E52" s="89">
        <f t="shared" ref="E52:AF52" si="19">E48*E35/E49*$B$42*$B$43/$B$44</f>
        <v>7.090767644185994E-2</v>
      </c>
      <c r="F52" s="89">
        <f t="shared" si="19"/>
        <v>9.4256692877668705E-2</v>
      </c>
      <c r="G52" s="89">
        <f t="shared" si="19"/>
        <v>0.11406055070517125</v>
      </c>
      <c r="H52" s="89">
        <f t="shared" si="19"/>
        <v>0.13344970205750548</v>
      </c>
      <c r="I52" s="89">
        <f t="shared" si="19"/>
        <v>0.15218034101993555</v>
      </c>
      <c r="J52" s="89">
        <f t="shared" si="19"/>
        <v>0.17011916320164855</v>
      </c>
      <c r="K52" s="89">
        <f t="shared" si="19"/>
        <v>0.18737073925902376</v>
      </c>
      <c r="L52" s="89">
        <f t="shared" si="19"/>
        <v>0.20518528899867006</v>
      </c>
      <c r="M52" s="89">
        <f t="shared" si="19"/>
        <v>0.32645711468499444</v>
      </c>
      <c r="N52" s="89">
        <f t="shared" si="19"/>
        <v>0.44640058965073692</v>
      </c>
      <c r="O52" s="89">
        <f t="shared" si="19"/>
        <v>0.56463349532021812</v>
      </c>
      <c r="P52" s="89">
        <f t="shared" si="19"/>
        <v>0.68090190011635154</v>
      </c>
      <c r="Q52" s="89">
        <f t="shared" si="19"/>
        <v>0.7948581014069237</v>
      </c>
      <c r="R52" s="89">
        <f t="shared" si="19"/>
        <v>0.91535095170278657</v>
      </c>
      <c r="S52" s="89">
        <f t="shared" si="19"/>
        <v>1.0311149079777842</v>
      </c>
      <c r="T52" s="89">
        <f t="shared" si="19"/>
        <v>1.1440531769669575</v>
      </c>
      <c r="U52" s="89">
        <f t="shared" si="19"/>
        <v>1.2523811822983062</v>
      </c>
      <c r="V52" s="89">
        <f t="shared" si="19"/>
        <v>1.3616845564062179</v>
      </c>
      <c r="W52" s="89">
        <f t="shared" si="19"/>
        <v>1.4667781473815671</v>
      </c>
      <c r="X52" s="89">
        <f t="shared" si="19"/>
        <v>1.5685276883620207</v>
      </c>
      <c r="Y52" s="89">
        <f t="shared" si="19"/>
        <v>1.6668521428062326</v>
      </c>
      <c r="Z52" s="89">
        <f t="shared" si="19"/>
        <v>1.7578162247629852</v>
      </c>
      <c r="AA52" s="89">
        <f t="shared" si="19"/>
        <v>1.8525648915677631</v>
      </c>
      <c r="AB52" s="89">
        <f t="shared" si="19"/>
        <v>1.9456622530194012</v>
      </c>
      <c r="AC52" s="89">
        <f t="shared" si="19"/>
        <v>2.0352080058414028</v>
      </c>
      <c r="AD52" s="89">
        <f t="shared" si="19"/>
        <v>2.1222730867924526</v>
      </c>
      <c r="AE52" s="89">
        <f t="shared" si="19"/>
        <v>2.2073509735477073</v>
      </c>
      <c r="AF52" s="89">
        <f t="shared" si="19"/>
        <v>2.2894039071070145</v>
      </c>
    </row>
    <row r="53" spans="1:32" s="75" customFormat="1" ht="30" x14ac:dyDescent="0.25">
      <c r="A53" s="88" t="s">
        <v>501</v>
      </c>
      <c r="D53" s="83"/>
      <c r="E53" s="83">
        <f t="shared" ref="E53:AF53" si="20">E49-E35</f>
        <v>1.9352824577581611</v>
      </c>
      <c r="F53" s="83">
        <f t="shared" si="20"/>
        <v>2.262170055949416</v>
      </c>
      <c r="G53" s="83">
        <f t="shared" si="20"/>
        <v>2.4106155271924243</v>
      </c>
      <c r="H53" s="83">
        <f t="shared" si="20"/>
        <v>2.5489000224572314</v>
      </c>
      <c r="I53" s="83">
        <f t="shared" si="20"/>
        <v>2.7035928705069572</v>
      </c>
      <c r="J53" s="83">
        <f t="shared" si="20"/>
        <v>2.8478278435125501</v>
      </c>
      <c r="K53" s="83">
        <f t="shared" si="20"/>
        <v>2.9798622852491361</v>
      </c>
      <c r="L53" s="83">
        <f t="shared" si="20"/>
        <v>3.0546204947418656</v>
      </c>
      <c r="M53" s="83">
        <f t="shared" si="20"/>
        <v>3.0782621762515512</v>
      </c>
      <c r="N53" s="83">
        <f t="shared" si="20"/>
        <v>3.0916156920066959</v>
      </c>
      <c r="O53" s="83">
        <f t="shared" si="20"/>
        <v>3.1136646537239718</v>
      </c>
      <c r="P53" s="83">
        <f t="shared" si="20"/>
        <v>3.1460645789799999</v>
      </c>
      <c r="Q53" s="83">
        <f t="shared" si="20"/>
        <v>3.1882720373598077</v>
      </c>
      <c r="R53" s="83">
        <f t="shared" si="20"/>
        <v>3.1664144578966456</v>
      </c>
      <c r="S53" s="83">
        <f t="shared" si="20"/>
        <v>3.1499788124770265</v>
      </c>
      <c r="T53" s="83">
        <f t="shared" si="20"/>
        <v>3.136520130983472</v>
      </c>
      <c r="U53" s="83">
        <f t="shared" si="20"/>
        <v>3.1004726392485842</v>
      </c>
      <c r="V53" s="83">
        <f t="shared" si="20"/>
        <v>3.0468464320909634</v>
      </c>
      <c r="W53" s="83">
        <f t="shared" si="20"/>
        <v>2.9639041738719785</v>
      </c>
      <c r="X53" s="83">
        <f t="shared" si="20"/>
        <v>2.8750776530357567</v>
      </c>
      <c r="Y53" s="83">
        <f t="shared" si="20"/>
        <v>2.7680430322396807</v>
      </c>
      <c r="Z53" s="83">
        <f t="shared" si="20"/>
        <v>2.4844559025650552</v>
      </c>
      <c r="AA53" s="83">
        <f t="shared" si="20"/>
        <v>2.321332590882367</v>
      </c>
      <c r="AB53" s="83">
        <f t="shared" si="20"/>
        <v>2.1637111795645652</v>
      </c>
      <c r="AC53" s="83">
        <f t="shared" si="20"/>
        <v>1.9869473265034825</v>
      </c>
      <c r="AD53" s="83">
        <f t="shared" si="20"/>
        <v>1.8048370413310004</v>
      </c>
      <c r="AE53" s="83">
        <f t="shared" si="20"/>
        <v>1.6171506950828458</v>
      </c>
      <c r="AF53" s="83">
        <f t="shared" si="20"/>
        <v>1.422762657467604</v>
      </c>
    </row>
    <row r="55" spans="1:32" ht="18.75" x14ac:dyDescent="0.3">
      <c r="A55" s="76" t="s">
        <v>518</v>
      </c>
      <c r="B55" t="s">
        <v>520</v>
      </c>
    </row>
    <row r="57" spans="1:32" x14ac:dyDescent="0.25">
      <c r="A57" s="100" t="s">
        <v>305</v>
      </c>
      <c r="B57" s="101" t="s">
        <v>519</v>
      </c>
    </row>
    <row r="58" spans="1:32" x14ac:dyDescent="0.25">
      <c r="A58" s="103" t="s">
        <v>117</v>
      </c>
      <c r="B58" s="104">
        <v>1</v>
      </c>
      <c r="C58" s="27"/>
      <c r="D58" s="27"/>
      <c r="E58" s="27">
        <f>Consommation!L15</f>
        <v>11.11426</v>
      </c>
      <c r="F58" s="27">
        <f>Consommation!M15</f>
        <v>11.8958944</v>
      </c>
      <c r="G58" s="27">
        <f>Consommation!N15</f>
        <v>11.811875666666666</v>
      </c>
      <c r="H58" s="27">
        <f>Consommation!O15</f>
        <v>13.060971000000002</v>
      </c>
      <c r="I58" s="27">
        <f>Consommation!P15</f>
        <v>13.775011200000003</v>
      </c>
      <c r="J58" s="27">
        <f>Consommation!Q15</f>
        <v>15.41371066666667</v>
      </c>
      <c r="K58" s="27">
        <f>Consommation!R15</f>
        <v>18.043789400000005</v>
      </c>
      <c r="L58" s="27">
        <f>Consommation!S15</f>
        <v>21.498582000000003</v>
      </c>
      <c r="M58" s="27">
        <f>Consommation!T15</f>
        <v>23.424176198333338</v>
      </c>
      <c r="N58" s="27">
        <f>Consommation!U15</f>
        <v>26.304164858333341</v>
      </c>
      <c r="O58" s="27">
        <f>Consommation!V15</f>
        <v>28.696945497500007</v>
      </c>
      <c r="P58" s="27">
        <f>Consommation!W15</f>
        <v>30.547268266666673</v>
      </c>
      <c r="Q58" s="27">
        <f>Consommation!X15</f>
        <v>31.935107750000011</v>
      </c>
      <c r="R58" s="27">
        <f>Consommation!Y15</f>
        <v>32.897173390000013</v>
      </c>
      <c r="S58" s="27">
        <f>Consommation!Z15</f>
        <v>33.217230282500012</v>
      </c>
      <c r="T58" s="27">
        <f>Consommation!AA15</f>
        <v>33.259314293333347</v>
      </c>
      <c r="U58" s="27">
        <f>Consommation!AB15</f>
        <v>33.033811443750011</v>
      </c>
      <c r="V58" s="27">
        <f>Consommation!AC15</f>
        <v>32.425596875000004</v>
      </c>
      <c r="W58" s="27">
        <f>Consommation!AD15</f>
        <v>31.961663136666676</v>
      </c>
      <c r="X58" s="27">
        <f>Consommation!AE15</f>
        <v>31.500022720000008</v>
      </c>
      <c r="Y58" s="27">
        <f>Consommation!AF15</f>
        <v>31.073061442500006</v>
      </c>
      <c r="Z58" s="27">
        <f>Consommation!AG15</f>
        <v>30.642323980000008</v>
      </c>
      <c r="AA58" s="27">
        <f>Consommation!AH15</f>
        <v>30.222704375000006</v>
      </c>
      <c r="AB58" s="27">
        <f>Consommation!AI15</f>
        <v>29.814084400000009</v>
      </c>
      <c r="AC58" s="27">
        <f>Consommation!AJ15</f>
        <v>29.413083775833339</v>
      </c>
      <c r="AD58" s="27">
        <f>Consommation!AK15</f>
        <v>29.021253030000008</v>
      </c>
      <c r="AE58" s="27">
        <f>Consommation!AL15</f>
        <v>28.638497112500009</v>
      </c>
      <c r="AF58" s="27">
        <f>Consommation!AM15</f>
        <v>28.234948666666671</v>
      </c>
    </row>
    <row r="59" spans="1:32" x14ac:dyDescent="0.25">
      <c r="A59" s="103" t="s">
        <v>179</v>
      </c>
      <c r="B59" s="104">
        <v>0.79478162332577384</v>
      </c>
      <c r="C59" s="27"/>
      <c r="D59" s="27"/>
      <c r="E59" s="27">
        <f>Consommation!L16</f>
        <v>88.27</v>
      </c>
      <c r="F59" s="27">
        <f>Consommation!M16</f>
        <v>85.248009599999989</v>
      </c>
      <c r="G59" s="27">
        <f>Consommation!N16</f>
        <v>83.966516333333331</v>
      </c>
      <c r="H59" s="27">
        <f>Consommation!O16</f>
        <v>80.742578399999999</v>
      </c>
      <c r="I59" s="27">
        <f>Consommation!P16</f>
        <v>76.14978880000001</v>
      </c>
      <c r="J59" s="27">
        <f>Consommation!Q16</f>
        <v>72.348002666666673</v>
      </c>
      <c r="K59" s="27">
        <f>Consommation!R16</f>
        <v>68.144221600000023</v>
      </c>
      <c r="L59" s="27">
        <f>Consommation!S16</f>
        <v>63.47171100000002</v>
      </c>
      <c r="M59" s="27">
        <f>Consommation!T16</f>
        <v>59.696465780000011</v>
      </c>
      <c r="N59" s="27">
        <f>Consommation!U16</f>
        <v>55.56248306666668</v>
      </c>
      <c r="O59" s="27">
        <f>Consommation!V16</f>
        <v>51.708123206250015</v>
      </c>
      <c r="P59" s="27">
        <f>Consommation!W16</f>
        <v>48.141319893333339</v>
      </c>
      <c r="Q59" s="27">
        <f>Consommation!X16</f>
        <v>44.794132229166685</v>
      </c>
      <c r="R59" s="27">
        <f>Consommation!Y16</f>
        <v>41.223804745000017</v>
      </c>
      <c r="S59" s="27">
        <f>Consommation!Z16</f>
        <v>37.835139805833343</v>
      </c>
      <c r="T59" s="27">
        <f>Consommation!AA16</f>
        <v>34.697362186666673</v>
      </c>
      <c r="U59" s="27">
        <f>Consommation!AB16</f>
        <v>32.241033776250006</v>
      </c>
      <c r="V59" s="27">
        <f>Consommation!AC16</f>
        <v>25.503760625000005</v>
      </c>
      <c r="W59" s="27">
        <f>Consommation!AD16</f>
        <v>26.745022427083342</v>
      </c>
      <c r="X59" s="27">
        <f>Consommation!AE16</f>
        <v>24.700928640000008</v>
      </c>
      <c r="Y59" s="27">
        <f>Consommation!AF16</f>
        <v>22.976395787916672</v>
      </c>
      <c r="Z59" s="27">
        <f>Consommation!AG16</f>
        <v>21.537582523333338</v>
      </c>
      <c r="AA59" s="27">
        <f>Consommation!AH16</f>
        <v>20.366007656250005</v>
      </c>
      <c r="AB59" s="27">
        <f>Consommation!AI16</f>
        <v>19.013340386666673</v>
      </c>
      <c r="AC59" s="27">
        <f>Consommation!AJ16</f>
        <v>17.93152478541667</v>
      </c>
      <c r="AD59" s="27">
        <f>Consommation!AK16</f>
        <v>16.842589995000004</v>
      </c>
      <c r="AE59" s="27">
        <f>Consommation!AL16</f>
        <v>15.732986390000004</v>
      </c>
      <c r="AF59" s="27">
        <f>Consommation!AM16</f>
        <v>14.611942000000003</v>
      </c>
    </row>
    <row r="60" spans="1:32" x14ac:dyDescent="0.25">
      <c r="A60" s="103" t="s">
        <v>119</v>
      </c>
      <c r="B60" s="104">
        <v>0.77269006538888885</v>
      </c>
      <c r="C60" s="27"/>
      <c r="D60" s="27"/>
      <c r="E60" s="27">
        <f>Consommation!L17</f>
        <v>30.07</v>
      </c>
      <c r="F60" s="27">
        <f>Consommation!M17</f>
        <v>26.697590399999999</v>
      </c>
      <c r="G60" s="27">
        <f>Consommation!N17</f>
        <v>23.829470666666666</v>
      </c>
      <c r="H60" s="27">
        <f>Consommation!O17</f>
        <v>20.766339000000002</v>
      </c>
      <c r="I60" s="27">
        <f>Consommation!P17</f>
        <v>17.389437600000004</v>
      </c>
      <c r="J60" s="27">
        <f>Consommation!Q17</f>
        <v>14.622127333333337</v>
      </c>
      <c r="K60" s="27">
        <f>Consommation!R17</f>
        <v>12.051785200000003</v>
      </c>
      <c r="L60" s="27">
        <f>Consommation!S17</f>
        <v>9.6549360000000028</v>
      </c>
      <c r="M60" s="27">
        <f>Consommation!T17</f>
        <v>7.4471796170833358</v>
      </c>
      <c r="N60" s="27">
        <f>Consommation!U17</f>
        <v>5.3680190666666681</v>
      </c>
      <c r="O60" s="27">
        <f>Consommation!V17</f>
        <v>3.4420022612500012</v>
      </c>
      <c r="P60" s="27">
        <f>Consommation!W17</f>
        <v>1.6569474133333335</v>
      </c>
      <c r="Q60" s="27">
        <f>Consommation!X17</f>
        <v>0</v>
      </c>
      <c r="R60" s="27">
        <f>Consommation!Y17</f>
        <v>0</v>
      </c>
      <c r="S60" s="27">
        <f>Consommation!Z17</f>
        <v>0</v>
      </c>
      <c r="T60" s="27">
        <f>Consommation!AA17</f>
        <v>0</v>
      </c>
      <c r="U60" s="27">
        <f>Consommation!AB17</f>
        <v>0</v>
      </c>
      <c r="V60" s="27">
        <f>Consommation!AC17</f>
        <v>0</v>
      </c>
      <c r="W60" s="27">
        <f>Consommation!AD17</f>
        <v>0</v>
      </c>
      <c r="X60" s="27">
        <f>Consommation!AE17</f>
        <v>0</v>
      </c>
      <c r="Y60" s="27">
        <f>Consommation!AF17</f>
        <v>0</v>
      </c>
      <c r="Z60" s="27">
        <f>Consommation!AG17</f>
        <v>0</v>
      </c>
      <c r="AA60" s="27">
        <f>Consommation!AH17</f>
        <v>0</v>
      </c>
      <c r="AB60" s="27">
        <f>Consommation!AI17</f>
        <v>0</v>
      </c>
      <c r="AC60" s="27">
        <f>Consommation!AJ17</f>
        <v>0</v>
      </c>
      <c r="AD60" s="27">
        <f>Consommation!AK17</f>
        <v>0</v>
      </c>
      <c r="AE60" s="27">
        <f>Consommation!AL17</f>
        <v>0</v>
      </c>
      <c r="AF60" s="27">
        <f>Consommation!AM17</f>
        <v>0</v>
      </c>
    </row>
    <row r="61" spans="1:32" x14ac:dyDescent="0.25">
      <c r="A61" s="103" t="s">
        <v>120</v>
      </c>
      <c r="B61" s="104">
        <v>1</v>
      </c>
      <c r="C61" s="27"/>
      <c r="D61" s="27"/>
      <c r="E61" s="27">
        <f>Consommation!L18</f>
        <v>73.819909999999993</v>
      </c>
      <c r="F61" s="27">
        <f>Consommation!M18</f>
        <v>71.342835199999996</v>
      </c>
      <c r="G61" s="27">
        <f>Consommation!N18</f>
        <v>69.398190333333332</v>
      </c>
      <c r="H61" s="27">
        <f>Consommation!O18</f>
        <v>66.861748800000001</v>
      </c>
      <c r="I61" s="27">
        <f>Consommation!P18</f>
        <v>63.906252000000009</v>
      </c>
      <c r="J61" s="27">
        <f>Consommation!Q18</f>
        <v>61.364444666666678</v>
      </c>
      <c r="K61" s="27">
        <f>Consommation!R18</f>
        <v>58.796374000000021</v>
      </c>
      <c r="L61" s="27">
        <f>Consommation!S18</f>
        <v>56.060862000000014</v>
      </c>
      <c r="M61" s="27">
        <f>Consommation!T18</f>
        <v>54.003211177916683</v>
      </c>
      <c r="N61" s="27">
        <f>Consommation!U18</f>
        <v>51.899855771666687</v>
      </c>
      <c r="O61" s="27">
        <f>Consommation!V18</f>
        <v>49.93896701500001</v>
      </c>
      <c r="P61" s="27">
        <f>Consommation!W18</f>
        <v>48.11453920000001</v>
      </c>
      <c r="Q61" s="27">
        <f>Consommation!X18</f>
        <v>46.406026000000011</v>
      </c>
      <c r="R61" s="27">
        <f>Consommation!Y18</f>
        <v>45.097234100000009</v>
      </c>
      <c r="S61" s="27">
        <f>Consommation!Z18</f>
        <v>43.82495044125001</v>
      </c>
      <c r="T61" s="27">
        <f>Consommation!AA18</f>
        <v>42.638884053333349</v>
      </c>
      <c r="U61" s="27">
        <f>Consommation!AB18</f>
        <v>41.624208258750009</v>
      </c>
      <c r="V61" s="27">
        <f>Consommation!AC18</f>
        <v>39.451773958333341</v>
      </c>
      <c r="W61" s="27">
        <f>Consommation!AD18</f>
        <v>39.343875748333346</v>
      </c>
      <c r="X61" s="27">
        <f>Consommation!AE18</f>
        <v>38.390027160000017</v>
      </c>
      <c r="Y61" s="27">
        <f>Consommation!AF18</f>
        <v>37.516516009166679</v>
      </c>
      <c r="Z61" s="27">
        <f>Consommation!AG18</f>
        <v>36.774426043333342</v>
      </c>
      <c r="AA61" s="27">
        <f>Consommation!AH18</f>
        <v>36.086356718750011</v>
      </c>
      <c r="AB61" s="27">
        <f>Consommation!AI18</f>
        <v>35.37544754666667</v>
      </c>
      <c r="AC61" s="27">
        <f>Consommation!AJ18</f>
        <v>34.727698990833346</v>
      </c>
      <c r="AD61" s="27">
        <f>Consommation!AK18</f>
        <v>34.088726595000011</v>
      </c>
      <c r="AE61" s="27">
        <f>Consommation!AL18</f>
        <v>33.456037129166681</v>
      </c>
      <c r="AF61" s="27">
        <f>Consommation!AM18</f>
        <v>32.81269733333334</v>
      </c>
    </row>
    <row r="62" spans="1:32" x14ac:dyDescent="0.25">
      <c r="A62" s="103" t="s">
        <v>122</v>
      </c>
      <c r="B62" s="105">
        <v>1</v>
      </c>
      <c r="C62" s="27"/>
      <c r="D62" s="27"/>
      <c r="E62" s="27">
        <f>Consommation!L19</f>
        <v>6.7744799999999996</v>
      </c>
      <c r="F62" s="27">
        <f>Consommation!M19</f>
        <v>8.6370335999999988</v>
      </c>
      <c r="G62" s="27">
        <f>Consommation!N19</f>
        <v>10.239727</v>
      </c>
      <c r="H62" s="27">
        <f>Consommation!O19</f>
        <v>11.758131000000001</v>
      </c>
      <c r="I62" s="27">
        <f>Consommation!P19</f>
        <v>13.386866400000002</v>
      </c>
      <c r="J62" s="27">
        <f>Consommation!Q19</f>
        <v>14.891718000000001</v>
      </c>
      <c r="K62" s="27">
        <f>Consommation!R19</f>
        <v>16.272674600000006</v>
      </c>
      <c r="L62" s="27">
        <f>Consommation!S19</f>
        <v>17.468367000000004</v>
      </c>
      <c r="M62" s="27">
        <f>Consommation!T19</f>
        <v>18.960594573333339</v>
      </c>
      <c r="N62" s="27">
        <f>Consommation!U19</f>
        <v>20.358386596666673</v>
      </c>
      <c r="O62" s="27">
        <f>Consommation!V19</f>
        <v>21.781705260000006</v>
      </c>
      <c r="P62" s="27">
        <f>Consommation!W19</f>
        <v>23.235275093333339</v>
      </c>
      <c r="Q62" s="27">
        <f>Consommation!X19</f>
        <v>24.713410791666675</v>
      </c>
      <c r="R62" s="27">
        <f>Consommation!Y19</f>
        <v>25.75663526000001</v>
      </c>
      <c r="S62" s="27">
        <f>Consommation!Z19</f>
        <v>26.804509173750009</v>
      </c>
      <c r="T62" s="27">
        <f>Consommation!AA19</f>
        <v>27.870454773333343</v>
      </c>
      <c r="U62" s="27">
        <f>Consommation!AB19</f>
        <v>28.774110543750009</v>
      </c>
      <c r="V62" s="27">
        <f>Consommation!AC19</f>
        <v>29.714418125000009</v>
      </c>
      <c r="W62" s="27">
        <f>Consommation!AD19</f>
        <v>30.458747859166674</v>
      </c>
      <c r="X62" s="27">
        <f>Consommation!AE19</f>
        <v>31.164738640000007</v>
      </c>
      <c r="Y62" s="27">
        <f>Consommation!AF19</f>
        <v>31.759754345416678</v>
      </c>
      <c r="Z62" s="27">
        <f>Consommation!AG19</f>
        <v>31.960006736666674</v>
      </c>
      <c r="AA62" s="27">
        <f>Consommation!AH19</f>
        <v>32.124585156250006</v>
      </c>
      <c r="AB62" s="27">
        <f>Consommation!AI19</f>
        <v>32.348158680000004</v>
      </c>
      <c r="AC62" s="27">
        <f>Consommation!AJ19</f>
        <v>32.490438472916679</v>
      </c>
      <c r="AD62" s="27">
        <f>Consommation!AK19</f>
        <v>32.624753700000014</v>
      </c>
      <c r="AE62" s="27">
        <f>Consommation!AL19</f>
        <v>32.755230552916679</v>
      </c>
      <c r="AF62" s="27">
        <f>Consommation!AM19</f>
        <v>32.86982866666667</v>
      </c>
    </row>
    <row r="63" spans="1:32" x14ac:dyDescent="0.25">
      <c r="A63" s="103" t="s">
        <v>121</v>
      </c>
      <c r="B63" s="104">
        <v>0.83609383095304723</v>
      </c>
      <c r="C63" s="27"/>
      <c r="D63" s="27"/>
      <c r="E63" s="27">
        <f>Consommation!L20</f>
        <v>1.3550899999999999</v>
      </c>
      <c r="F63" s="27">
        <f>Consommation!M20</f>
        <v>2.2733567999999997</v>
      </c>
      <c r="G63" s="27">
        <f>Consommation!N20</f>
        <v>3.5170456666666663</v>
      </c>
      <c r="H63" s="27">
        <f>Consommation!O20</f>
        <v>4.6753344000000006</v>
      </c>
      <c r="I63" s="27">
        <f>Consommation!P20</f>
        <v>5.9065912000000012</v>
      </c>
      <c r="J63" s="27">
        <f>Consommation!Q20</f>
        <v>7.0446393333333344</v>
      </c>
      <c r="K63" s="27">
        <f>Consommation!R20</f>
        <v>8.0886260000000032</v>
      </c>
      <c r="L63" s="27">
        <f>Consommation!S20</f>
        <v>9.0326040000000027</v>
      </c>
      <c r="M63" s="27">
        <f>Consommation!T20</f>
        <v>10.147208894166669</v>
      </c>
      <c r="N63" s="27">
        <f>Consommation!U20</f>
        <v>11.190054031666669</v>
      </c>
      <c r="O63" s="27">
        <f>Consommation!V20</f>
        <v>12.247003256250004</v>
      </c>
      <c r="P63" s="27">
        <f>Consommation!W20</f>
        <v>13.32037130666667</v>
      </c>
      <c r="Q63" s="27">
        <f>Consommation!X20</f>
        <v>14.406408093750004</v>
      </c>
      <c r="R63" s="27">
        <f>Consommation!Y20</f>
        <v>15.197408210000004</v>
      </c>
      <c r="S63" s="27">
        <f>Consommation!Z20</f>
        <v>15.99300755708334</v>
      </c>
      <c r="T63" s="27">
        <f>Consommation!AA20</f>
        <v>16.798165120000004</v>
      </c>
      <c r="U63" s="27">
        <f>Consommation!AB20</f>
        <v>17.491819410000005</v>
      </c>
      <c r="V63" s="27">
        <f>Consommation!AC20</f>
        <v>18.231877708333339</v>
      </c>
      <c r="W63" s="27">
        <f>Consommation!AD20</f>
        <v>18.835867948333341</v>
      </c>
      <c r="X63" s="27">
        <f>Consommation!AE20</f>
        <v>19.412281000000004</v>
      </c>
      <c r="Y63" s="27">
        <f>Consommation!AF20</f>
        <v>19.910772816250006</v>
      </c>
      <c r="Z63" s="27">
        <f>Consommation!AG20</f>
        <v>20.333151045000008</v>
      </c>
      <c r="AA63" s="27">
        <f>Consommation!AH20</f>
        <v>20.478754375000005</v>
      </c>
      <c r="AB63" s="27">
        <f>Consommation!AI20</f>
        <v>20.66667433333334</v>
      </c>
      <c r="AC63" s="27">
        <f>Consommation!AJ20</f>
        <v>20.804157502916674</v>
      </c>
      <c r="AD63" s="27">
        <f>Consommation!AK20</f>
        <v>20.937329490000007</v>
      </c>
      <c r="AE63" s="27">
        <f>Consommation!AL20</f>
        <v>21.069462764166673</v>
      </c>
      <c r="AF63" s="27">
        <f>Consommation!AM20</f>
        <v>21.192506000000005</v>
      </c>
    </row>
    <row r="64" spans="1:32" x14ac:dyDescent="0.25">
      <c r="A64" s="106"/>
      <c r="B64" s="10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32" x14ac:dyDescent="0.25">
      <c r="A65" s="103" t="s">
        <v>138</v>
      </c>
      <c r="B65" s="102"/>
      <c r="C65" s="27"/>
      <c r="D65" s="27"/>
      <c r="E65" s="27">
        <f t="shared" ref="E65:AF65" si="21">SUM(E58:E63)</f>
        <v>211.40374</v>
      </c>
      <c r="F65" s="27">
        <f t="shared" si="21"/>
        <v>206.09471999999997</v>
      </c>
      <c r="G65" s="27">
        <f t="shared" si="21"/>
        <v>202.76282566666666</v>
      </c>
      <c r="H65" s="27">
        <f t="shared" si="21"/>
        <v>197.8651026</v>
      </c>
      <c r="I65" s="27">
        <f t="shared" si="21"/>
        <v>190.51394720000005</v>
      </c>
      <c r="J65" s="27">
        <f t="shared" si="21"/>
        <v>185.68464266666669</v>
      </c>
      <c r="K65" s="27">
        <f t="shared" si="21"/>
        <v>181.39747080000006</v>
      </c>
      <c r="L65" s="27">
        <f t="shared" si="21"/>
        <v>177.18706200000003</v>
      </c>
      <c r="M65" s="27">
        <f t="shared" si="21"/>
        <v>173.67883624083339</v>
      </c>
      <c r="N65" s="27">
        <f t="shared" si="21"/>
        <v>170.6829633916667</v>
      </c>
      <c r="O65" s="27">
        <f t="shared" si="21"/>
        <v>167.81474649625002</v>
      </c>
      <c r="P65" s="27">
        <f t="shared" si="21"/>
        <v>165.01572117333336</v>
      </c>
      <c r="Q65" s="27">
        <f t="shared" si="21"/>
        <v>162.25508486458338</v>
      </c>
      <c r="R65" s="27">
        <f t="shared" si="21"/>
        <v>160.17225570500005</v>
      </c>
      <c r="S65" s="27">
        <f t="shared" si="21"/>
        <v>157.67483726041672</v>
      </c>
      <c r="T65" s="27">
        <f t="shared" si="21"/>
        <v>155.26418042666671</v>
      </c>
      <c r="U65" s="27">
        <f t="shared" si="21"/>
        <v>153.16498343250004</v>
      </c>
      <c r="V65" s="27">
        <f t="shared" si="21"/>
        <v>145.32742729166671</v>
      </c>
      <c r="W65" s="27">
        <f t="shared" si="21"/>
        <v>147.34517711958338</v>
      </c>
      <c r="X65" s="27">
        <f t="shared" si="21"/>
        <v>145.16799816000005</v>
      </c>
      <c r="Y65" s="27">
        <f t="shared" si="21"/>
        <v>143.23650040125005</v>
      </c>
      <c r="Z65" s="27">
        <f t="shared" si="21"/>
        <v>141.24749032833336</v>
      </c>
      <c r="AA65" s="27">
        <f t="shared" si="21"/>
        <v>139.27840828125002</v>
      </c>
      <c r="AB65" s="27">
        <f t="shared" si="21"/>
        <v>137.21770534666669</v>
      </c>
      <c r="AC65" s="27">
        <f t="shared" si="21"/>
        <v>135.36690352791672</v>
      </c>
      <c r="AD65" s="27">
        <f t="shared" si="21"/>
        <v>133.51465281000003</v>
      </c>
      <c r="AE65" s="27">
        <f t="shared" si="21"/>
        <v>131.65221394875005</v>
      </c>
      <c r="AF65" s="27">
        <f t="shared" si="21"/>
        <v>129.7219226666667</v>
      </c>
    </row>
    <row r="68" spans="1:32" x14ac:dyDescent="0.25">
      <c r="A68" s="106" t="s">
        <v>521</v>
      </c>
      <c r="B68" s="108"/>
      <c r="C68" s="109"/>
    </row>
    <row r="69" spans="1:32" x14ac:dyDescent="0.25">
      <c r="A69" s="106" t="str">
        <f>A59</f>
        <v>Gaz</v>
      </c>
      <c r="B69" s="108"/>
      <c r="C69" s="109"/>
      <c r="D69" s="109"/>
      <c r="E69" s="109">
        <f t="shared" ref="E69:R69" si="22">E59*(1/$B59-1)</f>
        <v>22.791953886947034</v>
      </c>
      <c r="F69" s="109">
        <f t="shared" si="22"/>
        <v>22.01165405865207</v>
      </c>
      <c r="G69" s="109">
        <f t="shared" si="22"/>
        <v>21.680763207396833</v>
      </c>
      <c r="H69" s="109">
        <f t="shared" si="22"/>
        <v>20.848319062037</v>
      </c>
      <c r="I69" s="109">
        <f t="shared" si="22"/>
        <v>19.662427493263355</v>
      </c>
      <c r="J69" s="109">
        <f t="shared" si="22"/>
        <v>18.680778753725932</v>
      </c>
      <c r="K69" s="109">
        <f t="shared" si="22"/>
        <v>17.595332008259891</v>
      </c>
      <c r="L69" s="109">
        <f t="shared" si="22"/>
        <v>16.388855899372714</v>
      </c>
      <c r="M69" s="109">
        <f t="shared" si="22"/>
        <v>15.414060216058367</v>
      </c>
      <c r="N69" s="109">
        <f t="shared" si="22"/>
        <v>14.346635911405263</v>
      </c>
      <c r="O69" s="109">
        <f t="shared" si="22"/>
        <v>13.351412254417427</v>
      </c>
      <c r="P69" s="109">
        <f t="shared" si="22"/>
        <v>12.430437782549218</v>
      </c>
      <c r="Q69" s="109">
        <f t="shared" si="22"/>
        <v>11.566169663226184</v>
      </c>
      <c r="R69" s="109">
        <f t="shared" si="22"/>
        <v>10.644285224793801</v>
      </c>
      <c r="S69" s="109">
        <f t="shared" ref="E69:AF73" si="23">S59*(1/$B59-1)</f>
        <v>9.7693073723886688</v>
      </c>
      <c r="T69" s="109">
        <f t="shared" si="23"/>
        <v>8.9591104447400767</v>
      </c>
      <c r="U69" s="109">
        <f t="shared" si="23"/>
        <v>8.3248686427528273</v>
      </c>
      <c r="V69" s="109">
        <f t="shared" si="23"/>
        <v>6.5852558752547372</v>
      </c>
      <c r="W69" s="109">
        <f t="shared" si="23"/>
        <v>6.9057586707085967</v>
      </c>
      <c r="X69" s="109">
        <f t="shared" si="23"/>
        <v>6.3779588368375393</v>
      </c>
      <c r="Y69" s="109">
        <f t="shared" si="23"/>
        <v>5.9326719529448386</v>
      </c>
      <c r="Z69" s="109">
        <f t="shared" si="23"/>
        <v>5.5611599377832768</v>
      </c>
      <c r="AA69" s="109">
        <f t="shared" si="23"/>
        <v>5.2586508141209976</v>
      </c>
      <c r="AB69" s="109">
        <f t="shared" si="23"/>
        <v>4.9093823193580439</v>
      </c>
      <c r="AC69" s="109">
        <f t="shared" si="23"/>
        <v>4.6300496888168645</v>
      </c>
      <c r="AD69" s="109">
        <f t="shared" si="23"/>
        <v>4.3488788320244209</v>
      </c>
      <c r="AE69" s="109">
        <f t="shared" si="23"/>
        <v>4.0623711374741749</v>
      </c>
      <c r="AF69" s="109">
        <f t="shared" si="23"/>
        <v>3.7729093493003822</v>
      </c>
    </row>
    <row r="70" spans="1:32" x14ac:dyDescent="0.25">
      <c r="A70" s="106" t="str">
        <f>A60</f>
        <v>Fioul</v>
      </c>
      <c r="B70" s="108"/>
      <c r="C70" s="109"/>
      <c r="D70" s="109"/>
      <c r="E70" s="109">
        <f t="shared" si="23"/>
        <v>8.8459914782468534</v>
      </c>
      <c r="F70" s="109">
        <f t="shared" si="23"/>
        <v>7.8538961479256733</v>
      </c>
      <c r="G70" s="109">
        <f t="shared" si="23"/>
        <v>7.010152791768097</v>
      </c>
      <c r="H70" s="109">
        <f t="shared" si="23"/>
        <v>6.1090408323373895</v>
      </c>
      <c r="I70" s="109">
        <f t="shared" si="23"/>
        <v>5.1156241044597754</v>
      </c>
      <c r="J70" s="109">
        <f t="shared" si="23"/>
        <v>4.3015368734455297</v>
      </c>
      <c r="K70" s="109">
        <f t="shared" si="23"/>
        <v>3.5453937205474415</v>
      </c>
      <c r="L70" s="109">
        <f t="shared" si="23"/>
        <v>2.8402887123052474</v>
      </c>
      <c r="M70" s="109">
        <f t="shared" si="23"/>
        <v>2.1908110219385719</v>
      </c>
      <c r="N70" s="109">
        <f t="shared" si="23"/>
        <v>1.5791636487795135</v>
      </c>
      <c r="O70" s="109">
        <f t="shared" si="23"/>
        <v>1.01256809681157</v>
      </c>
      <c r="P70" s="109">
        <f t="shared" si="23"/>
        <v>0.48744072824242879</v>
      </c>
      <c r="Q70" s="109">
        <f t="shared" si="23"/>
        <v>0</v>
      </c>
      <c r="R70" s="109">
        <f t="shared" si="23"/>
        <v>0</v>
      </c>
      <c r="S70" s="109">
        <f t="shared" si="23"/>
        <v>0</v>
      </c>
      <c r="T70" s="109">
        <f t="shared" si="23"/>
        <v>0</v>
      </c>
      <c r="U70" s="109">
        <f t="shared" si="23"/>
        <v>0</v>
      </c>
      <c r="V70" s="109">
        <f t="shared" si="23"/>
        <v>0</v>
      </c>
      <c r="W70" s="109">
        <f t="shared" si="23"/>
        <v>0</v>
      </c>
      <c r="X70" s="109">
        <f t="shared" si="23"/>
        <v>0</v>
      </c>
      <c r="Y70" s="109">
        <f t="shared" si="23"/>
        <v>0</v>
      </c>
      <c r="Z70" s="109">
        <f t="shared" si="23"/>
        <v>0</v>
      </c>
      <c r="AA70" s="109">
        <f t="shared" si="23"/>
        <v>0</v>
      </c>
      <c r="AB70" s="109">
        <f t="shared" si="23"/>
        <v>0</v>
      </c>
      <c r="AC70" s="109">
        <f t="shared" si="23"/>
        <v>0</v>
      </c>
      <c r="AD70" s="109">
        <f t="shared" si="23"/>
        <v>0</v>
      </c>
      <c r="AE70" s="109">
        <f t="shared" si="23"/>
        <v>0</v>
      </c>
      <c r="AF70" s="109">
        <f t="shared" si="23"/>
        <v>0</v>
      </c>
    </row>
    <row r="71" spans="1:32" x14ac:dyDescent="0.25">
      <c r="A71" s="106" t="str">
        <f>A61</f>
        <v>Bois</v>
      </c>
      <c r="B71" s="110"/>
      <c r="C71" s="109"/>
      <c r="D71" s="109"/>
      <c r="E71" s="109">
        <f t="shared" si="23"/>
        <v>0</v>
      </c>
      <c r="F71" s="109">
        <f t="shared" si="23"/>
        <v>0</v>
      </c>
      <c r="G71" s="109">
        <f t="shared" si="23"/>
        <v>0</v>
      </c>
      <c r="H71" s="109">
        <f t="shared" si="23"/>
        <v>0</v>
      </c>
      <c r="I71" s="109">
        <f t="shared" si="23"/>
        <v>0</v>
      </c>
      <c r="J71" s="109">
        <f t="shared" si="23"/>
        <v>0</v>
      </c>
      <c r="K71" s="109">
        <f t="shared" si="23"/>
        <v>0</v>
      </c>
      <c r="L71" s="109">
        <f t="shared" si="23"/>
        <v>0</v>
      </c>
      <c r="M71" s="109">
        <f t="shared" si="23"/>
        <v>0</v>
      </c>
      <c r="N71" s="109">
        <f t="shared" si="23"/>
        <v>0</v>
      </c>
      <c r="O71" s="109">
        <f t="shared" si="23"/>
        <v>0</v>
      </c>
      <c r="P71" s="109">
        <f t="shared" si="23"/>
        <v>0</v>
      </c>
      <c r="Q71" s="109">
        <f t="shared" si="23"/>
        <v>0</v>
      </c>
      <c r="R71" s="109">
        <f t="shared" si="23"/>
        <v>0</v>
      </c>
      <c r="S71" s="109">
        <f t="shared" si="23"/>
        <v>0</v>
      </c>
      <c r="T71" s="109">
        <f t="shared" si="23"/>
        <v>0</v>
      </c>
      <c r="U71" s="109">
        <f t="shared" si="23"/>
        <v>0</v>
      </c>
      <c r="V71" s="109">
        <f t="shared" si="23"/>
        <v>0</v>
      </c>
      <c r="W71" s="109">
        <f t="shared" si="23"/>
        <v>0</v>
      </c>
      <c r="X71" s="109">
        <f t="shared" si="23"/>
        <v>0</v>
      </c>
      <c r="Y71" s="109">
        <f t="shared" si="23"/>
        <v>0</v>
      </c>
      <c r="Z71" s="109">
        <f t="shared" si="23"/>
        <v>0</v>
      </c>
      <c r="AA71" s="109">
        <f t="shared" si="23"/>
        <v>0</v>
      </c>
      <c r="AB71" s="109">
        <f t="shared" si="23"/>
        <v>0</v>
      </c>
      <c r="AC71" s="109">
        <f t="shared" si="23"/>
        <v>0</v>
      </c>
      <c r="AD71" s="109">
        <f t="shared" si="23"/>
        <v>0</v>
      </c>
      <c r="AE71" s="109">
        <f t="shared" si="23"/>
        <v>0</v>
      </c>
      <c r="AF71" s="109">
        <f t="shared" si="23"/>
        <v>0</v>
      </c>
    </row>
    <row r="72" spans="1:32" x14ac:dyDescent="0.25">
      <c r="A72" s="106" t="str">
        <f>A62</f>
        <v>Electricité (pompe à chaleur)</v>
      </c>
      <c r="B72" s="111"/>
      <c r="C72" s="109"/>
      <c r="D72" s="109"/>
      <c r="E72" s="109">
        <f t="shared" si="23"/>
        <v>0</v>
      </c>
      <c r="F72" s="109">
        <f t="shared" si="23"/>
        <v>0</v>
      </c>
      <c r="G72" s="109">
        <f t="shared" si="23"/>
        <v>0</v>
      </c>
      <c r="H72" s="109">
        <f t="shared" si="23"/>
        <v>0</v>
      </c>
      <c r="I72" s="109">
        <f t="shared" si="23"/>
        <v>0</v>
      </c>
      <c r="J72" s="109">
        <f t="shared" si="23"/>
        <v>0</v>
      </c>
      <c r="K72" s="109">
        <f t="shared" si="23"/>
        <v>0</v>
      </c>
      <c r="L72" s="109">
        <f t="shared" si="23"/>
        <v>0</v>
      </c>
      <c r="M72" s="109">
        <f t="shared" si="23"/>
        <v>0</v>
      </c>
      <c r="N72" s="109">
        <f t="shared" si="23"/>
        <v>0</v>
      </c>
      <c r="O72" s="109">
        <f t="shared" si="23"/>
        <v>0</v>
      </c>
      <c r="P72" s="109">
        <f t="shared" si="23"/>
        <v>0</v>
      </c>
      <c r="Q72" s="109">
        <f t="shared" si="23"/>
        <v>0</v>
      </c>
      <c r="R72" s="109">
        <f t="shared" si="23"/>
        <v>0</v>
      </c>
      <c r="S72" s="109">
        <f t="shared" si="23"/>
        <v>0</v>
      </c>
      <c r="T72" s="109">
        <f t="shared" si="23"/>
        <v>0</v>
      </c>
      <c r="U72" s="109">
        <f t="shared" si="23"/>
        <v>0</v>
      </c>
      <c r="V72" s="109">
        <f t="shared" si="23"/>
        <v>0</v>
      </c>
      <c r="W72" s="109">
        <f t="shared" si="23"/>
        <v>0</v>
      </c>
      <c r="X72" s="109">
        <f t="shared" si="23"/>
        <v>0</v>
      </c>
      <c r="Y72" s="109">
        <f t="shared" si="23"/>
        <v>0</v>
      </c>
      <c r="Z72" s="109">
        <f t="shared" si="23"/>
        <v>0</v>
      </c>
      <c r="AA72" s="109">
        <f t="shared" si="23"/>
        <v>0</v>
      </c>
      <c r="AB72" s="109">
        <f t="shared" si="23"/>
        <v>0</v>
      </c>
      <c r="AC72" s="109">
        <f t="shared" si="23"/>
        <v>0</v>
      </c>
      <c r="AD72" s="109">
        <f t="shared" si="23"/>
        <v>0</v>
      </c>
      <c r="AE72" s="109">
        <f t="shared" si="23"/>
        <v>0</v>
      </c>
      <c r="AF72" s="109">
        <f t="shared" si="23"/>
        <v>0</v>
      </c>
    </row>
    <row r="73" spans="1:32" x14ac:dyDescent="0.25">
      <c r="A73" s="106" t="str">
        <f>A63</f>
        <v>Electricité (joule)</v>
      </c>
      <c r="B73" s="111"/>
      <c r="C73" s="109"/>
      <c r="D73" s="109"/>
      <c r="E73" s="109">
        <f t="shared" si="23"/>
        <v>0.26564914414050755</v>
      </c>
      <c r="F73" s="109">
        <f t="shared" si="23"/>
        <v>0.44566433834358082</v>
      </c>
      <c r="G73" s="109">
        <f t="shared" si="23"/>
        <v>0.68947462622636191</v>
      </c>
      <c r="H73" s="109">
        <f t="shared" si="23"/>
        <v>0.91654324209511806</v>
      </c>
      <c r="I73" s="109">
        <f t="shared" si="23"/>
        <v>1.1579163723943457</v>
      </c>
      <c r="J73" s="109">
        <f t="shared" si="23"/>
        <v>1.3810170613601724</v>
      </c>
      <c r="K73" s="109">
        <f t="shared" si="23"/>
        <v>1.5856781277794523</v>
      </c>
      <c r="L73" s="109">
        <f t="shared" si="23"/>
        <v>1.7707336944115342</v>
      </c>
      <c r="M73" s="109">
        <f t="shared" si="23"/>
        <v>1.9892386174721397</v>
      </c>
      <c r="N73" s="109">
        <f t="shared" si="23"/>
        <v>2.1936759007876132</v>
      </c>
      <c r="O73" s="109">
        <f t="shared" si="23"/>
        <v>2.400878121238311</v>
      </c>
      <c r="P73" s="109">
        <f t="shared" si="23"/>
        <v>2.6112990555976174</v>
      </c>
      <c r="Q73" s="109">
        <f t="shared" si="23"/>
        <v>2.82420354385581</v>
      </c>
      <c r="R73" s="109">
        <f t="shared" si="23"/>
        <v>2.9792696309030573</v>
      </c>
      <c r="S73" s="109">
        <f t="shared" si="23"/>
        <v>3.1352373420007962</v>
      </c>
      <c r="T73" s="109">
        <f t="shared" si="23"/>
        <v>3.2930788266896869</v>
      </c>
      <c r="U73" s="109">
        <f t="shared" si="23"/>
        <v>3.429061431880406</v>
      </c>
      <c r="V73" s="109">
        <f t="shared" si="23"/>
        <v>3.5741409864238904</v>
      </c>
      <c r="W73" s="109">
        <f t="shared" si="23"/>
        <v>3.6925460298713517</v>
      </c>
      <c r="X73" s="109">
        <f t="shared" si="23"/>
        <v>3.8055448962541507</v>
      </c>
      <c r="Y73" s="109">
        <f t="shared" si="23"/>
        <v>3.9032682388718811</v>
      </c>
      <c r="Z73" s="109">
        <f t="shared" si="23"/>
        <v>3.9860704254211301</v>
      </c>
      <c r="AA73" s="109">
        <f t="shared" si="23"/>
        <v>4.0146142121795796</v>
      </c>
      <c r="AB73" s="109">
        <f t="shared" si="23"/>
        <v>4.051453666458019</v>
      </c>
      <c r="AC73" s="109">
        <f t="shared" si="23"/>
        <v>4.0784055931444652</v>
      </c>
      <c r="AD73" s="109">
        <f t="shared" si="23"/>
        <v>4.1045123642018693</v>
      </c>
      <c r="AE73" s="109">
        <f t="shared" si="23"/>
        <v>4.1304155080482987</v>
      </c>
      <c r="AF73" s="109">
        <f t="shared" si="23"/>
        <v>4.1545366588880244</v>
      </c>
    </row>
    <row r="75" spans="1:32" x14ac:dyDescent="0.25">
      <c r="A75" s="88" t="s">
        <v>522</v>
      </c>
      <c r="B75" s="88"/>
      <c r="C75" s="88"/>
      <c r="D75" s="88"/>
      <c r="E75" s="114">
        <f t="shared" ref="E75:AF75" si="24">SUM(E69:E73)</f>
        <v>31.903594509334393</v>
      </c>
      <c r="F75" s="114">
        <f t="shared" si="24"/>
        <v>30.311214544921324</v>
      </c>
      <c r="G75" s="114">
        <f t="shared" si="24"/>
        <v>29.380390625391289</v>
      </c>
      <c r="H75" s="114">
        <f t="shared" si="24"/>
        <v>27.873903136469508</v>
      </c>
      <c r="I75" s="114">
        <f t="shared" si="24"/>
        <v>25.935967970117478</v>
      </c>
      <c r="J75" s="114">
        <f t="shared" si="24"/>
        <v>24.363332688531631</v>
      </c>
      <c r="K75" s="114">
        <f t="shared" si="24"/>
        <v>22.726403856586785</v>
      </c>
      <c r="L75" s="114">
        <f t="shared" si="24"/>
        <v>20.999878306089496</v>
      </c>
      <c r="M75" s="114">
        <f t="shared" si="24"/>
        <v>19.594109855469078</v>
      </c>
      <c r="N75" s="114">
        <f t="shared" si="24"/>
        <v>18.119475460972389</v>
      </c>
      <c r="O75" s="114">
        <f t="shared" si="24"/>
        <v>16.76485847246731</v>
      </c>
      <c r="P75" s="114">
        <f t="shared" si="24"/>
        <v>15.529177566389265</v>
      </c>
      <c r="Q75" s="114">
        <f t="shared" si="24"/>
        <v>14.390373207081993</v>
      </c>
      <c r="R75" s="114">
        <f t="shared" si="24"/>
        <v>13.62355485569686</v>
      </c>
      <c r="S75" s="114">
        <f t="shared" si="24"/>
        <v>12.904544714389464</v>
      </c>
      <c r="T75" s="114">
        <f t="shared" si="24"/>
        <v>12.252189271429764</v>
      </c>
      <c r="U75" s="114">
        <f t="shared" si="24"/>
        <v>11.753930074633233</v>
      </c>
      <c r="V75" s="114">
        <f t="shared" si="24"/>
        <v>10.159396861678628</v>
      </c>
      <c r="W75" s="114">
        <f t="shared" si="24"/>
        <v>10.598304700579948</v>
      </c>
      <c r="X75" s="114">
        <f t="shared" si="24"/>
        <v>10.18350373309169</v>
      </c>
      <c r="Y75" s="114">
        <f t="shared" si="24"/>
        <v>9.8359401918167197</v>
      </c>
      <c r="Z75" s="114">
        <f t="shared" si="24"/>
        <v>9.547230363204406</v>
      </c>
      <c r="AA75" s="114">
        <f t="shared" si="24"/>
        <v>9.273265026300578</v>
      </c>
      <c r="AB75" s="114">
        <f t="shared" si="24"/>
        <v>8.9608359858160629</v>
      </c>
      <c r="AC75" s="114">
        <f t="shared" si="24"/>
        <v>8.7084552819613297</v>
      </c>
      <c r="AD75" s="114">
        <f t="shared" si="24"/>
        <v>8.4533911962262902</v>
      </c>
      <c r="AE75" s="114">
        <f t="shared" si="24"/>
        <v>8.1927866455224745</v>
      </c>
      <c r="AF75" s="114">
        <f t="shared" si="24"/>
        <v>7.9274460081884062</v>
      </c>
    </row>
    <row r="76" spans="1:32" x14ac:dyDescent="0.25">
      <c r="A76" s="88" t="s">
        <v>523</v>
      </c>
      <c r="B76" s="88"/>
      <c r="C76" s="88"/>
      <c r="D76" s="88"/>
      <c r="E76" s="114">
        <f t="shared" ref="E76:AF76" si="25">E61-E75</f>
        <v>41.916315490665596</v>
      </c>
      <c r="F76" s="114">
        <f t="shared" si="25"/>
        <v>41.031620655078669</v>
      </c>
      <c r="G76" s="114">
        <f t="shared" si="25"/>
        <v>40.017799707942046</v>
      </c>
      <c r="H76" s="114">
        <f t="shared" si="25"/>
        <v>38.987845663530493</v>
      </c>
      <c r="I76" s="114">
        <f t="shared" si="25"/>
        <v>37.970284029882535</v>
      </c>
      <c r="J76" s="114">
        <f t="shared" si="25"/>
        <v>37.001111978135043</v>
      </c>
      <c r="K76" s="114">
        <f t="shared" si="25"/>
        <v>36.069970143413236</v>
      </c>
      <c r="L76" s="114">
        <f t="shared" si="25"/>
        <v>35.060983693910515</v>
      </c>
      <c r="M76" s="114">
        <f t="shared" si="25"/>
        <v>34.409101322447604</v>
      </c>
      <c r="N76" s="114">
        <f t="shared" si="25"/>
        <v>33.780380310694298</v>
      </c>
      <c r="O76" s="114">
        <f t="shared" si="25"/>
        <v>33.1741085425327</v>
      </c>
      <c r="P76" s="114">
        <f t="shared" si="25"/>
        <v>32.585361633610745</v>
      </c>
      <c r="Q76" s="114">
        <f t="shared" si="25"/>
        <v>32.015652792918019</v>
      </c>
      <c r="R76" s="114">
        <f t="shared" si="25"/>
        <v>31.473679244303149</v>
      </c>
      <c r="S76" s="114">
        <f t="shared" si="25"/>
        <v>30.920405726860544</v>
      </c>
      <c r="T76" s="114">
        <f t="shared" si="25"/>
        <v>30.386694781903586</v>
      </c>
      <c r="U76" s="114">
        <f t="shared" si="25"/>
        <v>29.870278184116778</v>
      </c>
      <c r="V76" s="114">
        <f t="shared" si="25"/>
        <v>29.292377096654711</v>
      </c>
      <c r="W76" s="114">
        <f t="shared" si="25"/>
        <v>28.745571047753398</v>
      </c>
      <c r="X76" s="114">
        <f t="shared" si="25"/>
        <v>28.206523426908326</v>
      </c>
      <c r="Y76" s="114">
        <f t="shared" si="25"/>
        <v>27.680575817349961</v>
      </c>
      <c r="Z76" s="114">
        <f t="shared" si="25"/>
        <v>27.227195680128936</v>
      </c>
      <c r="AA76" s="114">
        <f t="shared" si="25"/>
        <v>26.813091692449433</v>
      </c>
      <c r="AB76" s="114">
        <f t="shared" si="25"/>
        <v>26.414611560850609</v>
      </c>
      <c r="AC76" s="114">
        <f t="shared" si="25"/>
        <v>26.019243708872018</v>
      </c>
      <c r="AD76" s="114">
        <f t="shared" si="25"/>
        <v>25.635335398773719</v>
      </c>
      <c r="AE76" s="114">
        <f t="shared" si="25"/>
        <v>25.263250483644207</v>
      </c>
      <c r="AF76" s="114">
        <f t="shared" si="25"/>
        <v>24.885251325144935</v>
      </c>
    </row>
    <row r="78" spans="1:32" ht="18.75" x14ac:dyDescent="0.3">
      <c r="A78" s="76" t="s">
        <v>517</v>
      </c>
    </row>
    <row r="80" spans="1:32" x14ac:dyDescent="0.25">
      <c r="A80" s="78" t="str">
        <f>Consommation!J14</f>
        <v>Consommation (incluant  CC)</v>
      </c>
    </row>
    <row r="81" spans="1:32" x14ac:dyDescent="0.25">
      <c r="A81" t="str">
        <f>Consommation!J15</f>
        <v xml:space="preserve">Chauffage urbain </v>
      </c>
      <c r="D81" s="27"/>
      <c r="E81" s="27">
        <f>Consommation!L15</f>
        <v>11.11426</v>
      </c>
      <c r="F81" s="27">
        <f>Consommation!M15</f>
        <v>11.8958944</v>
      </c>
      <c r="G81" s="27">
        <f>Consommation!N15</f>
        <v>11.811875666666666</v>
      </c>
      <c r="H81" s="27">
        <f>Consommation!O15</f>
        <v>13.060971000000002</v>
      </c>
      <c r="I81" s="27">
        <f>Consommation!P15</f>
        <v>13.775011200000003</v>
      </c>
      <c r="J81" s="27">
        <f>Consommation!Q15</f>
        <v>15.41371066666667</v>
      </c>
      <c r="K81" s="27">
        <f>Consommation!R15</f>
        <v>18.043789400000005</v>
      </c>
      <c r="L81" s="27">
        <f>Consommation!S15</f>
        <v>21.498582000000003</v>
      </c>
      <c r="M81" s="27">
        <f>Consommation!T15</f>
        <v>23.424176198333338</v>
      </c>
      <c r="N81" s="27">
        <f>Consommation!U15</f>
        <v>26.304164858333341</v>
      </c>
      <c r="O81" s="27">
        <f>Consommation!V15</f>
        <v>28.696945497500007</v>
      </c>
      <c r="P81" s="27">
        <f>Consommation!W15</f>
        <v>30.547268266666673</v>
      </c>
      <c r="Q81" s="27">
        <f>Consommation!X15</f>
        <v>31.935107750000011</v>
      </c>
      <c r="R81" s="27">
        <f>Consommation!Y15</f>
        <v>32.897173390000013</v>
      </c>
      <c r="S81" s="27">
        <f>Consommation!Z15</f>
        <v>33.217230282500012</v>
      </c>
      <c r="T81" s="27">
        <f>Consommation!AA15</f>
        <v>33.259314293333347</v>
      </c>
      <c r="U81" s="27">
        <f>Consommation!AB15</f>
        <v>33.033811443750011</v>
      </c>
      <c r="V81" s="27">
        <f>Consommation!AC15</f>
        <v>32.425596875000004</v>
      </c>
      <c r="W81" s="27">
        <f>Consommation!AD15</f>
        <v>31.961663136666676</v>
      </c>
      <c r="X81" s="27">
        <f>Consommation!AE15</f>
        <v>31.500022720000008</v>
      </c>
      <c r="Y81" s="27">
        <f>Consommation!AF15</f>
        <v>31.073061442500006</v>
      </c>
      <c r="Z81" s="27">
        <f>Consommation!AG15</f>
        <v>30.642323980000008</v>
      </c>
      <c r="AA81" s="27">
        <f>Consommation!AH15</f>
        <v>30.222704375000006</v>
      </c>
      <c r="AB81" s="27">
        <f>Consommation!AI15</f>
        <v>29.814084400000009</v>
      </c>
      <c r="AC81" s="27">
        <f>Consommation!AJ15</f>
        <v>29.413083775833339</v>
      </c>
      <c r="AD81" s="27">
        <f>Consommation!AK15</f>
        <v>29.021253030000008</v>
      </c>
      <c r="AE81" s="27">
        <f>Consommation!AL15</f>
        <v>28.638497112500009</v>
      </c>
      <c r="AF81" s="27">
        <f>Consommation!AM15</f>
        <v>28.234948666666671</v>
      </c>
    </row>
    <row r="82" spans="1:32" s="2" customFormat="1" x14ac:dyDescent="0.25">
      <c r="A82" s="2" t="str">
        <f>Consommation!J16</f>
        <v>Gaz</v>
      </c>
      <c r="D82" s="90"/>
      <c r="E82" s="90">
        <f>Consommation!L16+E52</f>
        <v>88.340907676441859</v>
      </c>
      <c r="F82" s="90">
        <f>Consommation!M16+F52</f>
        <v>85.342266292877653</v>
      </c>
      <c r="G82" s="90">
        <f>Consommation!N16+G52</f>
        <v>84.080576884038507</v>
      </c>
      <c r="H82" s="90">
        <f>Consommation!O16+H52</f>
        <v>80.876028102057504</v>
      </c>
      <c r="I82" s="90">
        <f>Consommation!P16+I52</f>
        <v>76.301969141019953</v>
      </c>
      <c r="J82" s="90">
        <f>Consommation!Q16+J52</f>
        <v>72.518121829868321</v>
      </c>
      <c r="K82" s="90">
        <f>Consommation!R16+K52</f>
        <v>68.331592339259046</v>
      </c>
      <c r="L82" s="90">
        <f>Consommation!S16+L52</f>
        <v>63.676896288998691</v>
      </c>
      <c r="M82" s="90">
        <f>Consommation!T16+M52</f>
        <v>60.022922894685003</v>
      </c>
      <c r="N82" s="90">
        <f>Consommation!U16+N52</f>
        <v>56.008883656317416</v>
      </c>
      <c r="O82" s="90">
        <f>Consommation!V16+O52</f>
        <v>52.272756701570231</v>
      </c>
      <c r="P82" s="90">
        <f>Consommation!W16+P52</f>
        <v>48.822221793449692</v>
      </c>
      <c r="Q82" s="90">
        <f>Consommation!X16+Q52</f>
        <v>45.588990330573608</v>
      </c>
      <c r="R82" s="90">
        <f>Consommation!Y16+R52</f>
        <v>42.139155696702801</v>
      </c>
      <c r="S82" s="90">
        <f>Consommation!Z16+S52</f>
        <v>38.866254713811131</v>
      </c>
      <c r="T82" s="90">
        <f>Consommation!AA16+T52</f>
        <v>35.841415363633629</v>
      </c>
      <c r="U82" s="90">
        <f>Consommation!AB16+U52</f>
        <v>33.493414958548314</v>
      </c>
      <c r="V82" s="90">
        <f>Consommation!AC16+V52</f>
        <v>26.865445181406223</v>
      </c>
      <c r="W82" s="90">
        <f>Consommation!AD16+W52</f>
        <v>28.21180057446491</v>
      </c>
      <c r="X82" s="90">
        <f>Consommation!AE16+X52</f>
        <v>26.269456328362029</v>
      </c>
      <c r="Y82" s="90">
        <f>Consommation!AF16+Y52</f>
        <v>24.643247930722904</v>
      </c>
      <c r="Z82" s="90">
        <f>Consommation!AG16+Z52</f>
        <v>23.295398748096325</v>
      </c>
      <c r="AA82" s="90">
        <f>Consommation!AH16+AA52</f>
        <v>22.218572547817768</v>
      </c>
      <c r="AB82" s="90">
        <f>Consommation!AI16+AB52</f>
        <v>20.959002639686073</v>
      </c>
      <c r="AC82" s="90">
        <f>Consommation!AJ16+AC52</f>
        <v>19.966732791258075</v>
      </c>
      <c r="AD82" s="90">
        <f>Consommation!AK16+AD52</f>
        <v>18.964863081792458</v>
      </c>
      <c r="AE82" s="90">
        <f>Consommation!AL16+AE52</f>
        <v>17.940337363547712</v>
      </c>
      <c r="AF82" s="90">
        <f>Consommation!AM16+AF52</f>
        <v>16.901345907107018</v>
      </c>
    </row>
    <row r="83" spans="1:32" x14ac:dyDescent="0.25">
      <c r="A83" s="91" t="s">
        <v>502</v>
      </c>
      <c r="B83" s="80"/>
      <c r="C83" s="80"/>
      <c r="D83" s="92"/>
      <c r="E83" s="92">
        <f>Consommation!L16</f>
        <v>88.27</v>
      </c>
      <c r="F83" s="92">
        <f>Consommation!M16</f>
        <v>85.248009599999989</v>
      </c>
      <c r="G83" s="92">
        <f>Consommation!N16</f>
        <v>83.966516333333331</v>
      </c>
      <c r="H83" s="92">
        <f>Consommation!O16</f>
        <v>80.742578399999999</v>
      </c>
      <c r="I83" s="92">
        <f>Consommation!P16</f>
        <v>76.14978880000001</v>
      </c>
      <c r="J83" s="92">
        <f>Consommation!Q16</f>
        <v>72.348002666666673</v>
      </c>
      <c r="K83" s="92">
        <f>Consommation!R16</f>
        <v>68.144221600000023</v>
      </c>
      <c r="L83" s="92">
        <f>Consommation!S16</f>
        <v>63.47171100000002</v>
      </c>
      <c r="M83" s="92">
        <f>Consommation!T16</f>
        <v>59.696465780000011</v>
      </c>
      <c r="N83" s="92">
        <f>Consommation!U16</f>
        <v>55.56248306666668</v>
      </c>
      <c r="O83" s="92">
        <f>Consommation!V16</f>
        <v>51.708123206250015</v>
      </c>
      <c r="P83" s="92">
        <f>Consommation!W16</f>
        <v>48.141319893333339</v>
      </c>
      <c r="Q83" s="92">
        <f>Consommation!X16</f>
        <v>44.794132229166685</v>
      </c>
      <c r="R83" s="92">
        <f>Consommation!Y16</f>
        <v>41.223804745000017</v>
      </c>
      <c r="S83" s="92">
        <f>Consommation!Z16</f>
        <v>37.835139805833343</v>
      </c>
      <c r="T83" s="92">
        <f>Consommation!AA16</f>
        <v>34.697362186666673</v>
      </c>
      <c r="U83" s="92">
        <f>Consommation!AB16</f>
        <v>32.241033776250006</v>
      </c>
      <c r="V83" s="92">
        <f>Consommation!AC16</f>
        <v>25.503760625000005</v>
      </c>
      <c r="W83" s="92">
        <f>Consommation!AD16</f>
        <v>26.745022427083342</v>
      </c>
      <c r="X83" s="92">
        <f>Consommation!AE16</f>
        <v>24.700928640000008</v>
      </c>
      <c r="Y83" s="92">
        <f>Consommation!AF16</f>
        <v>22.976395787916672</v>
      </c>
      <c r="Z83" s="92">
        <f>Consommation!AG16</f>
        <v>21.537582523333338</v>
      </c>
      <c r="AA83" s="92">
        <f>Consommation!AH16</f>
        <v>20.366007656250005</v>
      </c>
      <c r="AB83" s="92">
        <f>Consommation!AI16</f>
        <v>19.013340386666673</v>
      </c>
      <c r="AC83" s="92">
        <f>Consommation!AJ16</f>
        <v>17.93152478541667</v>
      </c>
      <c r="AD83" s="92">
        <f>Consommation!AK16</f>
        <v>16.842589995000004</v>
      </c>
      <c r="AE83" s="92">
        <f>Consommation!AL16</f>
        <v>15.732986390000004</v>
      </c>
      <c r="AF83" s="92">
        <f>Consommation!AM16</f>
        <v>14.611942000000003</v>
      </c>
    </row>
    <row r="84" spans="1:32" x14ac:dyDescent="0.25">
      <c r="A84" s="91" t="s">
        <v>503</v>
      </c>
      <c r="B84" s="80"/>
      <c r="C84" s="80"/>
      <c r="D84" s="92"/>
      <c r="E84" s="92">
        <f t="shared" ref="E84" si="26">E52</f>
        <v>7.090767644185994E-2</v>
      </c>
      <c r="F84" s="92">
        <f t="shared" ref="F84:AF84" si="27">F52</f>
        <v>9.4256692877668705E-2</v>
      </c>
      <c r="G84" s="92">
        <f t="shared" si="27"/>
        <v>0.11406055070517125</v>
      </c>
      <c r="H84" s="92">
        <f t="shared" si="27"/>
        <v>0.13344970205750548</v>
      </c>
      <c r="I84" s="92">
        <f t="shared" si="27"/>
        <v>0.15218034101993555</v>
      </c>
      <c r="J84" s="92">
        <f t="shared" si="27"/>
        <v>0.17011916320164855</v>
      </c>
      <c r="K84" s="92">
        <f t="shared" si="27"/>
        <v>0.18737073925902376</v>
      </c>
      <c r="L84" s="92">
        <f t="shared" si="27"/>
        <v>0.20518528899867006</v>
      </c>
      <c r="M84" s="92">
        <f t="shared" si="27"/>
        <v>0.32645711468499444</v>
      </c>
      <c r="N84" s="92">
        <f t="shared" si="27"/>
        <v>0.44640058965073692</v>
      </c>
      <c r="O84" s="92">
        <f t="shared" si="27"/>
        <v>0.56463349532021812</v>
      </c>
      <c r="P84" s="92">
        <f t="shared" si="27"/>
        <v>0.68090190011635154</v>
      </c>
      <c r="Q84" s="92">
        <f t="shared" si="27"/>
        <v>0.7948581014069237</v>
      </c>
      <c r="R84" s="92">
        <f t="shared" si="27"/>
        <v>0.91535095170278657</v>
      </c>
      <c r="S84" s="92">
        <f t="shared" si="27"/>
        <v>1.0311149079777842</v>
      </c>
      <c r="T84" s="92">
        <f t="shared" si="27"/>
        <v>1.1440531769669575</v>
      </c>
      <c r="U84" s="92">
        <f t="shared" si="27"/>
        <v>1.2523811822983062</v>
      </c>
      <c r="V84" s="92">
        <f t="shared" si="27"/>
        <v>1.3616845564062179</v>
      </c>
      <c r="W84" s="92">
        <f t="shared" si="27"/>
        <v>1.4667781473815671</v>
      </c>
      <c r="X84" s="92">
        <f t="shared" si="27"/>
        <v>1.5685276883620207</v>
      </c>
      <c r="Y84" s="92">
        <f t="shared" si="27"/>
        <v>1.6668521428062326</v>
      </c>
      <c r="Z84" s="92">
        <f t="shared" si="27"/>
        <v>1.7578162247629852</v>
      </c>
      <c r="AA84" s="92">
        <f t="shared" si="27"/>
        <v>1.8525648915677631</v>
      </c>
      <c r="AB84" s="92">
        <f t="shared" si="27"/>
        <v>1.9456622530194012</v>
      </c>
      <c r="AC84" s="92">
        <f t="shared" si="27"/>
        <v>2.0352080058414028</v>
      </c>
      <c r="AD84" s="92">
        <f t="shared" si="27"/>
        <v>2.1222730867924526</v>
      </c>
      <c r="AE84" s="92">
        <f t="shared" si="27"/>
        <v>2.2073509735477073</v>
      </c>
      <c r="AF84" s="92">
        <f t="shared" si="27"/>
        <v>2.2894039071070145</v>
      </c>
    </row>
    <row r="85" spans="1:32" x14ac:dyDescent="0.25">
      <c r="A85" t="str">
        <f>Consommation!J17</f>
        <v>Fioul</v>
      </c>
      <c r="D85" s="27"/>
      <c r="E85" s="27">
        <f>Consommation!L17</f>
        <v>30.07</v>
      </c>
      <c r="F85" s="27">
        <f>Consommation!M17</f>
        <v>26.697590399999999</v>
      </c>
      <c r="G85" s="27">
        <f>Consommation!N17</f>
        <v>23.829470666666666</v>
      </c>
      <c r="H85" s="27">
        <f>Consommation!O17</f>
        <v>20.766339000000002</v>
      </c>
      <c r="I85" s="27">
        <f>Consommation!P17</f>
        <v>17.389437600000004</v>
      </c>
      <c r="J85" s="27">
        <f>Consommation!Q17</f>
        <v>14.622127333333337</v>
      </c>
      <c r="K85" s="27">
        <f>Consommation!R17</f>
        <v>12.051785200000003</v>
      </c>
      <c r="L85" s="27">
        <f>Consommation!S17</f>
        <v>9.6549360000000028</v>
      </c>
      <c r="M85" s="27">
        <f>Consommation!T17</f>
        <v>7.4471796170833358</v>
      </c>
      <c r="N85" s="27">
        <f>Consommation!U17</f>
        <v>5.3680190666666681</v>
      </c>
      <c r="O85" s="27">
        <f>Consommation!V17</f>
        <v>3.4420022612500012</v>
      </c>
      <c r="P85" s="27">
        <f>Consommation!W17</f>
        <v>1.6569474133333335</v>
      </c>
      <c r="Q85" s="27">
        <f>Consommation!X17</f>
        <v>0</v>
      </c>
      <c r="R85" s="27">
        <f>Consommation!Y17</f>
        <v>0</v>
      </c>
      <c r="S85" s="27">
        <f>Consommation!Z17</f>
        <v>0</v>
      </c>
      <c r="T85" s="27">
        <f>Consommation!AA17</f>
        <v>0</v>
      </c>
      <c r="U85" s="27">
        <f>Consommation!AB17</f>
        <v>0</v>
      </c>
      <c r="V85" s="27">
        <f>Consommation!AC17</f>
        <v>0</v>
      </c>
      <c r="W85" s="27">
        <f>Consommation!AD17</f>
        <v>0</v>
      </c>
      <c r="X85" s="27">
        <f>Consommation!AE17</f>
        <v>0</v>
      </c>
      <c r="Y85" s="27">
        <f>Consommation!AF17</f>
        <v>0</v>
      </c>
      <c r="Z85" s="27">
        <f>Consommation!AG17</f>
        <v>0</v>
      </c>
      <c r="AA85" s="27">
        <f>Consommation!AH17</f>
        <v>0</v>
      </c>
      <c r="AB85" s="27">
        <f>Consommation!AI17</f>
        <v>0</v>
      </c>
      <c r="AC85" s="27">
        <f>Consommation!AJ17</f>
        <v>0</v>
      </c>
      <c r="AD85" s="27">
        <f>Consommation!AK17</f>
        <v>0</v>
      </c>
      <c r="AE85" s="27">
        <f>Consommation!AL17</f>
        <v>0</v>
      </c>
      <c r="AF85" s="27">
        <f>Consommation!AM17</f>
        <v>0</v>
      </c>
    </row>
    <row r="86" spans="1:32" x14ac:dyDescent="0.25">
      <c r="A86" t="str">
        <f>Consommation!J18</f>
        <v>Bois</v>
      </c>
      <c r="D86" s="27"/>
      <c r="E86" s="27">
        <f>Consommation!L18</f>
        <v>73.819909999999993</v>
      </c>
      <c r="F86" s="27">
        <f>Consommation!M18</f>
        <v>71.342835199999996</v>
      </c>
      <c r="G86" s="27">
        <f>Consommation!N18</f>
        <v>69.398190333333332</v>
      </c>
      <c r="H86" s="27">
        <f>Consommation!O18</f>
        <v>66.861748800000001</v>
      </c>
      <c r="I86" s="27">
        <f>Consommation!P18</f>
        <v>63.906252000000009</v>
      </c>
      <c r="J86" s="27">
        <f>Consommation!Q18</f>
        <v>61.364444666666678</v>
      </c>
      <c r="K86" s="27">
        <f>Consommation!R18</f>
        <v>58.796374000000021</v>
      </c>
      <c r="L86" s="27">
        <f>Consommation!S18</f>
        <v>56.060862000000014</v>
      </c>
      <c r="M86" s="27">
        <f>Consommation!T18</f>
        <v>54.003211177916683</v>
      </c>
      <c r="N86" s="27">
        <f>Consommation!U18</f>
        <v>51.899855771666687</v>
      </c>
      <c r="O86" s="27">
        <f>Consommation!V18</f>
        <v>49.93896701500001</v>
      </c>
      <c r="P86" s="27">
        <f>Consommation!W18</f>
        <v>48.11453920000001</v>
      </c>
      <c r="Q86" s="27">
        <f>Consommation!X18</f>
        <v>46.406026000000011</v>
      </c>
      <c r="R86" s="27">
        <f>Consommation!Y18</f>
        <v>45.097234100000009</v>
      </c>
      <c r="S86" s="27">
        <f>Consommation!Z18</f>
        <v>43.82495044125001</v>
      </c>
      <c r="T86" s="27">
        <f>Consommation!AA18</f>
        <v>42.638884053333349</v>
      </c>
      <c r="U86" s="27">
        <f>Consommation!AB18</f>
        <v>41.624208258750009</v>
      </c>
      <c r="V86" s="27">
        <f>Consommation!AC18</f>
        <v>39.451773958333341</v>
      </c>
      <c r="W86" s="27">
        <f>Consommation!AD18</f>
        <v>39.343875748333346</v>
      </c>
      <c r="X86" s="27">
        <f>Consommation!AE18</f>
        <v>38.390027160000017</v>
      </c>
      <c r="Y86" s="27">
        <f>Consommation!AF18</f>
        <v>37.516516009166679</v>
      </c>
      <c r="Z86" s="27">
        <f>Consommation!AG18</f>
        <v>36.774426043333342</v>
      </c>
      <c r="AA86" s="27">
        <f>Consommation!AH18</f>
        <v>36.086356718750011</v>
      </c>
      <c r="AB86" s="27">
        <f>Consommation!AI18</f>
        <v>35.37544754666667</v>
      </c>
      <c r="AC86" s="27">
        <f>Consommation!AJ18</f>
        <v>34.727698990833346</v>
      </c>
      <c r="AD86" s="27">
        <f>Consommation!AK18</f>
        <v>34.088726595000011</v>
      </c>
      <c r="AE86" s="27">
        <f>Consommation!AL18</f>
        <v>33.456037129166681</v>
      </c>
      <c r="AF86" s="27">
        <f>Consommation!AM18</f>
        <v>32.81269733333334</v>
      </c>
    </row>
    <row r="87" spans="1:32" s="94" customFormat="1" x14ac:dyDescent="0.25">
      <c r="A87" s="91" t="s">
        <v>524</v>
      </c>
      <c r="D87" s="92"/>
      <c r="E87" s="92">
        <f t="shared" ref="E87" si="28">E76</f>
        <v>41.916315490665596</v>
      </c>
      <c r="F87" s="92">
        <f t="shared" ref="F87:AF87" si="29">F76</f>
        <v>41.031620655078669</v>
      </c>
      <c r="G87" s="92">
        <f t="shared" si="29"/>
        <v>40.017799707942046</v>
      </c>
      <c r="H87" s="92">
        <f t="shared" si="29"/>
        <v>38.987845663530493</v>
      </c>
      <c r="I87" s="92">
        <f t="shared" si="29"/>
        <v>37.970284029882535</v>
      </c>
      <c r="J87" s="92">
        <f t="shared" si="29"/>
        <v>37.001111978135043</v>
      </c>
      <c r="K87" s="92">
        <f t="shared" si="29"/>
        <v>36.069970143413236</v>
      </c>
      <c r="L87" s="92">
        <f t="shared" si="29"/>
        <v>35.060983693910515</v>
      </c>
      <c r="M87" s="92">
        <f t="shared" si="29"/>
        <v>34.409101322447604</v>
      </c>
      <c r="N87" s="92">
        <f t="shared" si="29"/>
        <v>33.780380310694298</v>
      </c>
      <c r="O87" s="92">
        <f t="shared" si="29"/>
        <v>33.1741085425327</v>
      </c>
      <c r="P87" s="92">
        <f t="shared" si="29"/>
        <v>32.585361633610745</v>
      </c>
      <c r="Q87" s="92">
        <f t="shared" si="29"/>
        <v>32.015652792918019</v>
      </c>
      <c r="R87" s="92">
        <f t="shared" si="29"/>
        <v>31.473679244303149</v>
      </c>
      <c r="S87" s="92">
        <f t="shared" si="29"/>
        <v>30.920405726860544</v>
      </c>
      <c r="T87" s="92">
        <f t="shared" si="29"/>
        <v>30.386694781903586</v>
      </c>
      <c r="U87" s="92">
        <f t="shared" si="29"/>
        <v>29.870278184116778</v>
      </c>
      <c r="V87" s="92">
        <f t="shared" si="29"/>
        <v>29.292377096654711</v>
      </c>
      <c r="W87" s="92">
        <f t="shared" si="29"/>
        <v>28.745571047753398</v>
      </c>
      <c r="X87" s="92">
        <f t="shared" si="29"/>
        <v>28.206523426908326</v>
      </c>
      <c r="Y87" s="92">
        <f t="shared" si="29"/>
        <v>27.680575817349961</v>
      </c>
      <c r="Z87" s="92">
        <f t="shared" si="29"/>
        <v>27.227195680128936</v>
      </c>
      <c r="AA87" s="92">
        <f t="shared" si="29"/>
        <v>26.813091692449433</v>
      </c>
      <c r="AB87" s="92">
        <f t="shared" si="29"/>
        <v>26.414611560850609</v>
      </c>
      <c r="AC87" s="92">
        <f t="shared" si="29"/>
        <v>26.019243708872018</v>
      </c>
      <c r="AD87" s="92">
        <f t="shared" si="29"/>
        <v>25.635335398773719</v>
      </c>
      <c r="AE87" s="92">
        <f t="shared" si="29"/>
        <v>25.263250483644207</v>
      </c>
      <c r="AF87" s="92">
        <f t="shared" si="29"/>
        <v>24.885251325144935</v>
      </c>
    </row>
    <row r="88" spans="1:32" s="94" customFormat="1" x14ac:dyDescent="0.25">
      <c r="A88" s="91" t="s">
        <v>525</v>
      </c>
      <c r="D88" s="92"/>
      <c r="E88" s="92">
        <f t="shared" ref="E88" si="30">E75</f>
        <v>31.903594509334393</v>
      </c>
      <c r="F88" s="92">
        <f t="shared" ref="F88:AF88" si="31">F75</f>
        <v>30.311214544921324</v>
      </c>
      <c r="G88" s="92">
        <f t="shared" si="31"/>
        <v>29.380390625391289</v>
      </c>
      <c r="H88" s="92">
        <f t="shared" si="31"/>
        <v>27.873903136469508</v>
      </c>
      <c r="I88" s="92">
        <f t="shared" si="31"/>
        <v>25.935967970117478</v>
      </c>
      <c r="J88" s="92">
        <f t="shared" si="31"/>
        <v>24.363332688531631</v>
      </c>
      <c r="K88" s="92">
        <f t="shared" si="31"/>
        <v>22.726403856586785</v>
      </c>
      <c r="L88" s="92">
        <f t="shared" si="31"/>
        <v>20.999878306089496</v>
      </c>
      <c r="M88" s="92">
        <f t="shared" si="31"/>
        <v>19.594109855469078</v>
      </c>
      <c r="N88" s="92">
        <f t="shared" si="31"/>
        <v>18.119475460972389</v>
      </c>
      <c r="O88" s="92">
        <f t="shared" si="31"/>
        <v>16.76485847246731</v>
      </c>
      <c r="P88" s="92">
        <f t="shared" si="31"/>
        <v>15.529177566389265</v>
      </c>
      <c r="Q88" s="92">
        <f t="shared" si="31"/>
        <v>14.390373207081993</v>
      </c>
      <c r="R88" s="92">
        <f t="shared" si="31"/>
        <v>13.62355485569686</v>
      </c>
      <c r="S88" s="92">
        <f t="shared" si="31"/>
        <v>12.904544714389464</v>
      </c>
      <c r="T88" s="92">
        <f t="shared" si="31"/>
        <v>12.252189271429764</v>
      </c>
      <c r="U88" s="92">
        <f t="shared" si="31"/>
        <v>11.753930074633233</v>
      </c>
      <c r="V88" s="92">
        <f t="shared" si="31"/>
        <v>10.159396861678628</v>
      </c>
      <c r="W88" s="92">
        <f t="shared" si="31"/>
        <v>10.598304700579948</v>
      </c>
      <c r="X88" s="92">
        <f t="shared" si="31"/>
        <v>10.18350373309169</v>
      </c>
      <c r="Y88" s="92">
        <f t="shared" si="31"/>
        <v>9.8359401918167197</v>
      </c>
      <c r="Z88" s="92">
        <f t="shared" si="31"/>
        <v>9.547230363204406</v>
      </c>
      <c r="AA88" s="92">
        <f t="shared" si="31"/>
        <v>9.273265026300578</v>
      </c>
      <c r="AB88" s="92">
        <f t="shared" si="31"/>
        <v>8.9608359858160629</v>
      </c>
      <c r="AC88" s="92">
        <f t="shared" si="31"/>
        <v>8.7084552819613297</v>
      </c>
      <c r="AD88" s="92">
        <f t="shared" si="31"/>
        <v>8.4533911962262902</v>
      </c>
      <c r="AE88" s="92">
        <f t="shared" si="31"/>
        <v>8.1927866455224745</v>
      </c>
      <c r="AF88" s="92">
        <f t="shared" si="31"/>
        <v>7.9274460081884062</v>
      </c>
    </row>
    <row r="89" spans="1:32" s="2" customFormat="1" x14ac:dyDescent="0.25">
      <c r="A89" s="2" t="str">
        <f>Consommation!J19</f>
        <v>Electricité (pompe à chaleur)</v>
      </c>
      <c r="D89" s="90"/>
      <c r="E89" s="90">
        <f>E50+E51+E27+Consommation!L20</f>
        <v>6.5575587478420374</v>
      </c>
      <c r="F89" s="90">
        <f>F50+F51+F27+Consommation!M20</f>
        <v>8.3720719776352741</v>
      </c>
      <c r="G89" s="90">
        <f>G50+G51+G27+Consommation!N20</f>
        <v>9.9277774763903537</v>
      </c>
      <c r="H89" s="90">
        <f>H50+H51+H27+Consommation!O20</f>
        <v>11.399316691130249</v>
      </c>
      <c r="I89" s="90">
        <f>I50+I51+I27+Consommation!P20</f>
        <v>12.981382801735899</v>
      </c>
      <c r="J89" s="90">
        <f>J50+J51+J27+Consommation!Q20</f>
        <v>14.439800182948321</v>
      </c>
      <c r="K89" s="90">
        <f>K50+K51+K27+Consommation!R20</f>
        <v>15.773634790353912</v>
      </c>
      <c r="L89" s="90">
        <f>L50+L51+L27+Consommation!S20</f>
        <v>16.924700664947572</v>
      </c>
      <c r="M89" s="90">
        <f>M50+M51+M27+Consommation!T20</f>
        <v>18.322010950744563</v>
      </c>
      <c r="N89" s="90">
        <f>N50+N51+N27+Consommation!U20</f>
        <v>19.626159040661729</v>
      </c>
      <c r="O89" s="90">
        <f>O50+O51+O27+Consommation!V20</f>
        <v>20.956341595838722</v>
      </c>
      <c r="P89" s="90">
        <f>P50+P51+P27+Consommation!W20</f>
        <v>22.317358532212488</v>
      </c>
      <c r="Q89" s="90">
        <f>Q50+Q51+Q27+Consommation!X20</f>
        <v>23.702767633585303</v>
      </c>
      <c r="R89" s="90">
        <f>R50+R51+R27+Consommation!Y20</f>
        <v>24.6498210017688</v>
      </c>
      <c r="S89" s="90">
        <f>S50+S51+S27+Consommation!Z20</f>
        <v>25.602067570364738</v>
      </c>
      <c r="T89" s="90">
        <f>T50+T51+T27+Consommation!AA20</f>
        <v>26.573224700706987</v>
      </c>
      <c r="U89" s="90">
        <f>U50+U51+U27+Consommation!AB20</f>
        <v>27.38346067390599</v>
      </c>
      <c r="V89" s="90">
        <f>V50+V51+V27+Consommation!AC20</f>
        <v>28.230058895332785</v>
      </c>
      <c r="W89" s="90">
        <f>W50+W51+W27+Consommation!AD20</f>
        <v>28.881929049043727</v>
      </c>
      <c r="X89" s="90">
        <f>X50+X51+X27+Consommation!AE20</f>
        <v>29.496453014263565</v>
      </c>
      <c r="Y89" s="90">
        <f>Y50+Y51+Y27+Consommation!AF20</f>
        <v>30.001849068715522</v>
      </c>
      <c r="Z89" s="90">
        <f>Z50+Z51+Z27+Consommation!AG20</f>
        <v>30.113006235416357</v>
      </c>
      <c r="AA89" s="90">
        <f>AA50+AA51+AA27+Consommation!AH20</f>
        <v>30.188196223907099</v>
      </c>
      <c r="AB89" s="90">
        <f>AB50+AB51+AB27+Consommation!AI20</f>
        <v>30.322871547841224</v>
      </c>
      <c r="AC89" s="90">
        <f>AC50+AC51+AC27+Consommation!AJ20</f>
        <v>30.377307524753938</v>
      </c>
      <c r="AD89" s="90">
        <f>AD50+AD51+AD27+Consommation!AK20</f>
        <v>30.42451538529501</v>
      </c>
      <c r="AE89" s="90">
        <f>AE50+AE51+AE27+Consommation!AL20</f>
        <v>30.468474819946291</v>
      </c>
      <c r="AF89" s="90">
        <f>AF50+AF51+AF27+Consommation!AM20</f>
        <v>30.497453548410945</v>
      </c>
    </row>
    <row r="90" spans="1:32" s="94" customFormat="1" x14ac:dyDescent="0.25">
      <c r="A90" s="91" t="str">
        <f>Consommation!J20</f>
        <v>dont PAC air/air</v>
      </c>
      <c r="D90" s="92"/>
      <c r="E90" s="92">
        <f>Consommation!L20</f>
        <v>1.3550899999999999</v>
      </c>
      <c r="F90" s="92">
        <f>Consommation!M20</f>
        <v>2.2733567999999997</v>
      </c>
      <c r="G90" s="92">
        <f>Consommation!N20</f>
        <v>3.5170456666666663</v>
      </c>
      <c r="H90" s="92">
        <f>Consommation!O20</f>
        <v>4.6753344000000006</v>
      </c>
      <c r="I90" s="92">
        <f>Consommation!P20</f>
        <v>5.9065912000000012</v>
      </c>
      <c r="J90" s="92">
        <f>Consommation!Q20</f>
        <v>7.0446393333333344</v>
      </c>
      <c r="K90" s="92">
        <f>Consommation!R20</f>
        <v>8.0886260000000032</v>
      </c>
      <c r="L90" s="92">
        <f>Consommation!S20</f>
        <v>9.0326040000000027</v>
      </c>
      <c r="M90" s="92">
        <f>Consommation!T20</f>
        <v>10.147208894166669</v>
      </c>
      <c r="N90" s="92">
        <f>Consommation!U20</f>
        <v>11.190054031666669</v>
      </c>
      <c r="O90" s="92">
        <f>Consommation!V20</f>
        <v>12.247003256250004</v>
      </c>
      <c r="P90" s="92">
        <f>Consommation!W20</f>
        <v>13.32037130666667</v>
      </c>
      <c r="Q90" s="92">
        <f>Consommation!X20</f>
        <v>14.406408093750004</v>
      </c>
      <c r="R90" s="92">
        <f>Consommation!Y20</f>
        <v>15.197408210000004</v>
      </c>
      <c r="S90" s="92">
        <f>Consommation!Z20</f>
        <v>15.99300755708334</v>
      </c>
      <c r="T90" s="92">
        <f>Consommation!AA20</f>
        <v>16.798165120000004</v>
      </c>
      <c r="U90" s="92">
        <f>Consommation!AB20</f>
        <v>17.491819410000005</v>
      </c>
      <c r="V90" s="92">
        <f>Consommation!AC20</f>
        <v>18.231877708333339</v>
      </c>
      <c r="W90" s="92">
        <f>Consommation!AD20</f>
        <v>18.835867948333341</v>
      </c>
      <c r="X90" s="92">
        <f>Consommation!AE20</f>
        <v>19.412281000000004</v>
      </c>
      <c r="Y90" s="92">
        <f>Consommation!AF20</f>
        <v>19.910772816250006</v>
      </c>
      <c r="Z90" s="92">
        <f>Consommation!AG20</f>
        <v>20.333151045000008</v>
      </c>
      <c r="AA90" s="92">
        <f>Consommation!AH20</f>
        <v>20.478754375000005</v>
      </c>
      <c r="AB90" s="92">
        <f>Consommation!AI20</f>
        <v>20.66667433333334</v>
      </c>
      <c r="AC90" s="92">
        <f>Consommation!AJ20</f>
        <v>20.804157502916674</v>
      </c>
      <c r="AD90" s="92">
        <f>Consommation!AK20</f>
        <v>20.937329490000007</v>
      </c>
      <c r="AE90" s="92">
        <f>Consommation!AL20</f>
        <v>21.069462764166673</v>
      </c>
      <c r="AF90" s="92">
        <f>Consommation!AM20</f>
        <v>21.192506000000005</v>
      </c>
    </row>
    <row r="91" spans="1:32" s="94" customFormat="1" x14ac:dyDescent="0.25">
      <c r="A91" s="91" t="str">
        <f>Consommation!J21</f>
        <v>dont PAC air/eau</v>
      </c>
      <c r="D91" s="92"/>
      <c r="E91" s="92">
        <f t="shared" ref="E91" si="32">E50</f>
        <v>4.5265646951877434</v>
      </c>
      <c r="F91" s="92">
        <f t="shared" ref="F91:AF91" si="33">F50</f>
        <v>5.2750894476731398</v>
      </c>
      <c r="G91" s="92">
        <f t="shared" si="33"/>
        <v>5.4418401633646738</v>
      </c>
      <c r="H91" s="92">
        <f t="shared" si="33"/>
        <v>5.6101119990055937</v>
      </c>
      <c r="I91" s="92">
        <f t="shared" si="33"/>
        <v>5.8163988208656896</v>
      </c>
      <c r="J91" s="92">
        <f t="shared" si="33"/>
        <v>5.9927940780817028</v>
      </c>
      <c r="K91" s="92">
        <f t="shared" si="33"/>
        <v>6.1391440892749278</v>
      </c>
      <c r="L91" s="92">
        <f t="shared" si="33"/>
        <v>6.202344057761735</v>
      </c>
      <c r="M91" s="92">
        <f t="shared" si="33"/>
        <v>6.21532915942631</v>
      </c>
      <c r="N91" s="92">
        <f t="shared" si="33"/>
        <v>6.207831981491462</v>
      </c>
      <c r="O91" s="92">
        <f t="shared" si="33"/>
        <v>6.213450107339372</v>
      </c>
      <c r="P91" s="92">
        <f t="shared" si="33"/>
        <v>6.23484461467653</v>
      </c>
      <c r="Q91" s="92">
        <f t="shared" si="33"/>
        <v>6.269564232982737</v>
      </c>
      <c r="R91" s="92">
        <f t="shared" si="33"/>
        <v>6.1461193373774545</v>
      </c>
      <c r="S91" s="92">
        <f t="shared" si="33"/>
        <v>6.0265441556469872</v>
      </c>
      <c r="T91" s="92">
        <f t="shared" si="33"/>
        <v>5.9182786969597849</v>
      </c>
      <c r="U91" s="92">
        <f t="shared" si="33"/>
        <v>5.7637889221006366</v>
      </c>
      <c r="V91" s="92">
        <f t="shared" si="33"/>
        <v>5.598581741056349</v>
      </c>
      <c r="W91" s="92">
        <f t="shared" si="33"/>
        <v>5.3776307024869956</v>
      </c>
      <c r="X91" s="92">
        <f t="shared" si="33"/>
        <v>5.1492271150584203</v>
      </c>
      <c r="Y91" s="92">
        <f t="shared" si="33"/>
        <v>4.8919894382646714</v>
      </c>
      <c r="Z91" s="92">
        <f t="shared" si="33"/>
        <v>4.3217250525783024</v>
      </c>
      <c r="AA91" s="92">
        <f t="shared" si="33"/>
        <v>3.9896467739694064</v>
      </c>
      <c r="AB91" s="92">
        <f t="shared" si="33"/>
        <v>3.6758810754495546</v>
      </c>
      <c r="AC91" s="92">
        <f t="shared" si="33"/>
        <v>3.3347730475527828</v>
      </c>
      <c r="AD91" s="92">
        <f t="shared" si="33"/>
        <v>2.9924664678616413</v>
      </c>
      <c r="AE91" s="92">
        <f t="shared" si="33"/>
        <v>2.6493267211767555</v>
      </c>
      <c r="AF91" s="92">
        <f t="shared" si="33"/>
        <v>2.3023917169253547</v>
      </c>
    </row>
    <row r="92" spans="1:32" s="94" customFormat="1" x14ac:dyDescent="0.25">
      <c r="A92" s="91" t="s">
        <v>504</v>
      </c>
      <c r="D92" s="92"/>
      <c r="E92" s="92">
        <f t="shared" ref="E92" si="34">E27</f>
        <v>0.62678571428571417</v>
      </c>
      <c r="F92" s="92">
        <f t="shared" ref="F92:AF92" si="35">F27</f>
        <v>0.75833333333333319</v>
      </c>
      <c r="G92" s="92">
        <f t="shared" si="35"/>
        <v>0.88988095238095222</v>
      </c>
      <c r="H92" s="92">
        <f t="shared" si="35"/>
        <v>1.0214285714285711</v>
      </c>
      <c r="I92" s="92">
        <f t="shared" si="35"/>
        <v>1.1529761904761904</v>
      </c>
      <c r="J92" s="92">
        <f t="shared" si="35"/>
        <v>1.2845238095238094</v>
      </c>
      <c r="K92" s="92">
        <f t="shared" si="35"/>
        <v>1.4160714285714282</v>
      </c>
      <c r="L92" s="92">
        <f t="shared" si="35"/>
        <v>1.5476190476190474</v>
      </c>
      <c r="M92" s="92">
        <f t="shared" si="35"/>
        <v>1.7333333333333332</v>
      </c>
      <c r="N92" s="92">
        <f t="shared" si="35"/>
        <v>1.9190476190476187</v>
      </c>
      <c r="O92" s="92">
        <f t="shared" si="35"/>
        <v>2.1047619047619044</v>
      </c>
      <c r="P92" s="92">
        <f t="shared" si="35"/>
        <v>2.2904761904761903</v>
      </c>
      <c r="Q92" s="92">
        <f t="shared" si="35"/>
        <v>2.4761904761904763</v>
      </c>
      <c r="R92" s="92">
        <f t="shared" si="35"/>
        <v>2.6722222222222221</v>
      </c>
      <c r="S92" s="92">
        <f t="shared" si="35"/>
        <v>2.8682539682539678</v>
      </c>
      <c r="T92" s="92">
        <f t="shared" si="35"/>
        <v>3.0642857142857141</v>
      </c>
      <c r="U92" s="92">
        <f t="shared" si="35"/>
        <v>3.2603174603174598</v>
      </c>
      <c r="V92" s="92">
        <f t="shared" si="35"/>
        <v>3.4563492063492056</v>
      </c>
      <c r="W92" s="92">
        <f t="shared" si="35"/>
        <v>3.6523809523809514</v>
      </c>
      <c r="X92" s="92">
        <f t="shared" si="35"/>
        <v>3.8484126984126976</v>
      </c>
      <c r="Y92" s="92">
        <f t="shared" si="35"/>
        <v>4.0444444444444425</v>
      </c>
      <c r="Z92" s="92">
        <f t="shared" si="35"/>
        <v>4.2404761904761887</v>
      </c>
      <c r="AA92" s="92">
        <f t="shared" si="35"/>
        <v>4.436507936507935</v>
      </c>
      <c r="AB92" s="92">
        <f t="shared" si="35"/>
        <v>4.6325396825396803</v>
      </c>
      <c r="AC92" s="92">
        <f t="shared" si="35"/>
        <v>4.8285714285714265</v>
      </c>
      <c r="AD92" s="92">
        <f t="shared" si="35"/>
        <v>5.0246031746031727</v>
      </c>
      <c r="AE92" s="92">
        <f t="shared" si="35"/>
        <v>5.220634920634919</v>
      </c>
      <c r="AF92" s="92">
        <f t="shared" si="35"/>
        <v>5.4166666666666661</v>
      </c>
    </row>
    <row r="93" spans="1:32" s="94" customFormat="1" x14ac:dyDescent="0.25">
      <c r="A93" s="91" t="s">
        <v>505</v>
      </c>
      <c r="D93" s="92"/>
      <c r="E93" s="92">
        <f t="shared" ref="E93" si="36">E51</f>
        <v>4.911833836858006E-2</v>
      </c>
      <c r="F93" s="92">
        <f t="shared" ref="F93:AF93" si="37">F51</f>
        <v>6.5292396628801749E-2</v>
      </c>
      <c r="G93" s="92">
        <f t="shared" si="37"/>
        <v>7.9010693978061319E-2</v>
      </c>
      <c r="H93" s="92">
        <f t="shared" si="37"/>
        <v>9.2441720696084528E-2</v>
      </c>
      <c r="I93" s="92">
        <f t="shared" si="37"/>
        <v>0.10541659039401785</v>
      </c>
      <c r="J93" s="92">
        <f t="shared" si="37"/>
        <v>0.11784296200947528</v>
      </c>
      <c r="K93" s="92">
        <f t="shared" si="37"/>
        <v>0.1297932725075529</v>
      </c>
      <c r="L93" s="92">
        <f t="shared" si="37"/>
        <v>0.14213355956678705</v>
      </c>
      <c r="M93" s="92">
        <f t="shared" si="37"/>
        <v>0.22613956381825132</v>
      </c>
      <c r="N93" s="92">
        <f t="shared" si="37"/>
        <v>0.30922540845597918</v>
      </c>
      <c r="O93" s="92">
        <f t="shared" si="37"/>
        <v>0.39112632748744264</v>
      </c>
      <c r="P93" s="92">
        <f t="shared" si="37"/>
        <v>0.47166642039309759</v>
      </c>
      <c r="Q93" s="92">
        <f t="shared" si="37"/>
        <v>0.55060483066208776</v>
      </c>
      <c r="R93" s="92">
        <f t="shared" si="37"/>
        <v>0.63407123216911776</v>
      </c>
      <c r="S93" s="92">
        <f t="shared" si="37"/>
        <v>0.7142618893804441</v>
      </c>
      <c r="T93" s="92">
        <f t="shared" si="37"/>
        <v>0.79249516946148624</v>
      </c>
      <c r="U93" s="92">
        <f t="shared" si="37"/>
        <v>0.86753488148788915</v>
      </c>
      <c r="V93" s="92">
        <f t="shared" si="37"/>
        <v>0.94325023959389043</v>
      </c>
      <c r="W93" s="92">
        <f t="shared" si="37"/>
        <v>1.0160494458424396</v>
      </c>
      <c r="X93" s="92">
        <f t="shared" si="37"/>
        <v>1.0865322007924414</v>
      </c>
      <c r="Y93" s="92">
        <f t="shared" si="37"/>
        <v>1.1546423697564008</v>
      </c>
      <c r="Z93" s="92">
        <f t="shared" si="37"/>
        <v>1.2176539473618593</v>
      </c>
      <c r="AA93" s="92">
        <f t="shared" si="37"/>
        <v>1.2832871384297524</v>
      </c>
      <c r="AB93" s="92">
        <f t="shared" si="37"/>
        <v>1.3477764565186476</v>
      </c>
      <c r="AC93" s="92">
        <f t="shared" si="37"/>
        <v>1.4098055457130549</v>
      </c>
      <c r="AD93" s="92">
        <f t="shared" si="37"/>
        <v>1.4701162528301885</v>
      </c>
      <c r="AE93" s="92">
        <f t="shared" si="37"/>
        <v>1.5290504139679428</v>
      </c>
      <c r="AF93" s="92">
        <f t="shared" si="37"/>
        <v>1.5858891648189213</v>
      </c>
    </row>
    <row r="94" spans="1:32" x14ac:dyDescent="0.25">
      <c r="A94" t="str">
        <f>Consommation!J22</f>
        <v>Electricité (joule)</v>
      </c>
      <c r="D94" s="27"/>
      <c r="E94" s="27">
        <f>Consommation!L22</f>
        <v>42.595609999999994</v>
      </c>
      <c r="F94" s="27">
        <f>Consommation!M22</f>
        <v>39.058489600000001</v>
      </c>
      <c r="G94" s="27">
        <f>Consommation!N22</f>
        <v>36.626534333333332</v>
      </c>
      <c r="H94" s="27">
        <f>Consommation!O22</f>
        <v>34.282373400000004</v>
      </c>
      <c r="I94" s="27">
        <f>Consommation!P22</f>
        <v>32.08204880000001</v>
      </c>
      <c r="J94" s="27">
        <f>Consommation!Q22</f>
        <v>29.968892666666676</v>
      </c>
      <c r="K94" s="27">
        <f>Consommation!R22</f>
        <v>27.919582600000005</v>
      </c>
      <c r="L94" s="27">
        <f>Consommation!S22</f>
        <v>25.807440000000007</v>
      </c>
      <c r="M94" s="27">
        <f>Consommation!T22</f>
        <v>24.078834836666672</v>
      </c>
      <c r="N94" s="27">
        <f>Consommation!U22</f>
        <v>22.360936566666673</v>
      </c>
      <c r="O94" s="27">
        <f>Consommation!V22</f>
        <v>20.737911783750008</v>
      </c>
      <c r="P94" s="27">
        <f>Consommation!W22</f>
        <v>19.20521269333334</v>
      </c>
      <c r="Q94" s="27">
        <f>Consommation!X22</f>
        <v>17.758355812500007</v>
      </c>
      <c r="R94" s="27">
        <f>Consommation!Y22</f>
        <v>16.315847020000007</v>
      </c>
      <c r="S94" s="27">
        <f>Consommation!Z22</f>
        <v>14.882014922500005</v>
      </c>
      <c r="T94" s="27">
        <f>Consommation!AA22</f>
        <v>13.548550400000005</v>
      </c>
      <c r="U94" s="27">
        <f>Consommation!AB22</f>
        <v>12.274530986250003</v>
      </c>
      <c r="V94" s="27">
        <f>Consommation!AC22</f>
        <v>11.055079583333336</v>
      </c>
      <c r="W94" s="27">
        <f>Consommation!AD22</f>
        <v>9.8745052262500028</v>
      </c>
      <c r="X94" s="27">
        <f>Consommation!AE22</f>
        <v>8.7590880800000033</v>
      </c>
      <c r="Y94" s="27">
        <f>Consommation!AF22</f>
        <v>7.7022531650000019</v>
      </c>
      <c r="Z94" s="27">
        <f>Consommation!AG22</f>
        <v>7.3381868450000027</v>
      </c>
      <c r="AA94" s="27">
        <f>Consommation!AH22</f>
        <v>6.8676742187500022</v>
      </c>
      <c r="AB94" s="27">
        <f>Consommation!AI22</f>
        <v>6.485526026666669</v>
      </c>
      <c r="AC94" s="27">
        <f>Consommation!AJ22</f>
        <v>6.087828110000002</v>
      </c>
      <c r="AD94" s="27">
        <f>Consommation!AK22</f>
        <v>5.7462763050000021</v>
      </c>
      <c r="AE94" s="27">
        <f>Consommation!AL22</f>
        <v>5.4633813712500023</v>
      </c>
      <c r="AF94" s="27">
        <f>Consommation!AM22</f>
        <v>5.2206773333333354</v>
      </c>
    </row>
    <row r="95" spans="1:32" x14ac:dyDescent="0.25">
      <c r="D95" s="27"/>
      <c r="E95" s="27"/>
      <c r="F95" s="27"/>
      <c r="G95" s="27"/>
      <c r="H95" s="27"/>
      <c r="I95" s="27"/>
      <c r="J95" s="27"/>
      <c r="K95" s="27"/>
      <c r="L95" s="3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1:32" x14ac:dyDescent="0.25">
      <c r="A96" s="78" t="str">
        <f>Consommation!J28</f>
        <v>Parc de logements par énergie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1:34" x14ac:dyDescent="0.25">
      <c r="A97" t="str">
        <f>Consommation!J29</f>
        <v>Stock Direct electric (Million)</v>
      </c>
      <c r="D97" s="27"/>
      <c r="E97" s="27">
        <f>Consommation!L29</f>
        <v>8.3170000000000002</v>
      </c>
      <c r="F97" s="27">
        <f>Consommation!M29</f>
        <v>8.0120000000000005</v>
      </c>
      <c r="G97" s="27">
        <f>Consommation!N29</f>
        <v>7.7679999999999998</v>
      </c>
      <c r="H97" s="27">
        <f>Consommation!O29</f>
        <v>7.4989999999999997</v>
      </c>
      <c r="I97" s="27">
        <f>Consommation!P29</f>
        <v>7.2409999999999997</v>
      </c>
      <c r="J97" s="27">
        <f>Consommation!Q29</f>
        <v>6.9640000000000004</v>
      </c>
      <c r="K97" s="27">
        <f>Consommation!R29</f>
        <v>6.6660000000000004</v>
      </c>
      <c r="L97" s="27">
        <f>Consommation!S29</f>
        <v>6.3319999999999999</v>
      </c>
      <c r="M97" s="27">
        <f>Consommation!T29</f>
        <v>6.03</v>
      </c>
      <c r="N97" s="27">
        <f>Consommation!U29</f>
        <v>5.7069999999999999</v>
      </c>
      <c r="O97" s="27">
        <f>Consommation!V29</f>
        <v>5.3929999999999998</v>
      </c>
      <c r="P97" s="27">
        <f>Consommation!W29</f>
        <v>5.09</v>
      </c>
      <c r="Q97" s="27">
        <f>Consommation!X29</f>
        <v>4.7949999999999999</v>
      </c>
      <c r="R97" s="27">
        <f>Consommation!Y29</f>
        <v>4.4969999999999999</v>
      </c>
      <c r="S97" s="27">
        <f>Consommation!Z29</f>
        <v>4.2130000000000001</v>
      </c>
      <c r="T97" s="27">
        <f>Consommation!AA29</f>
        <v>3.9380000000000002</v>
      </c>
      <c r="U97" s="27">
        <f>Consommation!AB29</f>
        <v>3.6669999999999998</v>
      </c>
      <c r="V97" s="27">
        <f>Consommation!AC29</f>
        <v>3.4039999999999999</v>
      </c>
      <c r="W97" s="27">
        <f>Consommation!AD29</f>
        <v>3.1360000000000001</v>
      </c>
      <c r="X97" s="27">
        <f>Consommation!AE29</f>
        <v>2.8719999999999999</v>
      </c>
      <c r="Y97" s="27">
        <f>Consommation!AF29</f>
        <v>2.609</v>
      </c>
      <c r="Z97" s="27">
        <f>Consommation!AG29</f>
        <v>2.5430000000000001</v>
      </c>
      <c r="AA97" s="27">
        <f>Consommation!AH29</f>
        <v>2.44</v>
      </c>
      <c r="AB97" s="27">
        <f>Consommation!AI29</f>
        <v>2.36</v>
      </c>
      <c r="AC97" s="27">
        <f>Consommation!AJ29</f>
        <v>2.27</v>
      </c>
      <c r="AD97" s="27">
        <f>Consommation!AK29</f>
        <v>2.1949999999999998</v>
      </c>
      <c r="AE97" s="27">
        <f>Consommation!AL29</f>
        <v>2.1360000000000001</v>
      </c>
      <c r="AF97" s="27">
        <f>Consommation!AM29</f>
        <v>2.09</v>
      </c>
    </row>
    <row r="98" spans="1:34" x14ac:dyDescent="0.25">
      <c r="A98" t="str">
        <f>Consommation!J30</f>
        <v>Stock Heat pump (Million)</v>
      </c>
      <c r="D98" s="27"/>
      <c r="E98" s="27">
        <f>Consommation!L30</f>
        <v>2.8959999999999999</v>
      </c>
      <c r="F98" s="27">
        <f>Consommation!M30</f>
        <v>3.6419999999999999</v>
      </c>
      <c r="G98" s="27">
        <f>Consommation!N30</f>
        <v>4.3680000000000003</v>
      </c>
      <c r="H98" s="27">
        <f>Consommation!O30</f>
        <v>5.0540000000000003</v>
      </c>
      <c r="I98" s="27">
        <f>Consommation!P30</f>
        <v>5.7990000000000004</v>
      </c>
      <c r="J98" s="27">
        <f>Consommation!Q30</f>
        <v>6.5110000000000001</v>
      </c>
      <c r="K98" s="27">
        <f>Consommation!R30</f>
        <v>7.1840000000000002</v>
      </c>
      <c r="L98" s="27">
        <f>Consommation!S30</f>
        <v>7.7560000000000002</v>
      </c>
      <c r="M98" s="27">
        <f>Consommation!T30</f>
        <v>8.4190000000000005</v>
      </c>
      <c r="N98" s="27">
        <f>Consommation!U30</f>
        <v>9.0389999999999997</v>
      </c>
      <c r="O98" s="27">
        <f>Consommation!V30</f>
        <v>9.6920000000000002</v>
      </c>
      <c r="P98" s="27">
        <f>Consommation!W30</f>
        <v>10.382</v>
      </c>
      <c r="Q98" s="27">
        <f>Consommation!X30</f>
        <v>11.106999999999999</v>
      </c>
      <c r="R98" s="27">
        <f>Consommation!Y30</f>
        <v>11.712999999999999</v>
      </c>
      <c r="S98" s="27">
        <f>Consommation!Z30</f>
        <v>12.358000000000001</v>
      </c>
      <c r="T98" s="27">
        <f>Consommation!AA30</f>
        <v>13.023999999999999</v>
      </c>
      <c r="U98" s="27">
        <f>Consommation!AB30</f>
        <v>13.643000000000001</v>
      </c>
      <c r="V98" s="27">
        <f>Consommation!AC30</f>
        <v>14.268000000000001</v>
      </c>
      <c r="W98" s="27">
        <f>Consommation!AD30</f>
        <v>14.823</v>
      </c>
      <c r="X98" s="27">
        <f>Consommation!AE30</f>
        <v>15.372999999999999</v>
      </c>
      <c r="Y98" s="27">
        <f>Consommation!AF30</f>
        <v>15.882999999999999</v>
      </c>
      <c r="Z98" s="27">
        <f>Consommation!AG30</f>
        <v>16.164000000000001</v>
      </c>
      <c r="AA98" s="27">
        <f>Consommation!AH30</f>
        <v>16.440999999999999</v>
      </c>
      <c r="AB98" s="27">
        <f>Consommation!AI30</f>
        <v>16.747</v>
      </c>
      <c r="AC98" s="27">
        <f>Consommation!AJ30</f>
        <v>17.018000000000001</v>
      </c>
      <c r="AD98" s="27">
        <f>Consommation!AK30</f>
        <v>17.286999999999999</v>
      </c>
      <c r="AE98" s="27">
        <f>Consommation!AL30</f>
        <v>17.553999999999998</v>
      </c>
      <c r="AF98" s="27">
        <f>Consommation!AM30</f>
        <v>17.817</v>
      </c>
    </row>
    <row r="99" spans="1:34" s="80" customFormat="1" x14ac:dyDescent="0.25">
      <c r="A99" s="91" t="s">
        <v>506</v>
      </c>
      <c r="D99" s="93"/>
      <c r="E99" s="93">
        <f>Consommation!L31</f>
        <v>0.57899999999999996</v>
      </c>
      <c r="F99" s="93">
        <f>Consommation!M31</f>
        <v>0.91300000000000003</v>
      </c>
      <c r="G99" s="93">
        <f>Consommation!N31</f>
        <v>1.39</v>
      </c>
      <c r="H99" s="93">
        <f>Consommation!O31</f>
        <v>1.8360000000000001</v>
      </c>
      <c r="I99" s="93">
        <f>Consommation!P31</f>
        <v>2.3220000000000001</v>
      </c>
      <c r="J99" s="93">
        <f>Consommation!Q31</f>
        <v>2.782</v>
      </c>
      <c r="K99" s="93">
        <f>Consommation!R31</f>
        <v>3.2120000000000002</v>
      </c>
      <c r="L99" s="93">
        <f>Consommation!S31</f>
        <v>3.601</v>
      </c>
      <c r="M99" s="93">
        <f>Consommation!T31</f>
        <v>4.0529999999999999</v>
      </c>
      <c r="N99" s="93">
        <f>Consommation!U31</f>
        <v>4.4729999999999999</v>
      </c>
      <c r="O99" s="93">
        <f>Consommation!V31</f>
        <v>4.9130000000000003</v>
      </c>
      <c r="P99" s="93">
        <f>Consommation!W31</f>
        <v>5.3780000000000001</v>
      </c>
      <c r="Q99" s="93">
        <f>Consommation!X31</f>
        <v>5.8659999999999997</v>
      </c>
      <c r="R99" s="93">
        <f>Consommation!Y31</f>
        <v>6.2729999999999997</v>
      </c>
      <c r="S99" s="93">
        <f>Consommation!Z31</f>
        <v>6.7069999999999999</v>
      </c>
      <c r="T99" s="93">
        <f>Consommation!AA31</f>
        <v>7.1559999999999997</v>
      </c>
      <c r="U99" s="93">
        <f>Consommation!AB31</f>
        <v>7.5739999999999998</v>
      </c>
      <c r="V99" s="93">
        <f>Consommation!AC31</f>
        <v>8.0190000000000001</v>
      </c>
      <c r="W99" s="93">
        <f>Consommation!AD31</f>
        <v>8.4169999999999998</v>
      </c>
      <c r="X99" s="93">
        <f>Consommation!AE31</f>
        <v>8.8109999999999999</v>
      </c>
      <c r="Y99" s="93">
        <f>Consommation!AF31</f>
        <v>9.1769999999999996</v>
      </c>
      <c r="Z99" s="93">
        <f>Consommation!AG31</f>
        <v>9.48</v>
      </c>
      <c r="AA99" s="93">
        <f>Consommation!AH31</f>
        <v>9.6649999999999991</v>
      </c>
      <c r="AB99" s="93">
        <f>Consommation!AI31</f>
        <v>9.8699999999999992</v>
      </c>
      <c r="AC99" s="93">
        <f>Consommation!AJ31</f>
        <v>10.055</v>
      </c>
      <c r="AD99" s="93">
        <f>Consommation!AK31</f>
        <v>10.238</v>
      </c>
      <c r="AE99" s="93">
        <f>Consommation!AL31</f>
        <v>10.420999999999999</v>
      </c>
      <c r="AF99" s="93">
        <f>Consommation!AM31</f>
        <v>10.601000000000001</v>
      </c>
      <c r="AG99" s="125" t="s">
        <v>509</v>
      </c>
      <c r="AH99" s="125"/>
    </row>
    <row r="100" spans="1:34" s="80" customFormat="1" x14ac:dyDescent="0.25">
      <c r="A100" s="91" t="s">
        <v>507</v>
      </c>
      <c r="D100" s="93"/>
      <c r="E100" s="93">
        <f t="shared" ref="E100" si="38">E53</f>
        <v>1.9352824577581611</v>
      </c>
      <c r="F100" s="93">
        <f t="shared" ref="F100:AF100" si="39">F53</f>
        <v>2.262170055949416</v>
      </c>
      <c r="G100" s="93">
        <f t="shared" si="39"/>
        <v>2.4106155271924243</v>
      </c>
      <c r="H100" s="93">
        <f t="shared" si="39"/>
        <v>2.5489000224572314</v>
      </c>
      <c r="I100" s="93">
        <f t="shared" si="39"/>
        <v>2.7035928705069572</v>
      </c>
      <c r="J100" s="93">
        <f t="shared" si="39"/>
        <v>2.8478278435125501</v>
      </c>
      <c r="K100" s="93">
        <f t="shared" si="39"/>
        <v>2.9798622852491361</v>
      </c>
      <c r="L100" s="93">
        <f t="shared" si="39"/>
        <v>3.0546204947418656</v>
      </c>
      <c r="M100" s="93">
        <f t="shared" si="39"/>
        <v>3.0782621762515512</v>
      </c>
      <c r="N100" s="93">
        <f t="shared" si="39"/>
        <v>3.0916156920066959</v>
      </c>
      <c r="O100" s="93">
        <f t="shared" si="39"/>
        <v>3.1136646537239718</v>
      </c>
      <c r="P100" s="93">
        <f t="shared" si="39"/>
        <v>3.1460645789799999</v>
      </c>
      <c r="Q100" s="93">
        <f t="shared" si="39"/>
        <v>3.1882720373598077</v>
      </c>
      <c r="R100" s="93">
        <f t="shared" si="39"/>
        <v>3.1664144578966456</v>
      </c>
      <c r="S100" s="93">
        <f t="shared" si="39"/>
        <v>3.1499788124770265</v>
      </c>
      <c r="T100" s="93">
        <f t="shared" si="39"/>
        <v>3.136520130983472</v>
      </c>
      <c r="U100" s="93">
        <f t="shared" si="39"/>
        <v>3.1004726392485842</v>
      </c>
      <c r="V100" s="93">
        <f t="shared" si="39"/>
        <v>3.0468464320909634</v>
      </c>
      <c r="W100" s="93">
        <f t="shared" si="39"/>
        <v>2.9639041738719785</v>
      </c>
      <c r="X100" s="93">
        <f t="shared" si="39"/>
        <v>2.8750776530357567</v>
      </c>
      <c r="Y100" s="93">
        <f t="shared" si="39"/>
        <v>2.7680430322396807</v>
      </c>
      <c r="Z100" s="93">
        <f t="shared" si="39"/>
        <v>2.4844559025650552</v>
      </c>
      <c r="AA100" s="93">
        <f t="shared" si="39"/>
        <v>2.321332590882367</v>
      </c>
      <c r="AB100" s="93">
        <f t="shared" si="39"/>
        <v>2.1637111795645652</v>
      </c>
      <c r="AC100" s="93">
        <f t="shared" si="39"/>
        <v>1.9869473265034825</v>
      </c>
      <c r="AD100" s="93">
        <f t="shared" si="39"/>
        <v>1.8048370413310004</v>
      </c>
      <c r="AE100" s="93">
        <f t="shared" si="39"/>
        <v>1.6171506950828458</v>
      </c>
      <c r="AF100" s="93">
        <f t="shared" si="39"/>
        <v>1.422762657467604</v>
      </c>
      <c r="AG100" s="125"/>
      <c r="AH100" s="125"/>
    </row>
    <row r="101" spans="1:34" s="80" customFormat="1" x14ac:dyDescent="0.25">
      <c r="A101" s="91" t="s">
        <v>508</v>
      </c>
      <c r="D101" s="93"/>
      <c r="E101" s="93">
        <f t="shared" ref="E101" si="40">E28</f>
        <v>0.35171754224183899</v>
      </c>
      <c r="F101" s="93">
        <f t="shared" ref="F101:AF101" si="41">F28</f>
        <v>0.42682994405058411</v>
      </c>
      <c r="G101" s="93">
        <f t="shared" si="41"/>
        <v>0.51738447280757616</v>
      </c>
      <c r="H101" s="93">
        <f t="shared" si="41"/>
        <v>0.60909997754276868</v>
      </c>
      <c r="I101" s="93">
        <f t="shared" si="41"/>
        <v>0.70340712949304296</v>
      </c>
      <c r="J101" s="93">
        <f t="shared" si="41"/>
        <v>0.8011721564874501</v>
      </c>
      <c r="K101" s="93">
        <f t="shared" si="41"/>
        <v>0.90213771475086424</v>
      </c>
      <c r="L101" s="93">
        <f t="shared" si="41"/>
        <v>1.0003795052581343</v>
      </c>
      <c r="M101" s="93">
        <f t="shared" si="41"/>
        <v>1.1267378237484489</v>
      </c>
      <c r="N101" s="93">
        <f t="shared" si="41"/>
        <v>1.2543843079933035</v>
      </c>
      <c r="O101" s="93">
        <f t="shared" si="41"/>
        <v>1.3843353462760277</v>
      </c>
      <c r="P101" s="93">
        <f t="shared" si="41"/>
        <v>1.5169354210200003</v>
      </c>
      <c r="Q101" s="93">
        <f t="shared" si="41"/>
        <v>1.6527279626401918</v>
      </c>
      <c r="R101" s="93">
        <f t="shared" si="41"/>
        <v>1.8069188754366883</v>
      </c>
      <c r="S101" s="93">
        <f t="shared" si="41"/>
        <v>1.9676878541896401</v>
      </c>
      <c r="T101" s="93">
        <f t="shared" si="41"/>
        <v>2.1314798690165282</v>
      </c>
      <c r="U101" s="93">
        <f t="shared" si="41"/>
        <v>2.3018606940847492</v>
      </c>
      <c r="V101" s="93">
        <f t="shared" si="41"/>
        <v>2.4688202345757029</v>
      </c>
      <c r="W101" s="93">
        <f t="shared" si="41"/>
        <v>2.6420958261280214</v>
      </c>
      <c r="X101" s="93">
        <f t="shared" si="41"/>
        <v>2.8202556802975769</v>
      </c>
      <c r="Y101" s="93">
        <f t="shared" si="41"/>
        <v>3.0036236344269862</v>
      </c>
      <c r="Z101" s="93">
        <f t="shared" si="41"/>
        <v>3.1995440974349449</v>
      </c>
      <c r="AA101" s="93">
        <f t="shared" si="41"/>
        <v>3.3880007424509659</v>
      </c>
      <c r="AB101" s="93">
        <f t="shared" si="41"/>
        <v>3.5789554871021019</v>
      </c>
      <c r="AC101" s="93">
        <f t="shared" si="41"/>
        <v>3.7760526734965176</v>
      </c>
      <c r="AD101" s="93">
        <f t="shared" si="41"/>
        <v>3.9774962920023333</v>
      </c>
      <c r="AE101" s="93">
        <f t="shared" si="41"/>
        <v>4.1825159715838209</v>
      </c>
      <c r="AF101" s="93">
        <f t="shared" si="41"/>
        <v>4.3932373425323963</v>
      </c>
      <c r="AG101" s="125"/>
      <c r="AH101" s="125"/>
    </row>
    <row r="102" spans="1:34" s="80" customFormat="1" x14ac:dyDescent="0.25">
      <c r="A102" s="91" t="s">
        <v>463</v>
      </c>
      <c r="D102" s="93"/>
      <c r="E102" s="93">
        <f t="shared" ref="E102" si="42">E35</f>
        <v>0.03</v>
      </c>
      <c r="F102" s="93">
        <f t="shared" ref="F102:AF102" si="43">F35</f>
        <v>0.04</v>
      </c>
      <c r="G102" s="93">
        <f t="shared" si="43"/>
        <v>0.05</v>
      </c>
      <c r="H102" s="93">
        <f t="shared" si="43"/>
        <v>6.0000000000000005E-2</v>
      </c>
      <c r="I102" s="93">
        <f t="shared" si="43"/>
        <v>7.0000000000000007E-2</v>
      </c>
      <c r="J102" s="93">
        <f t="shared" si="43"/>
        <v>0.08</v>
      </c>
      <c r="K102" s="93">
        <f t="shared" si="43"/>
        <v>0.09</v>
      </c>
      <c r="L102" s="93">
        <f t="shared" si="43"/>
        <v>0.1</v>
      </c>
      <c r="M102" s="93">
        <f t="shared" si="43"/>
        <v>0.16000000000000003</v>
      </c>
      <c r="N102" s="93">
        <f t="shared" si="43"/>
        <v>0.22000000000000003</v>
      </c>
      <c r="O102" s="93">
        <f t="shared" si="43"/>
        <v>0.28000000000000003</v>
      </c>
      <c r="P102" s="93">
        <f t="shared" si="43"/>
        <v>0.34</v>
      </c>
      <c r="Q102" s="93">
        <f t="shared" si="43"/>
        <v>0.4</v>
      </c>
      <c r="R102" s="93">
        <f t="shared" si="43"/>
        <v>0.46666666666666667</v>
      </c>
      <c r="S102" s="93">
        <f t="shared" si="43"/>
        <v>0.53333333333333333</v>
      </c>
      <c r="T102" s="93">
        <f t="shared" si="43"/>
        <v>0.6</v>
      </c>
      <c r="U102" s="93">
        <f t="shared" si="43"/>
        <v>0.66666666666666663</v>
      </c>
      <c r="V102" s="93">
        <f t="shared" si="43"/>
        <v>0.73333333333333328</v>
      </c>
      <c r="W102" s="93">
        <f t="shared" si="43"/>
        <v>0.79999999999999993</v>
      </c>
      <c r="X102" s="93">
        <f t="shared" si="43"/>
        <v>0.86666666666666659</v>
      </c>
      <c r="Y102" s="93">
        <f t="shared" si="43"/>
        <v>0.93333333333333324</v>
      </c>
      <c r="Z102" s="93">
        <f t="shared" si="43"/>
        <v>0.99999999999999989</v>
      </c>
      <c r="AA102" s="93">
        <f t="shared" si="43"/>
        <v>1.0666666666666667</v>
      </c>
      <c r="AB102" s="93">
        <f t="shared" si="43"/>
        <v>1.1333333333333333</v>
      </c>
      <c r="AC102" s="93">
        <f t="shared" si="43"/>
        <v>1.2</v>
      </c>
      <c r="AD102" s="93">
        <f t="shared" si="43"/>
        <v>1.2666666666666666</v>
      </c>
      <c r="AE102" s="93">
        <f t="shared" si="43"/>
        <v>1.3333333333333333</v>
      </c>
      <c r="AF102" s="93">
        <f t="shared" si="43"/>
        <v>1.4</v>
      </c>
      <c r="AG102" s="125"/>
      <c r="AH102" s="125"/>
    </row>
    <row r="103" spans="1:34" x14ac:dyDescent="0.25">
      <c r="A103" t="str">
        <f>Consommation!J33</f>
        <v>Stock Oil fuel (Million)</v>
      </c>
      <c r="D103" s="27"/>
      <c r="E103" s="27">
        <f>Consommation!L33</f>
        <v>3.0489999999999999</v>
      </c>
      <c r="F103" s="27">
        <f>Consommation!M33</f>
        <v>2.7879999999999998</v>
      </c>
      <c r="G103" s="27">
        <f>Consommation!N33</f>
        <v>2.528</v>
      </c>
      <c r="H103" s="27">
        <f>Consommation!O33</f>
        <v>2.27</v>
      </c>
      <c r="I103" s="27">
        <f>Consommation!P33</f>
        <v>2.0129999999999999</v>
      </c>
      <c r="J103" s="27">
        <f>Consommation!Q33</f>
        <v>1.758</v>
      </c>
      <c r="K103" s="27">
        <f>Consommation!R33</f>
        <v>1.504</v>
      </c>
      <c r="L103" s="27">
        <f>Consommation!S33</f>
        <v>1.2509999999999999</v>
      </c>
      <c r="M103" s="27">
        <f>Consommation!T33</f>
        <v>0.999</v>
      </c>
      <c r="N103" s="27">
        <f>Consommation!U33</f>
        <v>0.748</v>
      </c>
      <c r="O103" s="27">
        <f>Consommation!V33</f>
        <v>0.497</v>
      </c>
      <c r="P103" s="27">
        <f>Consommation!W33</f>
        <v>0.248</v>
      </c>
      <c r="Q103" s="27">
        <f>Consommation!X33</f>
        <v>0</v>
      </c>
      <c r="R103" s="27">
        <f>Consommation!Y33</f>
        <v>0</v>
      </c>
      <c r="S103" s="27">
        <f>Consommation!Z33</f>
        <v>0</v>
      </c>
      <c r="T103" s="27">
        <f>Consommation!AA33</f>
        <v>0</v>
      </c>
      <c r="U103" s="27">
        <f>Consommation!AB33</f>
        <v>0</v>
      </c>
      <c r="V103" s="27">
        <f>Consommation!AC33</f>
        <v>0</v>
      </c>
      <c r="W103" s="27">
        <f>Consommation!AD33</f>
        <v>0</v>
      </c>
      <c r="X103" s="27">
        <f>Consommation!AE33</f>
        <v>0</v>
      </c>
      <c r="Y103" s="27">
        <f>Consommation!AF33</f>
        <v>0</v>
      </c>
      <c r="Z103" s="27">
        <f>Consommation!AG33</f>
        <v>0</v>
      </c>
      <c r="AA103" s="27">
        <f>Consommation!AH33</f>
        <v>0</v>
      </c>
      <c r="AB103" s="27">
        <f>Consommation!AI33</f>
        <v>0</v>
      </c>
      <c r="AC103" s="27">
        <f>Consommation!AJ33</f>
        <v>0</v>
      </c>
      <c r="AD103" s="27">
        <f>Consommation!AK33</f>
        <v>0</v>
      </c>
      <c r="AE103" s="27">
        <f>Consommation!AL33</f>
        <v>0</v>
      </c>
      <c r="AF103" s="27">
        <f>Consommation!AM33</f>
        <v>0</v>
      </c>
    </row>
    <row r="104" spans="1:34" x14ac:dyDescent="0.25">
      <c r="A104" t="str">
        <f>Consommation!J34</f>
        <v>Stock Wood fuel (Million)</v>
      </c>
      <c r="D104" s="27"/>
      <c r="E104" s="27">
        <f>Consommation!L34</f>
        <v>2.7330000000000001</v>
      </c>
      <c r="F104" s="27">
        <f>Consommation!M34</f>
        <v>2.7629999999999999</v>
      </c>
      <c r="G104" s="27">
        <f>Consommation!N34</f>
        <v>2.782</v>
      </c>
      <c r="H104" s="27">
        <f>Consommation!O34</f>
        <v>2.8</v>
      </c>
      <c r="I104" s="27">
        <f>Consommation!P34</f>
        <v>2.82</v>
      </c>
      <c r="J104" s="27">
        <f>Consommation!Q34</f>
        <v>2.84</v>
      </c>
      <c r="K104" s="27">
        <f>Consommation!R34</f>
        <v>2.86</v>
      </c>
      <c r="L104" s="27">
        <f>Consommation!S34</f>
        <v>2.8759999999999999</v>
      </c>
      <c r="M104" s="27">
        <f>Consommation!T34</f>
        <v>2.8929999999999998</v>
      </c>
      <c r="N104" s="27">
        <f>Consommation!U34</f>
        <v>2.91</v>
      </c>
      <c r="O104" s="27">
        <f>Consommation!V34</f>
        <v>2.927</v>
      </c>
      <c r="P104" s="27">
        <f>Consommation!W34</f>
        <v>2.944</v>
      </c>
      <c r="Q104" s="27">
        <f>Consommation!X34</f>
        <v>2.9620000000000002</v>
      </c>
      <c r="R104" s="27">
        <f>Consommation!Y34</f>
        <v>2.9750000000000001</v>
      </c>
      <c r="S104" s="27">
        <f>Consommation!Z34</f>
        <v>2.988</v>
      </c>
      <c r="T104" s="27">
        <f>Consommation!AA34</f>
        <v>3.0019999999999998</v>
      </c>
      <c r="U104" s="27">
        <f>Consommation!AB34</f>
        <v>3.0139999999999998</v>
      </c>
      <c r="V104" s="27">
        <f>Consommation!AC34</f>
        <v>3.024</v>
      </c>
      <c r="W104" s="27">
        <f>Consommation!AD34</f>
        <v>3.0310000000000001</v>
      </c>
      <c r="X104" s="27">
        <f>Consommation!AE34</f>
        <v>3.0390000000000001</v>
      </c>
      <c r="Y104" s="27">
        <f>Consommation!AF34</f>
        <v>3.0449999999999999</v>
      </c>
      <c r="Z104" s="27">
        <f>Consommation!AG34</f>
        <v>3.0449999999999999</v>
      </c>
      <c r="AA104" s="27">
        <f>Consommation!AH34</f>
        <v>3.0449999999999999</v>
      </c>
      <c r="AB104" s="27">
        <f>Consommation!AI34</f>
        <v>3.0449999999999999</v>
      </c>
      <c r="AC104" s="27">
        <f>Consommation!AJ34</f>
        <v>3.044</v>
      </c>
      <c r="AD104" s="27">
        <f>Consommation!AK34</f>
        <v>3.0430000000000001</v>
      </c>
      <c r="AE104" s="27">
        <f>Consommation!AL34</f>
        <v>3.0419999999999998</v>
      </c>
      <c r="AF104" s="27">
        <f>Consommation!AM34</f>
        <v>3.0390000000000001</v>
      </c>
    </row>
    <row r="105" spans="1:34" x14ac:dyDescent="0.25">
      <c r="A105" t="str">
        <f>Consommation!J35</f>
        <v>Stock Natural gas (Million)</v>
      </c>
      <c r="D105" s="27"/>
      <c r="E105" s="27">
        <f>Consommation!L35</f>
        <v>11.808999999999999</v>
      </c>
      <c r="F105" s="27">
        <f>Consommation!M35</f>
        <v>11.673999999999999</v>
      </c>
      <c r="G105" s="27">
        <f>Consommation!N35</f>
        <v>11.648</v>
      </c>
      <c r="H105" s="27">
        <f>Consommation!O35</f>
        <v>11.49</v>
      </c>
      <c r="I105" s="27">
        <f>Consommation!P35</f>
        <v>11.327999999999999</v>
      </c>
      <c r="J105" s="27">
        <f>Consommation!Q35</f>
        <v>11.067</v>
      </c>
      <c r="K105" s="27">
        <f>Consommation!R35</f>
        <v>10.695</v>
      </c>
      <c r="L105" s="27">
        <f>Consommation!S35</f>
        <v>10.223000000000001</v>
      </c>
      <c r="M105" s="27">
        <f>Consommation!T35</f>
        <v>9.8780000000000001</v>
      </c>
      <c r="N105" s="27">
        <f>Consommation!U35</f>
        <v>9.4220000000000006</v>
      </c>
      <c r="O105" s="27">
        <f>Consommation!V35</f>
        <v>8.9879999999999995</v>
      </c>
      <c r="P105" s="27">
        <f>Consommation!W35</f>
        <v>8.5860000000000003</v>
      </c>
      <c r="Q105" s="27">
        <f>Consommation!X35</f>
        <v>8.2080000000000002</v>
      </c>
      <c r="R105" s="27">
        <f>Consommation!Y35</f>
        <v>7.7720000000000002</v>
      </c>
      <c r="S105" s="27">
        <f>Consommation!Z35</f>
        <v>7.3810000000000002</v>
      </c>
      <c r="T105" s="27">
        <f>Consommation!AA35</f>
        <v>7.01</v>
      </c>
      <c r="U105" s="27">
        <f>Consommation!AB35</f>
        <v>6.7350000000000003</v>
      </c>
      <c r="V105" s="27">
        <f>Consommation!AC35</f>
        <v>6.4119999999999999</v>
      </c>
      <c r="W105" s="27">
        <f>Consommation!AD35</f>
        <v>6.1360000000000001</v>
      </c>
      <c r="X105" s="27">
        <f>Consommation!AE35</f>
        <v>5.8620000000000001</v>
      </c>
      <c r="Y105" s="27">
        <f>Consommation!AF35</f>
        <v>5.6280000000000001</v>
      </c>
      <c r="Z105" s="27">
        <f>Consommation!AG35</f>
        <v>5.4329999999999998</v>
      </c>
      <c r="AA105" s="27">
        <f>Consommation!AH35</f>
        <v>5.28</v>
      </c>
      <c r="AB105" s="27">
        <f>Consommation!AI35</f>
        <v>5.0750000000000002</v>
      </c>
      <c r="AC105" s="27">
        <f>Consommation!AJ35</f>
        <v>4.915</v>
      </c>
      <c r="AD105" s="27">
        <f>Consommation!AK35</f>
        <v>4.7439999999999998</v>
      </c>
      <c r="AE105" s="27">
        <f>Consommation!AL35</f>
        <v>4.5590000000000002</v>
      </c>
      <c r="AF105" s="27">
        <f>Consommation!AM35</f>
        <v>4.3620000000000001</v>
      </c>
    </row>
    <row r="106" spans="1:34" x14ac:dyDescent="0.25">
      <c r="A106" t="str">
        <f>Consommation!J36</f>
        <v>Stock District heating (Million)</v>
      </c>
      <c r="D106" s="27"/>
      <c r="E106" s="27">
        <f>Consommation!L36</f>
        <v>1.421</v>
      </c>
      <c r="F106" s="27">
        <f>Consommation!M36</f>
        <v>1.5649999999999999</v>
      </c>
      <c r="G106" s="27">
        <f>Consommation!N36</f>
        <v>1.619</v>
      </c>
      <c r="H106" s="27">
        <f>Consommation!O36</f>
        <v>1.8680000000000001</v>
      </c>
      <c r="I106" s="27">
        <f>Consommation!P36</f>
        <v>2.0470000000000002</v>
      </c>
      <c r="J106" s="27">
        <f>Consommation!Q36</f>
        <v>2.375</v>
      </c>
      <c r="K106" s="27">
        <f>Consommation!R36</f>
        <v>2.8740000000000001</v>
      </c>
      <c r="L106" s="27">
        <f>Consommation!S36</f>
        <v>3.5219999999999998</v>
      </c>
      <c r="M106" s="27">
        <f>Consommation!T36</f>
        <v>3.919</v>
      </c>
      <c r="N106" s="27">
        <f>Consommation!U36</f>
        <v>4.4909999999999997</v>
      </c>
      <c r="O106" s="27">
        <f>Consommation!V36</f>
        <v>4.9969999999999999</v>
      </c>
      <c r="P106" s="27">
        <f>Consommation!W36</f>
        <v>5.4219999999999997</v>
      </c>
      <c r="Q106" s="27">
        <f>Consommation!X36</f>
        <v>5.7770000000000001</v>
      </c>
      <c r="R106" s="27">
        <f>Consommation!Y36</f>
        <v>6.07</v>
      </c>
      <c r="S106" s="27">
        <f>Consommation!Z36</f>
        <v>6.2629999999999999</v>
      </c>
      <c r="T106" s="27">
        <f>Consommation!AA36</f>
        <v>6.4059999999999997</v>
      </c>
      <c r="U106" s="27">
        <f>Consommation!AB36</f>
        <v>6.4980000000000002</v>
      </c>
      <c r="V106" s="27">
        <f>Consommation!AC36</f>
        <v>6.4989999999999997</v>
      </c>
      <c r="W106" s="27">
        <f>Consommation!AD36</f>
        <v>6.53</v>
      </c>
      <c r="X106" s="27">
        <f>Consommation!AE36</f>
        <v>6.56</v>
      </c>
      <c r="Y106" s="27">
        <f>Consommation!AF36</f>
        <v>6.59</v>
      </c>
      <c r="Z106" s="27">
        <f>Consommation!AG36</f>
        <v>6.6189999999999998</v>
      </c>
      <c r="AA106" s="27">
        <f>Consommation!AH36</f>
        <v>6.6479999999999997</v>
      </c>
      <c r="AB106" s="27">
        <f>Consommation!AI36</f>
        <v>6.6760000000000002</v>
      </c>
      <c r="AC106" s="27">
        <f>Consommation!AJ36</f>
        <v>6.7039999999999997</v>
      </c>
      <c r="AD106" s="27">
        <f>Consommation!AK36</f>
        <v>6.7320000000000002</v>
      </c>
      <c r="AE106" s="27">
        <f>Consommation!AL36</f>
        <v>6.7590000000000003</v>
      </c>
      <c r="AF106" s="27">
        <f>Consommation!AM36</f>
        <v>6.7839999999999998</v>
      </c>
    </row>
    <row r="107" spans="1:34" x14ac:dyDescent="0.25">
      <c r="F107" s="3">
        <f>AF105/11.8-1</f>
        <v>-0.63033898305084746</v>
      </c>
    </row>
    <row r="108" spans="1:34" x14ac:dyDescent="0.25">
      <c r="A108" s="78" t="s">
        <v>526</v>
      </c>
      <c r="AF108" s="3"/>
    </row>
    <row r="109" spans="1:34" x14ac:dyDescent="0.25">
      <c r="A109" t="s">
        <v>527</v>
      </c>
      <c r="E109" s="27">
        <f t="shared" ref="E109:AF109" si="44">E81/E106</f>
        <v>7.8214356087262491</v>
      </c>
      <c r="F109" s="27">
        <f t="shared" si="44"/>
        <v>7.6012104792332265</v>
      </c>
      <c r="G109" s="27">
        <f t="shared" si="44"/>
        <v>7.2957848466131354</v>
      </c>
      <c r="H109" s="27">
        <f t="shared" si="44"/>
        <v>6.9919544967880096</v>
      </c>
      <c r="I109" s="27">
        <f t="shared" si="44"/>
        <v>6.7293655105031762</v>
      </c>
      <c r="J109" s="27">
        <f t="shared" si="44"/>
        <v>6.489983438596493</v>
      </c>
      <c r="K109" s="27">
        <f t="shared" si="44"/>
        <v>6.2782844119693824</v>
      </c>
      <c r="L109" s="27">
        <f t="shared" si="44"/>
        <v>6.1040834752981272</v>
      </c>
      <c r="M109" s="27">
        <f t="shared" si="44"/>
        <v>5.9770799179212393</v>
      </c>
      <c r="N109" s="27">
        <f t="shared" si="44"/>
        <v>5.8570841367921052</v>
      </c>
      <c r="O109" s="27">
        <f t="shared" si="44"/>
        <v>5.7428348003802299</v>
      </c>
      <c r="P109" s="27">
        <f t="shared" si="44"/>
        <v>5.6339484077216291</v>
      </c>
      <c r="Q109" s="27">
        <f t="shared" si="44"/>
        <v>5.5279743378916413</v>
      </c>
      <c r="R109" s="27">
        <f t="shared" si="44"/>
        <v>5.4196331779242195</v>
      </c>
      <c r="S109" s="27">
        <f t="shared" si="44"/>
        <v>5.3037250969982459</v>
      </c>
      <c r="T109" s="27">
        <f t="shared" si="44"/>
        <v>5.1919004516599045</v>
      </c>
      <c r="U109" s="27">
        <f t="shared" si="44"/>
        <v>5.0836890495152369</v>
      </c>
      <c r="V109" s="27">
        <f t="shared" si="44"/>
        <v>4.9893209532235741</v>
      </c>
      <c r="W109" s="27">
        <f t="shared" si="44"/>
        <v>4.8945885354772853</v>
      </c>
      <c r="X109" s="27">
        <f t="shared" si="44"/>
        <v>4.8018327317073188</v>
      </c>
      <c r="Y109" s="27">
        <f t="shared" si="44"/>
        <v>4.7151838304248868</v>
      </c>
      <c r="Z109" s="27">
        <f t="shared" si="44"/>
        <v>4.6294491584831556</v>
      </c>
      <c r="AA109" s="27">
        <f t="shared" si="44"/>
        <v>4.5461348337845982</v>
      </c>
      <c r="AB109" s="27">
        <f t="shared" si="44"/>
        <v>4.4658604553624937</v>
      </c>
      <c r="AC109" s="27">
        <f t="shared" si="44"/>
        <v>4.3873931646529449</v>
      </c>
      <c r="AD109" s="27">
        <f t="shared" si="44"/>
        <v>4.3109407352941185</v>
      </c>
      <c r="AE109" s="27">
        <f t="shared" si="44"/>
        <v>4.2370908584849838</v>
      </c>
      <c r="AF109" s="27">
        <f t="shared" si="44"/>
        <v>4.1619912539308181</v>
      </c>
    </row>
    <row r="110" spans="1:34" x14ac:dyDescent="0.25">
      <c r="A110" t="s">
        <v>179</v>
      </c>
      <c r="E110" s="27">
        <f t="shared" ref="E110:AF110" si="45">E82/E105</f>
        <v>7.4808118957102092</v>
      </c>
      <c r="F110" s="27">
        <f t="shared" si="45"/>
        <v>7.3104562526021635</v>
      </c>
      <c r="G110" s="27">
        <f t="shared" si="45"/>
        <v>7.218456119852207</v>
      </c>
      <c r="H110" s="27">
        <f t="shared" si="45"/>
        <v>7.0388188078379024</v>
      </c>
      <c r="I110" s="27">
        <f t="shared" si="45"/>
        <v>6.7356964284092475</v>
      </c>
      <c r="J110" s="27">
        <f t="shared" si="45"/>
        <v>6.5526449651999927</v>
      </c>
      <c r="K110" s="27">
        <f t="shared" si="45"/>
        <v>6.3891156932453521</v>
      </c>
      <c r="L110" s="27">
        <f t="shared" si="45"/>
        <v>6.2287876639928283</v>
      </c>
      <c r="M110" s="27">
        <f t="shared" si="45"/>
        <v>6.076424670447965</v>
      </c>
      <c r="N110" s="27">
        <f t="shared" si="45"/>
        <v>5.9444792672805571</v>
      </c>
      <c r="O110" s="27">
        <f t="shared" si="45"/>
        <v>5.8158385293246813</v>
      </c>
      <c r="P110" s="27">
        <f t="shared" si="45"/>
        <v>5.6862592352026198</v>
      </c>
      <c r="Q110" s="27">
        <f t="shared" si="45"/>
        <v>5.5542142215611117</v>
      </c>
      <c r="R110" s="27">
        <f t="shared" si="45"/>
        <v>5.4219191580935151</v>
      </c>
      <c r="S110" s="27">
        <f t="shared" si="45"/>
        <v>5.2657166662797898</v>
      </c>
      <c r="T110" s="27">
        <f t="shared" si="45"/>
        <v>5.1128980547266236</v>
      </c>
      <c r="U110" s="27">
        <f t="shared" si="45"/>
        <v>4.9730385981511969</v>
      </c>
      <c r="V110" s="27">
        <f t="shared" si="45"/>
        <v>4.1898698037127611</v>
      </c>
      <c r="W110" s="27">
        <f t="shared" si="45"/>
        <v>4.5977510714577754</v>
      </c>
      <c r="X110" s="27">
        <f t="shared" si="45"/>
        <v>4.481312918519623</v>
      </c>
      <c r="Y110" s="27">
        <f t="shared" si="45"/>
        <v>4.3786865548548155</v>
      </c>
      <c r="Z110" s="27">
        <f t="shared" si="45"/>
        <v>4.2877597548493149</v>
      </c>
      <c r="AA110" s="27">
        <f t="shared" si="45"/>
        <v>4.2080629825412439</v>
      </c>
      <c r="AB110" s="27">
        <f t="shared" si="45"/>
        <v>4.1298527368839553</v>
      </c>
      <c r="AC110" s="27">
        <f t="shared" si="45"/>
        <v>4.0624074855052035</v>
      </c>
      <c r="AD110" s="27">
        <f t="shared" si="45"/>
        <v>3.9976524202766566</v>
      </c>
      <c r="AE110" s="27">
        <f t="shared" si="45"/>
        <v>3.9351474804886406</v>
      </c>
      <c r="AF110" s="27">
        <f t="shared" si="45"/>
        <v>3.8746781080025259</v>
      </c>
    </row>
    <row r="111" spans="1:34" x14ac:dyDescent="0.25">
      <c r="A111" t="s">
        <v>119</v>
      </c>
      <c r="E111" s="27">
        <f t="shared" ref="E111:AF111" si="46">E85/E103</f>
        <v>9.8622499180059044</v>
      </c>
      <c r="F111" s="27">
        <f t="shared" si="46"/>
        <v>9.575893256814922</v>
      </c>
      <c r="G111" s="27">
        <f t="shared" si="46"/>
        <v>9.426214662447256</v>
      </c>
      <c r="H111" s="27">
        <f t="shared" si="46"/>
        <v>9.1481669603524232</v>
      </c>
      <c r="I111" s="27">
        <f t="shared" si="46"/>
        <v>8.638568107302536</v>
      </c>
      <c r="J111" s="27">
        <f t="shared" si="46"/>
        <v>8.3174785741372794</v>
      </c>
      <c r="K111" s="27">
        <f t="shared" si="46"/>
        <v>8.0131550531914915</v>
      </c>
      <c r="L111" s="27">
        <f t="shared" si="46"/>
        <v>7.7177745803357345</v>
      </c>
      <c r="M111" s="27">
        <f t="shared" si="46"/>
        <v>7.4546342513346708</v>
      </c>
      <c r="N111" s="27">
        <f t="shared" si="46"/>
        <v>7.1764960784313745</v>
      </c>
      <c r="O111" s="27">
        <f t="shared" si="46"/>
        <v>6.925557869718312</v>
      </c>
      <c r="P111" s="27">
        <f t="shared" si="46"/>
        <v>6.6812395698924743</v>
      </c>
      <c r="Q111" s="27" t="e">
        <f t="shared" si="46"/>
        <v>#DIV/0!</v>
      </c>
      <c r="R111" s="27" t="e">
        <f t="shared" si="46"/>
        <v>#DIV/0!</v>
      </c>
      <c r="S111" s="27" t="e">
        <f t="shared" si="46"/>
        <v>#DIV/0!</v>
      </c>
      <c r="T111" s="27" t="e">
        <f t="shared" si="46"/>
        <v>#DIV/0!</v>
      </c>
      <c r="U111" s="27" t="e">
        <f t="shared" si="46"/>
        <v>#DIV/0!</v>
      </c>
      <c r="V111" s="27" t="e">
        <f t="shared" si="46"/>
        <v>#DIV/0!</v>
      </c>
      <c r="W111" s="27" t="e">
        <f t="shared" si="46"/>
        <v>#DIV/0!</v>
      </c>
      <c r="X111" s="27" t="e">
        <f t="shared" si="46"/>
        <v>#DIV/0!</v>
      </c>
      <c r="Y111" s="27" t="e">
        <f t="shared" si="46"/>
        <v>#DIV/0!</v>
      </c>
      <c r="Z111" s="27" t="e">
        <f t="shared" si="46"/>
        <v>#DIV/0!</v>
      </c>
      <c r="AA111" s="27" t="e">
        <f t="shared" si="46"/>
        <v>#DIV/0!</v>
      </c>
      <c r="AB111" s="27" t="e">
        <f t="shared" si="46"/>
        <v>#DIV/0!</v>
      </c>
      <c r="AC111" s="27" t="e">
        <f t="shared" si="46"/>
        <v>#DIV/0!</v>
      </c>
      <c r="AD111" s="27" t="e">
        <f t="shared" si="46"/>
        <v>#DIV/0!</v>
      </c>
      <c r="AE111" s="27" t="e">
        <f t="shared" si="46"/>
        <v>#DIV/0!</v>
      </c>
      <c r="AF111" s="27" t="e">
        <f t="shared" si="46"/>
        <v>#DIV/0!</v>
      </c>
    </row>
    <row r="112" spans="1:34" x14ac:dyDescent="0.25">
      <c r="A112" t="s">
        <v>528</v>
      </c>
      <c r="E112" s="27">
        <f t="shared" ref="E112:AF112" si="47">E87/E104</f>
        <v>15.337107753628098</v>
      </c>
      <c r="F112" s="27">
        <f t="shared" si="47"/>
        <v>14.850387497314031</v>
      </c>
      <c r="G112" s="27">
        <f t="shared" si="47"/>
        <v>14.384543388907996</v>
      </c>
      <c r="H112" s="27">
        <f t="shared" si="47"/>
        <v>13.924230594118034</v>
      </c>
      <c r="I112" s="27">
        <f t="shared" si="47"/>
        <v>13.4646397269087</v>
      </c>
      <c r="J112" s="27">
        <f t="shared" si="47"/>
        <v>13.028560555681354</v>
      </c>
      <c r="K112" s="27">
        <f t="shared" si="47"/>
        <v>12.611877672522111</v>
      </c>
      <c r="L112" s="27">
        <f t="shared" si="47"/>
        <v>12.190884455462628</v>
      </c>
      <c r="M112" s="27">
        <f t="shared" si="47"/>
        <v>11.893916806929695</v>
      </c>
      <c r="N112" s="27">
        <f t="shared" si="47"/>
        <v>11.608378113640651</v>
      </c>
      <c r="O112" s="27">
        <f t="shared" si="47"/>
        <v>11.333825945518518</v>
      </c>
      <c r="P112" s="27">
        <f t="shared" si="47"/>
        <v>11.06839729402539</v>
      </c>
      <c r="Q112" s="27">
        <f t="shared" si="47"/>
        <v>10.808795676204596</v>
      </c>
      <c r="R112" s="27">
        <f t="shared" si="47"/>
        <v>10.579387981278369</v>
      </c>
      <c r="S112" s="27">
        <f t="shared" si="47"/>
        <v>10.348194687704332</v>
      </c>
      <c r="T112" s="27">
        <f t="shared" si="47"/>
        <v>10.122150160527511</v>
      </c>
      <c r="U112" s="27">
        <f t="shared" si="47"/>
        <v>9.9105103464222886</v>
      </c>
      <c r="V112" s="27">
        <f t="shared" si="47"/>
        <v>9.6866326377826422</v>
      </c>
      <c r="W112" s="27">
        <f t="shared" si="47"/>
        <v>9.4838571586121407</v>
      </c>
      <c r="X112" s="27">
        <f t="shared" si="47"/>
        <v>9.281514783451243</v>
      </c>
      <c r="Y112" s="27">
        <f t="shared" si="47"/>
        <v>9.0905010894416947</v>
      </c>
      <c r="Z112" s="27">
        <f t="shared" si="47"/>
        <v>8.9416077767254301</v>
      </c>
      <c r="AA112" s="27">
        <f t="shared" si="47"/>
        <v>8.8056130352871698</v>
      </c>
      <c r="AB112" s="27">
        <f t="shared" si="47"/>
        <v>8.6747492810675233</v>
      </c>
      <c r="AC112" s="27">
        <f t="shared" si="47"/>
        <v>8.5477147532431079</v>
      </c>
      <c r="AD112" s="27">
        <f t="shared" si="47"/>
        <v>8.4243626022917244</v>
      </c>
      <c r="AE112" s="27">
        <f t="shared" si="47"/>
        <v>8.3048160695740325</v>
      </c>
      <c r="AF112" s="27">
        <f t="shared" si="47"/>
        <v>8.1886315647071193</v>
      </c>
    </row>
    <row r="113" spans="1:33" x14ac:dyDescent="0.25">
      <c r="A113" t="s">
        <v>122</v>
      </c>
      <c r="E113" s="27">
        <f t="shared" ref="E113:AF113" si="48">E89/E98</f>
        <v>2.2643503963542946</v>
      </c>
      <c r="F113" s="27">
        <f t="shared" si="48"/>
        <v>2.2987567209322552</v>
      </c>
      <c r="G113" s="27">
        <f t="shared" si="48"/>
        <v>2.2728428288439453</v>
      </c>
      <c r="H113" s="27">
        <f t="shared" si="48"/>
        <v>2.2555038961476548</v>
      </c>
      <c r="I113" s="27">
        <f t="shared" si="48"/>
        <v>2.2385554064038451</v>
      </c>
      <c r="J113" s="27">
        <f t="shared" si="48"/>
        <v>2.2177545972889452</v>
      </c>
      <c r="K113" s="27">
        <f t="shared" si="48"/>
        <v>2.1956618583454777</v>
      </c>
      <c r="L113" s="27">
        <f t="shared" si="48"/>
        <v>2.1821429428761698</v>
      </c>
      <c r="M113" s="27">
        <f t="shared" si="48"/>
        <v>2.1762692660345127</v>
      </c>
      <c r="N113" s="27">
        <f t="shared" si="48"/>
        <v>2.1712754774490244</v>
      </c>
      <c r="O113" s="27">
        <f t="shared" si="48"/>
        <v>2.1622308703919439</v>
      </c>
      <c r="P113" s="27">
        <f t="shared" si="48"/>
        <v>2.1496203556359554</v>
      </c>
      <c r="Q113" s="27">
        <f t="shared" si="48"/>
        <v>2.1340386813347711</v>
      </c>
      <c r="R113" s="27">
        <f t="shared" si="48"/>
        <v>2.1044839922964913</v>
      </c>
      <c r="S113" s="27">
        <f t="shared" si="48"/>
        <v>2.0716999166826944</v>
      </c>
      <c r="T113" s="27">
        <f t="shared" si="48"/>
        <v>2.0403274493786077</v>
      </c>
      <c r="U113" s="27">
        <f t="shared" si="48"/>
        <v>2.0071436395152085</v>
      </c>
      <c r="V113" s="27">
        <f t="shared" si="48"/>
        <v>1.978557534015474</v>
      </c>
      <c r="W113" s="27">
        <f t="shared" si="48"/>
        <v>1.9484536901466454</v>
      </c>
      <c r="X113" s="27">
        <f t="shared" si="48"/>
        <v>1.9187180780760793</v>
      </c>
      <c r="Y113" s="27">
        <f t="shared" si="48"/>
        <v>1.8889283553935354</v>
      </c>
      <c r="Z113" s="27">
        <f t="shared" si="48"/>
        <v>1.8629674731141026</v>
      </c>
      <c r="AA113" s="27">
        <f t="shared" si="48"/>
        <v>1.8361532889670398</v>
      </c>
      <c r="AB113" s="27">
        <f t="shared" si="48"/>
        <v>1.8106449840473651</v>
      </c>
      <c r="AC113" s="27">
        <f t="shared" si="48"/>
        <v>1.7850104315873743</v>
      </c>
      <c r="AD113" s="27">
        <f t="shared" si="48"/>
        <v>1.7599650248912484</v>
      </c>
      <c r="AE113" s="27">
        <f t="shared" si="48"/>
        <v>1.7356998302350628</v>
      </c>
      <c r="AF113" s="27">
        <f t="shared" si="48"/>
        <v>1.7117053122529575</v>
      </c>
    </row>
    <row r="114" spans="1:33" x14ac:dyDescent="0.25">
      <c r="A114" t="s">
        <v>121</v>
      </c>
      <c r="E114" s="27">
        <f t="shared" ref="E114:AF114" si="49">E94/E97</f>
        <v>5.1215113622700486</v>
      </c>
      <c r="F114" s="27">
        <f t="shared" si="49"/>
        <v>4.8749987019470788</v>
      </c>
      <c r="G114" s="27">
        <f t="shared" si="49"/>
        <v>4.7150533384826643</v>
      </c>
      <c r="H114" s="27">
        <f t="shared" si="49"/>
        <v>4.5715926656887591</v>
      </c>
      <c r="I114" s="27">
        <f t="shared" si="49"/>
        <v>4.4306102472034263</v>
      </c>
      <c r="J114" s="27">
        <f t="shared" si="49"/>
        <v>4.3034021635075641</v>
      </c>
      <c r="K114" s="27">
        <f t="shared" si="49"/>
        <v>4.188356225622563</v>
      </c>
      <c r="L114" s="27">
        <f t="shared" si="49"/>
        <v>4.0757169930511701</v>
      </c>
      <c r="M114" s="27">
        <f t="shared" si="49"/>
        <v>3.9931732730790501</v>
      </c>
      <c r="N114" s="27">
        <f t="shared" si="49"/>
        <v>3.9181595525962281</v>
      </c>
      <c r="O114" s="27">
        <f t="shared" si="49"/>
        <v>3.8453387323845742</v>
      </c>
      <c r="P114" s="27">
        <f t="shared" si="49"/>
        <v>3.7731262658808133</v>
      </c>
      <c r="Q114" s="27">
        <f t="shared" si="49"/>
        <v>3.703515289363922</v>
      </c>
      <c r="R114" s="27">
        <f t="shared" si="49"/>
        <v>3.6281625572603975</v>
      </c>
      <c r="S114" s="27">
        <f t="shared" si="49"/>
        <v>3.532403257180158</v>
      </c>
      <c r="T114" s="27">
        <f t="shared" si="49"/>
        <v>3.4404648044692747</v>
      </c>
      <c r="U114" s="27">
        <f t="shared" si="49"/>
        <v>3.347295060335425</v>
      </c>
      <c r="V114" s="27">
        <f t="shared" si="49"/>
        <v>3.2476732030943998</v>
      </c>
      <c r="W114" s="27">
        <f t="shared" si="49"/>
        <v>3.1487580440848224</v>
      </c>
      <c r="X114" s="27">
        <f t="shared" si="49"/>
        <v>3.0498217548746531</v>
      </c>
      <c r="Y114" s="27">
        <f t="shared" si="49"/>
        <v>2.9521859582215417</v>
      </c>
      <c r="Z114" s="27">
        <f t="shared" si="49"/>
        <v>2.8856417007471498</v>
      </c>
      <c r="AA114" s="27">
        <f t="shared" si="49"/>
        <v>2.814620581454919</v>
      </c>
      <c r="AB114" s="27">
        <f t="shared" si="49"/>
        <v>2.748104248587572</v>
      </c>
      <c r="AC114" s="27">
        <f t="shared" si="49"/>
        <v>2.6818626035242299</v>
      </c>
      <c r="AD114" s="27">
        <f t="shared" si="49"/>
        <v>2.6178935330296138</v>
      </c>
      <c r="AE114" s="27">
        <f t="shared" si="49"/>
        <v>2.5577628142556188</v>
      </c>
      <c r="AF114" s="27">
        <f t="shared" si="49"/>
        <v>2.4979317384370026</v>
      </c>
    </row>
    <row r="118" spans="1:33" x14ac:dyDescent="0.25">
      <c r="A118" t="s">
        <v>530</v>
      </c>
    </row>
    <row r="119" spans="1:33" x14ac:dyDescent="0.25">
      <c r="A119" s="115" t="s">
        <v>117</v>
      </c>
      <c r="B119" s="115"/>
      <c r="C119" s="117"/>
      <c r="D119" s="117"/>
      <c r="E119" s="117">
        <v>11.370165548130057</v>
      </c>
      <c r="F119" s="117">
        <v>11.300984067293838</v>
      </c>
      <c r="G119" s="117">
        <v>13.966395770074588</v>
      </c>
      <c r="H119" s="117">
        <v>16.234915517222507</v>
      </c>
      <c r="I119" s="117">
        <v>18.146170579291635</v>
      </c>
      <c r="J119" s="117">
        <v>19.720466604835593</v>
      </c>
      <c r="K119" s="117">
        <v>21.119780302543806</v>
      </c>
      <c r="L119" s="117">
        <v>22.313797992812887</v>
      </c>
      <c r="M119" s="117">
        <v>22.993013293168424</v>
      </c>
      <c r="N119" s="117">
        <v>23.856022999729934</v>
      </c>
      <c r="O119" s="117">
        <v>24.210558154634839</v>
      </c>
      <c r="P119" s="117">
        <v>24.640223566231629</v>
      </c>
      <c r="Q119" s="117">
        <v>24.634250293966645</v>
      </c>
      <c r="R119" s="117">
        <v>24.889297191045632</v>
      </c>
      <c r="S119" s="117">
        <v>24.909104818254683</v>
      </c>
      <c r="T119" s="117">
        <v>24.644421019574764</v>
      </c>
      <c r="U119" s="117">
        <v>24.645653609185096</v>
      </c>
      <c r="V119" s="117">
        <v>24.543324687005178</v>
      </c>
      <c r="W119" s="117">
        <v>24.442060261818057</v>
      </c>
      <c r="X119" s="117">
        <v>24.338140406259278</v>
      </c>
      <c r="Y119" s="117">
        <v>24.292401890144308</v>
      </c>
      <c r="Z119" s="117">
        <v>24.080938374845449</v>
      </c>
      <c r="AA119" s="117">
        <v>24.008958195930223</v>
      </c>
      <c r="AB119" s="117">
        <v>23.938487716565419</v>
      </c>
      <c r="AC119" s="117">
        <v>23.8713943273161</v>
      </c>
      <c r="AD119" s="117">
        <v>23.670886941476976</v>
      </c>
      <c r="AE119" s="117">
        <v>23.61344236038591</v>
      </c>
      <c r="AF119" s="117">
        <v>23.561154546624135</v>
      </c>
    </row>
    <row r="120" spans="1:33" x14ac:dyDescent="0.25">
      <c r="A120" s="115" t="s">
        <v>179</v>
      </c>
      <c r="B120" s="115"/>
      <c r="C120" s="117"/>
      <c r="D120" s="117"/>
      <c r="E120" s="117">
        <v>119.28152580405151</v>
      </c>
      <c r="F120" s="117">
        <v>115.49607142554231</v>
      </c>
      <c r="G120" s="117">
        <v>109.19725277571823</v>
      </c>
      <c r="H120" s="117">
        <v>103.24344444614464</v>
      </c>
      <c r="I120" s="117">
        <v>97.274097574176309</v>
      </c>
      <c r="J120" s="117">
        <v>91.566440847486945</v>
      </c>
      <c r="K120" s="117">
        <v>86.404489798706479</v>
      </c>
      <c r="L120" s="117">
        <v>80.441020213455658</v>
      </c>
      <c r="M120" s="117">
        <v>75.492235442319469</v>
      </c>
      <c r="N120" s="117">
        <v>71.934706251193404</v>
      </c>
      <c r="O120" s="117">
        <v>67.819965713119743</v>
      </c>
      <c r="P120" s="117">
        <v>64.74391743260253</v>
      </c>
      <c r="Q120" s="117">
        <v>61.159311179221426</v>
      </c>
      <c r="R120" s="117">
        <v>58.633869628842277</v>
      </c>
      <c r="S120" s="117">
        <v>56.176376590404111</v>
      </c>
      <c r="T120" s="117">
        <v>53.336603845985465</v>
      </c>
      <c r="U120" s="117">
        <v>51.319226628839374</v>
      </c>
      <c r="V120" s="117">
        <v>49.221093539333872</v>
      </c>
      <c r="W120" s="117">
        <v>47.296535760867556</v>
      </c>
      <c r="X120" s="117">
        <v>45.522867064228983</v>
      </c>
      <c r="Y120" s="117">
        <v>43.917759755112804</v>
      </c>
      <c r="Z120" s="117">
        <v>42.173878696716194</v>
      </c>
      <c r="AA120" s="117">
        <v>40.789397174550402</v>
      </c>
      <c r="AB120" s="117">
        <v>39.501562580176582</v>
      </c>
      <c r="AC120" s="117">
        <v>38.301490548243237</v>
      </c>
      <c r="AD120" s="117">
        <v>36.966336527646128</v>
      </c>
      <c r="AE120" s="117">
        <v>35.924912902809304</v>
      </c>
      <c r="AF120" s="117">
        <v>34.949515283344653</v>
      </c>
    </row>
    <row r="121" spans="1:33" x14ac:dyDescent="0.25">
      <c r="A121" s="115" t="s">
        <v>119</v>
      </c>
      <c r="B121" s="115"/>
      <c r="C121" s="117"/>
      <c r="D121" s="117"/>
      <c r="E121" s="117">
        <v>26.281910960193507</v>
      </c>
      <c r="F121" s="117">
        <v>20.706412165036518</v>
      </c>
      <c r="G121" s="117">
        <v>16.417700085091905</v>
      </c>
      <c r="H121" s="117">
        <v>13.072827184171297</v>
      </c>
      <c r="I121" s="117">
        <v>10.425547146228832</v>
      </c>
      <c r="J121" s="117">
        <v>8.4624327591589612</v>
      </c>
      <c r="K121" s="117">
        <v>6.9787473820726325</v>
      </c>
      <c r="L121" s="117">
        <v>5.1804699066642215</v>
      </c>
      <c r="M121" s="117">
        <v>3.9900364143019278</v>
      </c>
      <c r="N121" s="117">
        <v>2.7815287768760677</v>
      </c>
      <c r="O121" s="117">
        <v>2.1748260479394927</v>
      </c>
      <c r="P121" s="117">
        <v>1.7965499105576703</v>
      </c>
      <c r="Q121" s="117">
        <v>1.6668900479612396</v>
      </c>
      <c r="R121" s="117">
        <v>1.6230527973653819</v>
      </c>
      <c r="S121" s="117">
        <v>1.6202102330474435</v>
      </c>
      <c r="T121" s="117">
        <v>1</v>
      </c>
      <c r="U121" s="117">
        <v>0.5</v>
      </c>
      <c r="V121" s="117">
        <v>0</v>
      </c>
      <c r="W121" s="117">
        <v>0</v>
      </c>
      <c r="X121" s="117">
        <v>0</v>
      </c>
      <c r="Y121" s="117">
        <v>0</v>
      </c>
      <c r="Z121" s="117">
        <v>0</v>
      </c>
      <c r="AA121" s="117">
        <v>0</v>
      </c>
      <c r="AB121" s="117">
        <v>0</v>
      </c>
      <c r="AC121" s="117">
        <v>0</v>
      </c>
      <c r="AD121" s="117">
        <v>0</v>
      </c>
      <c r="AE121" s="117">
        <v>0</v>
      </c>
      <c r="AF121" s="117">
        <v>0</v>
      </c>
    </row>
    <row r="122" spans="1:33" x14ac:dyDescent="0.25">
      <c r="A122" s="115" t="s">
        <v>531</v>
      </c>
      <c r="B122" s="115"/>
      <c r="C122" s="117"/>
      <c r="D122" s="117"/>
      <c r="E122" s="117">
        <v>30.421960215567488</v>
      </c>
      <c r="F122" s="117">
        <v>33.073399535621689</v>
      </c>
      <c r="G122" s="117">
        <v>34.643941760748234</v>
      </c>
      <c r="H122" s="117">
        <v>35.175497648786525</v>
      </c>
      <c r="I122" s="117">
        <v>35.269441661422434</v>
      </c>
      <c r="J122" s="117">
        <v>35.044011604085128</v>
      </c>
      <c r="K122" s="117">
        <v>34.579142217046581</v>
      </c>
      <c r="L122" s="117">
        <v>34.124046723045993</v>
      </c>
      <c r="M122" s="117">
        <v>33.478779623738717</v>
      </c>
      <c r="N122" s="117">
        <v>32.490042030648681</v>
      </c>
      <c r="O122" s="117">
        <v>31.990666162905079</v>
      </c>
      <c r="P122" s="117">
        <v>30.992194773117397</v>
      </c>
      <c r="Q122" s="117">
        <v>30.252884444942218</v>
      </c>
      <c r="R122" s="117">
        <v>29.08737697656769</v>
      </c>
      <c r="S122" s="117">
        <v>28.362755458450447</v>
      </c>
      <c r="T122" s="117">
        <v>27.663258904508353</v>
      </c>
      <c r="U122" s="117">
        <v>26.897153895563648</v>
      </c>
      <c r="V122" s="117">
        <v>26.434727815127257</v>
      </c>
      <c r="W122" s="117">
        <v>25.866929995967617</v>
      </c>
      <c r="X122" s="117">
        <v>25.150545477255307</v>
      </c>
      <c r="Y122" s="117">
        <v>24.452569416706957</v>
      </c>
      <c r="Z122" s="117">
        <v>23.777239479170504</v>
      </c>
      <c r="AA122" s="117">
        <v>22.982265981767462</v>
      </c>
      <c r="AB122" s="117">
        <v>22.337823612008581</v>
      </c>
      <c r="AC122" s="117">
        <v>21.706438775369232</v>
      </c>
      <c r="AD122" s="117">
        <v>21.087140594800417</v>
      </c>
      <c r="AE122" s="117">
        <v>20.36123366118003</v>
      </c>
      <c r="AF122" s="117">
        <v>19.768082661926282</v>
      </c>
      <c r="AG122">
        <v>19.1855634984665</v>
      </c>
    </row>
    <row r="123" spans="1:33" x14ac:dyDescent="0.25">
      <c r="A123" s="115" t="s">
        <v>122</v>
      </c>
      <c r="B123" s="115"/>
      <c r="C123" s="117"/>
      <c r="D123" s="117"/>
      <c r="E123" s="117">
        <v>10.073116226321279</v>
      </c>
      <c r="F123" s="117">
        <v>11.91936114577863</v>
      </c>
      <c r="G123" s="117">
        <v>13.243916856474447</v>
      </c>
      <c r="H123" s="117">
        <v>14.303820511478518</v>
      </c>
      <c r="I123" s="117">
        <v>15.348649974773895</v>
      </c>
      <c r="J123" s="117">
        <v>16.148864713182277</v>
      </c>
      <c r="K123" s="117">
        <v>16.975595581278871</v>
      </c>
      <c r="L123" s="117">
        <v>18.386008303673666</v>
      </c>
      <c r="M123" s="117">
        <v>19.160551240371888</v>
      </c>
      <c r="N123" s="117">
        <v>20.178658132664303</v>
      </c>
      <c r="O123" s="117">
        <v>20.771635450869315</v>
      </c>
      <c r="P123" s="117">
        <v>21.516087473844717</v>
      </c>
      <c r="Q123" s="117">
        <v>21.936779378268245</v>
      </c>
      <c r="R123" s="117">
        <v>22.425262166351093</v>
      </c>
      <c r="S123" s="117">
        <v>22.810633788955219</v>
      </c>
      <c r="T123" s="117">
        <v>23.074796231477915</v>
      </c>
      <c r="U123" s="117">
        <v>23.520859282909161</v>
      </c>
      <c r="V123" s="117">
        <v>23.855504832836939</v>
      </c>
      <c r="W123" s="117">
        <v>24.001009707214717</v>
      </c>
      <c r="X123" s="117">
        <v>24.12724150246467</v>
      </c>
      <c r="Y123" s="117">
        <v>24.238853512854391</v>
      </c>
      <c r="Z123" s="117">
        <v>24.196471400909314</v>
      </c>
      <c r="AA123" s="117">
        <v>24.282994062173962</v>
      </c>
      <c r="AB123" s="117">
        <v>24.360615975774671</v>
      </c>
      <c r="AC123" s="117">
        <v>24.429710931665305</v>
      </c>
      <c r="AD123" s="117">
        <v>24.350593586522439</v>
      </c>
      <c r="AE123" s="117">
        <v>24.406082872421784</v>
      </c>
      <c r="AF123" s="117">
        <v>24.456508162119675</v>
      </c>
    </row>
    <row r="124" spans="1:33" x14ac:dyDescent="0.25">
      <c r="A124" s="115" t="s">
        <v>121</v>
      </c>
      <c r="B124" s="115"/>
      <c r="C124" s="117"/>
      <c r="D124" s="117"/>
      <c r="E124" s="117">
        <v>29.722687028984236</v>
      </c>
      <c r="F124" s="117">
        <v>27.864560680641556</v>
      </c>
      <c r="G124" s="117">
        <v>25.755801598789507</v>
      </c>
      <c r="H124" s="117">
        <v>23.839606562985754</v>
      </c>
      <c r="I124" s="117">
        <v>21.97643311120251</v>
      </c>
      <c r="J124" s="117">
        <v>20.340452377069784</v>
      </c>
      <c r="K124" s="117">
        <v>18.973630568167103</v>
      </c>
      <c r="L124" s="117">
        <v>17.560539148375248</v>
      </c>
      <c r="M124" s="117">
        <v>16.26076222446348</v>
      </c>
      <c r="N124" s="117">
        <v>15.251337152368228</v>
      </c>
      <c r="O124" s="117">
        <v>14.148986884248741</v>
      </c>
      <c r="P124" s="117">
        <v>13.295092529189072</v>
      </c>
      <c r="Q124" s="117">
        <v>12.363172881104234</v>
      </c>
      <c r="R124" s="117">
        <v>11.68616410788178</v>
      </c>
      <c r="S124" s="117">
        <v>11.007306614600727</v>
      </c>
      <c r="T124" s="117">
        <v>10.275766033308949</v>
      </c>
      <c r="U124" s="117">
        <v>9.722429531626652</v>
      </c>
      <c r="V124" s="117">
        <v>9.1782069715144736</v>
      </c>
      <c r="W124" s="117">
        <v>8.6796141548500181</v>
      </c>
      <c r="X124" s="117">
        <v>8.2209556875582219</v>
      </c>
      <c r="Y124" s="117">
        <v>7.8005666605953898</v>
      </c>
      <c r="Z124" s="117">
        <v>7.3681154331021705</v>
      </c>
      <c r="AA124" s="117">
        <v>7.0087843155636724</v>
      </c>
      <c r="AB124" s="117">
        <v>6.6749476727195018</v>
      </c>
      <c r="AC124" s="117">
        <v>6.3641524459400562</v>
      </c>
      <c r="AD124" s="117">
        <v>6.0391762622395149</v>
      </c>
      <c r="AE124" s="117">
        <v>5.7698889158709807</v>
      </c>
      <c r="AF124" s="117">
        <v>5.517859428241767</v>
      </c>
    </row>
    <row r="125" spans="1:33" x14ac:dyDescent="0.25">
      <c r="A125" s="115"/>
      <c r="B125" s="115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</row>
    <row r="126" spans="1:33" x14ac:dyDescent="0.25">
      <c r="A126" s="116" t="s">
        <v>181</v>
      </c>
      <c r="B126" s="115"/>
      <c r="C126" s="117"/>
      <c r="D126" s="117"/>
      <c r="E126" s="118">
        <v>-0.1727067089881632</v>
      </c>
      <c r="F126" s="118">
        <v>-0.18687636328481627</v>
      </c>
      <c r="G126" s="118">
        <v>-0.17465119034659138</v>
      </c>
      <c r="H126" s="118">
        <v>-0.17241689534303506</v>
      </c>
      <c r="I126" s="118">
        <v>-0.17490595857777047</v>
      </c>
      <c r="J126" s="118">
        <v>-0.16225419197442792</v>
      </c>
      <c r="K126" s="118">
        <v>-0.15545911947894075</v>
      </c>
      <c r="L126" s="118">
        <v>-0.2498004712310824</v>
      </c>
      <c r="M126" s="118">
        <v>-0.22343367586817009</v>
      </c>
      <c r="N126" s="118">
        <v>-0.32267091194734565</v>
      </c>
      <c r="O126" s="118">
        <v>-0.23435145575424332</v>
      </c>
      <c r="P126" s="118">
        <v>-0.20745763195629907</v>
      </c>
      <c r="Q126" s="118">
        <v>-7.6950663952179754E-2</v>
      </c>
      <c r="R126" s="118">
        <v>-3.3100641850474899E-2</v>
      </c>
      <c r="S126" s="118">
        <v>-1.3518845225868326E-4</v>
      </c>
      <c r="T126" s="118">
        <v>-0.41994872068155609</v>
      </c>
      <c r="U126" s="118">
        <v>0</v>
      </c>
      <c r="V126" s="118">
        <v>-1</v>
      </c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</row>
    <row r="127" spans="1:33" x14ac:dyDescent="0.25">
      <c r="A127" s="115" t="s">
        <v>16</v>
      </c>
      <c r="B127" s="115" t="s">
        <v>121</v>
      </c>
      <c r="C127" s="117"/>
      <c r="D127" s="117"/>
      <c r="E127" s="117">
        <v>7.9489680787646497</v>
      </c>
      <c r="F127" s="117">
        <v>7.73878507642688</v>
      </c>
      <c r="G127" s="117">
        <v>7.5287467575256803</v>
      </c>
      <c r="H127" s="117">
        <v>7.3168544355734397</v>
      </c>
      <c r="I127" s="117">
        <v>7.0707536022816697</v>
      </c>
      <c r="J127" s="117">
        <v>6.8400851346724201</v>
      </c>
      <c r="K127" s="117">
        <v>6.6116199844031804</v>
      </c>
      <c r="L127" s="117">
        <v>6.3318648479979398</v>
      </c>
      <c r="M127" s="117">
        <v>6.0890555114757801</v>
      </c>
      <c r="N127" s="117">
        <v>5.8572872354065</v>
      </c>
      <c r="O127" s="117">
        <v>5.6267889562563198</v>
      </c>
      <c r="P127" s="117">
        <v>5.4014932836435197</v>
      </c>
      <c r="Q127" s="117">
        <v>5.1799762444250304</v>
      </c>
      <c r="R127" s="117">
        <v>4.9904915677400501</v>
      </c>
      <c r="S127" s="117">
        <v>4.8183950449242303</v>
      </c>
      <c r="T127" s="117">
        <v>4.6589510976164004</v>
      </c>
      <c r="U127" s="117">
        <v>4.5091246776115996</v>
      </c>
      <c r="V127" s="117">
        <v>4.36716761323627</v>
      </c>
      <c r="W127" s="117">
        <v>4.2324836072462899</v>
      </c>
      <c r="X127" s="117">
        <v>4.1041531514201504</v>
      </c>
      <c r="Y127" s="117">
        <v>3.9814982291343899</v>
      </c>
      <c r="Z127" s="117">
        <v>3.8639712943089601</v>
      </c>
      <c r="AA127" s="117">
        <v>3.7511599078422102</v>
      </c>
      <c r="AB127" s="117">
        <v>3.6427156677421202</v>
      </c>
      <c r="AC127" s="117">
        <v>3.53834442543284</v>
      </c>
      <c r="AD127" s="117">
        <v>3.43779294751804</v>
      </c>
      <c r="AE127" s="117">
        <v>3.3408399927906398</v>
      </c>
      <c r="AF127" s="117">
        <v>3.2472897365557101</v>
      </c>
    </row>
    <row r="128" spans="1:33" x14ac:dyDescent="0.25">
      <c r="A128" s="115" t="s">
        <v>17</v>
      </c>
      <c r="B128" s="115" t="s">
        <v>122</v>
      </c>
      <c r="C128" s="117"/>
      <c r="D128" s="117"/>
      <c r="E128" s="117">
        <v>4.2465962255787097</v>
      </c>
      <c r="F128" s="117">
        <v>5.0218459015338199</v>
      </c>
      <c r="G128" s="117">
        <v>5.6669244170239503</v>
      </c>
      <c r="H128" s="117">
        <v>6.2576397046618402</v>
      </c>
      <c r="I128" s="117">
        <v>6.8702171999627</v>
      </c>
      <c r="J128" s="117">
        <v>7.4190350274453802</v>
      </c>
      <c r="K128" s="117">
        <v>7.9515276807594901</v>
      </c>
      <c r="L128" s="117">
        <v>8.6924032991030504</v>
      </c>
      <c r="M128" s="117">
        <v>9.1269570381041305</v>
      </c>
      <c r="N128" s="117">
        <v>9.6787931671022793</v>
      </c>
      <c r="O128" s="117">
        <v>10.1772955478495</v>
      </c>
      <c r="P128" s="117">
        <v>10.6563148362135</v>
      </c>
      <c r="Q128" s="117">
        <v>11.1119654104265</v>
      </c>
      <c r="R128" s="117">
        <v>11.475991040217799</v>
      </c>
      <c r="S128" s="117">
        <v>11.7902382753302</v>
      </c>
      <c r="T128" s="117">
        <v>12.144642661210318</v>
      </c>
      <c r="U128" s="117">
        <v>12.401819200985903</v>
      </c>
      <c r="V128" s="117">
        <v>12.737960990263588</v>
      </c>
      <c r="W128" s="117">
        <v>12.962172759445926</v>
      </c>
      <c r="X128" s="117">
        <v>13.176113052145078</v>
      </c>
      <c r="Y128" s="117">
        <v>13.38129827538752</v>
      </c>
      <c r="Z128" s="117">
        <v>13.578560117381491</v>
      </c>
      <c r="AA128" s="117">
        <v>13.7688501875655</v>
      </c>
      <c r="AB128" s="117">
        <v>13.952785864042884</v>
      </c>
      <c r="AC128" s="117">
        <v>14.130690530735372</v>
      </c>
      <c r="AD128" s="117">
        <v>14.303174645956283</v>
      </c>
      <c r="AE128" s="117">
        <v>14.47041912275731</v>
      </c>
      <c r="AF128" s="117">
        <v>14.632917398041222</v>
      </c>
    </row>
    <row r="129" spans="1:32" x14ac:dyDescent="0.25">
      <c r="A129" s="115" t="s">
        <v>18</v>
      </c>
      <c r="B129" s="115" t="s">
        <v>119</v>
      </c>
      <c r="C129" s="117"/>
      <c r="D129" s="117"/>
      <c r="E129" s="117">
        <v>2.48849631556301</v>
      </c>
      <c r="F129" s="117">
        <v>2.0234551740629301</v>
      </c>
      <c r="G129" s="117">
        <v>1.6700563192998701</v>
      </c>
      <c r="H129" s="117">
        <v>1.38211039367817</v>
      </c>
      <c r="I129" s="117">
        <v>1.14037105041159</v>
      </c>
      <c r="J129" s="117">
        <v>0.95534106707602795</v>
      </c>
      <c r="K129" s="117">
        <v>0.80682458598631701</v>
      </c>
      <c r="L129" s="117">
        <v>0.60527942420611203</v>
      </c>
      <c r="M129" s="117">
        <v>0.47003961752837098</v>
      </c>
      <c r="N129" s="117">
        <v>0.31837150548910997</v>
      </c>
      <c r="O129" s="117">
        <v>0.243760679707067</v>
      </c>
      <c r="P129" s="117">
        <v>0.193190666330981</v>
      </c>
      <c r="Q129" s="117">
        <v>0.178324516287448</v>
      </c>
      <c r="R129" s="117">
        <v>0.17242186034065801</v>
      </c>
      <c r="S129" s="117">
        <v>0.172398550896223</v>
      </c>
      <c r="T129" s="117">
        <v>0.1</v>
      </c>
      <c r="U129" s="117">
        <v>0.1</v>
      </c>
      <c r="V129" s="117">
        <v>0</v>
      </c>
      <c r="W129" s="117">
        <v>0</v>
      </c>
      <c r="X129" s="117">
        <v>0</v>
      </c>
      <c r="Y129" s="117">
        <v>0</v>
      </c>
      <c r="Z129" s="117">
        <v>0</v>
      </c>
      <c r="AA129" s="117">
        <v>0</v>
      </c>
      <c r="AB129" s="117">
        <v>0</v>
      </c>
      <c r="AC129" s="117">
        <v>0</v>
      </c>
      <c r="AD129" s="117">
        <v>0</v>
      </c>
      <c r="AE129" s="117">
        <v>0</v>
      </c>
      <c r="AF129" s="117">
        <v>0</v>
      </c>
    </row>
    <row r="130" spans="1:32" x14ac:dyDescent="0.25">
      <c r="A130" s="115" t="s">
        <v>19</v>
      </c>
      <c r="B130" s="115" t="s">
        <v>120</v>
      </c>
      <c r="C130" s="117"/>
      <c r="D130" s="117"/>
      <c r="E130" s="117">
        <v>1.7786582040888601</v>
      </c>
      <c r="F130" s="117">
        <v>1.9265252819013301</v>
      </c>
      <c r="G130" s="117">
        <v>2.03638531021444</v>
      </c>
      <c r="H130" s="117">
        <v>2.12559346457147</v>
      </c>
      <c r="I130" s="117">
        <v>2.1982511426729099</v>
      </c>
      <c r="J130" s="117">
        <v>2.2572467477070899</v>
      </c>
      <c r="K130" s="117">
        <v>2.3051916127358298</v>
      </c>
      <c r="L130" s="117">
        <v>2.3419243044900702</v>
      </c>
      <c r="M130" s="117">
        <v>2.3565340992783499</v>
      </c>
      <c r="N130" s="117">
        <v>2.3793906189362399</v>
      </c>
      <c r="O130" s="117">
        <v>2.38588562006341</v>
      </c>
      <c r="P130" s="117">
        <v>2.3788005765739402</v>
      </c>
      <c r="Q130" s="117">
        <v>2.3568085546975599</v>
      </c>
      <c r="R130" s="117">
        <v>2.3432921930331698</v>
      </c>
      <c r="S130" s="117">
        <v>2.33284582336305</v>
      </c>
      <c r="T130" s="117">
        <v>2.3239761932950098</v>
      </c>
      <c r="U130" s="117">
        <v>2.31556456598017</v>
      </c>
      <c r="V130" s="117">
        <v>2.3069915073796801</v>
      </c>
      <c r="W130" s="117">
        <v>2.2982812585184602</v>
      </c>
      <c r="X130" s="117">
        <v>2.2891900470093902</v>
      </c>
      <c r="Y130" s="117">
        <v>2.2796386122199102</v>
      </c>
      <c r="Z130" s="117">
        <v>2.2695090473969399</v>
      </c>
      <c r="AA130" s="117">
        <v>2.2587937345584899</v>
      </c>
      <c r="AB130" s="117">
        <v>2.2474607263445701</v>
      </c>
      <c r="AC130" s="117">
        <v>2.2354491289259499</v>
      </c>
      <c r="AD130" s="117">
        <v>2.2227886339983698</v>
      </c>
      <c r="AE130" s="117">
        <v>2.2094329906314698</v>
      </c>
      <c r="AF130" s="117">
        <v>2.19542066164869</v>
      </c>
    </row>
    <row r="131" spans="1:32" x14ac:dyDescent="0.25">
      <c r="A131" s="115" t="s">
        <v>20</v>
      </c>
      <c r="B131" s="115" t="s">
        <v>118</v>
      </c>
      <c r="C131" s="117"/>
      <c r="D131" s="117"/>
      <c r="E131" s="117">
        <v>11.4971015276821</v>
      </c>
      <c r="F131" s="117">
        <v>11.468691124461699</v>
      </c>
      <c r="G131" s="117">
        <v>11.1231087910816</v>
      </c>
      <c r="H131" s="117">
        <v>10.7968973037756</v>
      </c>
      <c r="I131" s="117">
        <v>10.458520536114101</v>
      </c>
      <c r="J131" s="117">
        <v>10.1296204538037</v>
      </c>
      <c r="K131" s="117">
        <v>9.7917646894437098</v>
      </c>
      <c r="L131" s="117">
        <v>9.35442144005372</v>
      </c>
      <c r="M131" s="117">
        <v>9.0137456299428607</v>
      </c>
      <c r="N131" s="117">
        <v>8.7061704109668501</v>
      </c>
      <c r="O131" s="117">
        <v>8.4085465350795197</v>
      </c>
      <c r="P131" s="117">
        <v>8.1251888381271993</v>
      </c>
      <c r="Q131" s="117">
        <v>7.8503950907372904</v>
      </c>
      <c r="R131" s="117">
        <v>7.61043849801848</v>
      </c>
      <c r="S131" s="117">
        <v>7.3904980388108799</v>
      </c>
      <c r="T131" s="117">
        <v>7.1858852289170301</v>
      </c>
      <c r="U131" s="117">
        <v>6.9939262075424704</v>
      </c>
      <c r="V131" s="117">
        <v>6.8130103861414604</v>
      </c>
      <c r="W131" s="117">
        <v>6.6424055308703496</v>
      </c>
      <c r="X131" s="117">
        <v>6.4811288821262902</v>
      </c>
      <c r="Y131" s="117">
        <v>6.3283796245212596</v>
      </c>
      <c r="Z131" s="117">
        <v>6.1834694322150696</v>
      </c>
      <c r="AA131" s="117">
        <v>6.0458175719187599</v>
      </c>
      <c r="AB131" s="117">
        <v>5.9149109314078601</v>
      </c>
      <c r="AC131" s="117">
        <v>5.7902925245879002</v>
      </c>
      <c r="AD131" s="117">
        <v>5.6715512783928297</v>
      </c>
      <c r="AE131" s="117">
        <v>5.5583145333212496</v>
      </c>
      <c r="AF131" s="117">
        <v>5.4502422852915</v>
      </c>
    </row>
    <row r="132" spans="1:32" x14ac:dyDescent="0.25">
      <c r="A132" s="115" t="s">
        <v>21</v>
      </c>
      <c r="B132" s="115" t="s">
        <v>117</v>
      </c>
      <c r="C132" s="117"/>
      <c r="D132" s="117"/>
      <c r="E132" s="117">
        <v>1.4844690776016201</v>
      </c>
      <c r="F132" s="117">
        <v>1.5598223679263801</v>
      </c>
      <c r="G132" s="117">
        <v>1.9867357688092699</v>
      </c>
      <c r="H132" s="117">
        <v>2.3836661432829098</v>
      </c>
      <c r="I132" s="117">
        <v>2.7535252877611001</v>
      </c>
      <c r="J132" s="117">
        <v>3.0972430749887998</v>
      </c>
      <c r="K132" s="117">
        <v>3.4166748409209098</v>
      </c>
      <c r="L132" s="117">
        <v>3.7209288251046901</v>
      </c>
      <c r="M132" s="117">
        <v>3.9522844711806799</v>
      </c>
      <c r="N132" s="117">
        <v>4.2094151235221604</v>
      </c>
      <c r="O132" s="117">
        <v>4.4365808592476501</v>
      </c>
      <c r="P132" s="117">
        <v>4.6419403261194603</v>
      </c>
      <c r="Q132" s="117">
        <v>4.8262258670881799</v>
      </c>
      <c r="R132" s="117">
        <v>5.0065110055374999</v>
      </c>
      <c r="S132" s="117">
        <v>5.1789564128118002</v>
      </c>
      <c r="T132" s="117">
        <v>5.3427892467362197</v>
      </c>
      <c r="U132" s="117">
        <v>5.49747191897929</v>
      </c>
      <c r="V132" s="117">
        <v>5.6432315162625901</v>
      </c>
      <c r="W132" s="117">
        <v>5.7823358619661196</v>
      </c>
      <c r="X132" s="117">
        <v>5.9152952570105999</v>
      </c>
      <c r="Y132" s="117">
        <v>6.0421328864445103</v>
      </c>
      <c r="Z132" s="117">
        <v>6.1633932267120297</v>
      </c>
      <c r="AA132" s="117">
        <v>6.2791073591925297</v>
      </c>
      <c r="AB132" s="117">
        <v>6.3895526133414604</v>
      </c>
      <c r="AC132" s="117">
        <v>6.4952414233406701</v>
      </c>
      <c r="AD132" s="117">
        <v>6.5961784179282903</v>
      </c>
      <c r="AE132" s="117">
        <v>6.6928462072945596</v>
      </c>
      <c r="AF132" s="117">
        <v>6.78522959333253</v>
      </c>
    </row>
    <row r="135" spans="1:32" x14ac:dyDescent="0.25">
      <c r="A135" s="78" t="s">
        <v>526</v>
      </c>
    </row>
    <row r="136" spans="1:32" x14ac:dyDescent="0.25">
      <c r="A136" s="115" t="s">
        <v>532</v>
      </c>
      <c r="E136" s="27">
        <f t="shared" ref="E136:AF136" si="50">E119/E132</f>
        <v>7.6594155578506529</v>
      </c>
      <c r="F136" s="27">
        <f t="shared" si="50"/>
        <v>7.2450455254833335</v>
      </c>
      <c r="G136" s="27">
        <f t="shared" si="50"/>
        <v>7.0298204669890278</v>
      </c>
      <c r="H136" s="27">
        <f t="shared" si="50"/>
        <v>6.8109015866051328</v>
      </c>
      <c r="I136" s="27">
        <f t="shared" si="50"/>
        <v>6.5901594076320764</v>
      </c>
      <c r="J136" s="27">
        <f t="shared" si="50"/>
        <v>6.3671033003784849</v>
      </c>
      <c r="K136" s="27">
        <f t="shared" si="50"/>
        <v>6.1813843241961264</v>
      </c>
      <c r="L136" s="27">
        <f t="shared" si="50"/>
        <v>5.9968354788901603</v>
      </c>
      <c r="M136" s="27">
        <f t="shared" si="50"/>
        <v>5.8176514015702008</v>
      </c>
      <c r="N136" s="27">
        <f t="shared" si="50"/>
        <v>5.667301109463585</v>
      </c>
      <c r="O136" s="27">
        <f t="shared" si="50"/>
        <v>5.4570307456856391</v>
      </c>
      <c r="P136" s="27">
        <f t="shared" si="50"/>
        <v>5.3081732713333274</v>
      </c>
      <c r="Q136" s="27">
        <f t="shared" si="50"/>
        <v>5.1042472881256371</v>
      </c>
      <c r="R136" s="27">
        <f t="shared" si="50"/>
        <v>4.9713856942522616</v>
      </c>
      <c r="S136" s="27">
        <f t="shared" si="50"/>
        <v>4.8096764739386622</v>
      </c>
      <c r="T136" s="27">
        <f t="shared" si="50"/>
        <v>4.6126507862217183</v>
      </c>
      <c r="U136" s="27">
        <f t="shared" si="50"/>
        <v>4.4830885855186011</v>
      </c>
      <c r="V136" s="27">
        <f t="shared" si="50"/>
        <v>4.3491614009236637</v>
      </c>
      <c r="W136" s="27">
        <f t="shared" si="50"/>
        <v>4.2270218896463803</v>
      </c>
      <c r="X136" s="27">
        <f t="shared" si="50"/>
        <v>4.1144421958336856</v>
      </c>
      <c r="Y136" s="27">
        <f t="shared" si="50"/>
        <v>4.0205010956717233</v>
      </c>
      <c r="Z136" s="27">
        <f t="shared" si="50"/>
        <v>3.9070910274682973</v>
      </c>
      <c r="AA136" s="27">
        <f t="shared" si="50"/>
        <v>3.8236260064547913</v>
      </c>
      <c r="AB136" s="27">
        <f t="shared" si="50"/>
        <v>3.7465045152897836</v>
      </c>
      <c r="AC136" s="27">
        <f t="shared" si="50"/>
        <v>3.675212786015031</v>
      </c>
      <c r="AD136" s="27">
        <f t="shared" si="50"/>
        <v>3.5885759058821005</v>
      </c>
      <c r="AE136" s="27">
        <f t="shared" si="50"/>
        <v>3.5281615069310162</v>
      </c>
      <c r="AF136" s="27">
        <f t="shared" si="50"/>
        <v>3.4724181728170818</v>
      </c>
    </row>
    <row r="137" spans="1:32" x14ac:dyDescent="0.25">
      <c r="A137" s="115" t="s">
        <v>533</v>
      </c>
      <c r="E137" s="27">
        <f t="shared" ref="E137:AF137" si="51">E120/E131</f>
        <v>10.374921497983809</v>
      </c>
      <c r="F137" s="27">
        <f t="shared" si="51"/>
        <v>10.070553838458466</v>
      </c>
      <c r="G137" s="27">
        <f t="shared" si="51"/>
        <v>9.8171522752048883</v>
      </c>
      <c r="H137" s="27">
        <f t="shared" si="51"/>
        <v>9.5623253182227756</v>
      </c>
      <c r="I137" s="27">
        <f t="shared" si="51"/>
        <v>9.3009424457580909</v>
      </c>
      <c r="J137" s="27">
        <f t="shared" si="51"/>
        <v>9.0394740123854795</v>
      </c>
      <c r="K137" s="27">
        <f t="shared" si="51"/>
        <v>8.8241999822419448</v>
      </c>
      <c r="L137" s="27">
        <f t="shared" si="51"/>
        <v>8.5992512448737504</v>
      </c>
      <c r="M137" s="27">
        <f t="shared" si="51"/>
        <v>8.3752347294493177</v>
      </c>
      <c r="N137" s="27">
        <f t="shared" si="51"/>
        <v>8.2624969252359044</v>
      </c>
      <c r="O137" s="27">
        <f t="shared" si="51"/>
        <v>8.0655991413239381</v>
      </c>
      <c r="P137" s="27">
        <f t="shared" si="51"/>
        <v>7.9682969494559543</v>
      </c>
      <c r="Q137" s="27">
        <f t="shared" si="51"/>
        <v>7.7906029533957497</v>
      </c>
      <c r="R137" s="27">
        <f t="shared" si="51"/>
        <v>7.7044009545716321</v>
      </c>
      <c r="S137" s="27">
        <f t="shared" si="51"/>
        <v>7.6011625056114358</v>
      </c>
      <c r="T137" s="27">
        <f t="shared" si="51"/>
        <v>7.4224124303226198</v>
      </c>
      <c r="U137" s="27">
        <f t="shared" si="51"/>
        <v>7.3376848862796269</v>
      </c>
      <c r="V137" s="27">
        <f t="shared" si="51"/>
        <v>7.2245733896804136</v>
      </c>
      <c r="W137" s="27">
        <f t="shared" si="51"/>
        <v>7.1203926862126297</v>
      </c>
      <c r="X137" s="27">
        <f t="shared" si="51"/>
        <v>7.0239101693799535</v>
      </c>
      <c r="Y137" s="27">
        <f t="shared" si="51"/>
        <v>6.939811193522571</v>
      </c>
      <c r="Z137" s="27">
        <f t="shared" si="51"/>
        <v>6.8204232525183652</v>
      </c>
      <c r="AA137" s="27">
        <f t="shared" si="51"/>
        <v>6.7467131929362996</v>
      </c>
      <c r="AB137" s="27">
        <f t="shared" si="51"/>
        <v>6.6783021821047894</v>
      </c>
      <c r="AC137" s="27">
        <f t="shared" si="51"/>
        <v>6.6147764358363199</v>
      </c>
      <c r="AD137" s="27">
        <f t="shared" si="51"/>
        <v>6.5178528259946242</v>
      </c>
      <c r="AE137" s="27">
        <f t="shared" si="51"/>
        <v>6.463274556962352</v>
      </c>
      <c r="AF137" s="27">
        <f t="shared" si="51"/>
        <v>6.4124700249863142</v>
      </c>
    </row>
    <row r="138" spans="1:32" x14ac:dyDescent="0.25">
      <c r="A138" s="115" t="s">
        <v>534</v>
      </c>
      <c r="E138" s="27">
        <f t="shared" ref="E138:AF138" si="52">E121/E129</f>
        <v>10.561362215337398</v>
      </c>
      <c r="F138" s="27">
        <f t="shared" si="52"/>
        <v>10.233195392937596</v>
      </c>
      <c r="G138" s="27">
        <f t="shared" si="52"/>
        <v>9.8306266054396421</v>
      </c>
      <c r="H138" s="27">
        <f t="shared" si="52"/>
        <v>9.4585984187420546</v>
      </c>
      <c r="I138" s="27">
        <f t="shared" si="52"/>
        <v>9.1422411525318683</v>
      </c>
      <c r="J138" s="27">
        <f t="shared" si="52"/>
        <v>8.8580225961180243</v>
      </c>
      <c r="K138" s="27">
        <f t="shared" si="52"/>
        <v>8.6496464080123925</v>
      </c>
      <c r="L138" s="27">
        <f t="shared" si="52"/>
        <v>8.5588072210763748</v>
      </c>
      <c r="M138" s="27">
        <f t="shared" si="52"/>
        <v>8.4887236426642154</v>
      </c>
      <c r="N138" s="27">
        <f t="shared" si="52"/>
        <v>8.7367390891431747</v>
      </c>
      <c r="O138" s="27">
        <f t="shared" si="52"/>
        <v>8.9219723646694487</v>
      </c>
      <c r="P138" s="27">
        <f t="shared" si="52"/>
        <v>9.2993618412173085</v>
      </c>
      <c r="Q138" s="27">
        <f t="shared" si="52"/>
        <v>9.3475091516542612</v>
      </c>
      <c r="R138" s="27">
        <f t="shared" si="52"/>
        <v>9.4132657782410973</v>
      </c>
      <c r="S138" s="27">
        <f t="shared" si="52"/>
        <v>9.3980501844400361</v>
      </c>
      <c r="T138" s="27">
        <f t="shared" si="52"/>
        <v>10</v>
      </c>
      <c r="U138" s="27">
        <f t="shared" si="52"/>
        <v>5</v>
      </c>
      <c r="V138" s="27" t="e">
        <f t="shared" si="52"/>
        <v>#DIV/0!</v>
      </c>
      <c r="W138" s="27" t="e">
        <f t="shared" si="52"/>
        <v>#DIV/0!</v>
      </c>
      <c r="X138" s="27" t="e">
        <f t="shared" si="52"/>
        <v>#DIV/0!</v>
      </c>
      <c r="Y138" s="27" t="e">
        <f t="shared" si="52"/>
        <v>#DIV/0!</v>
      </c>
      <c r="Z138" s="27" t="e">
        <f t="shared" si="52"/>
        <v>#DIV/0!</v>
      </c>
      <c r="AA138" s="27" t="e">
        <f t="shared" si="52"/>
        <v>#DIV/0!</v>
      </c>
      <c r="AB138" s="27" t="e">
        <f t="shared" si="52"/>
        <v>#DIV/0!</v>
      </c>
      <c r="AC138" s="27" t="e">
        <f t="shared" si="52"/>
        <v>#DIV/0!</v>
      </c>
      <c r="AD138" s="27" t="e">
        <f t="shared" si="52"/>
        <v>#DIV/0!</v>
      </c>
      <c r="AE138" s="27" t="e">
        <f t="shared" si="52"/>
        <v>#DIV/0!</v>
      </c>
      <c r="AF138" s="27" t="e">
        <f t="shared" si="52"/>
        <v>#DIV/0!</v>
      </c>
    </row>
    <row r="139" spans="1:32" x14ac:dyDescent="0.25">
      <c r="A139" s="115" t="s">
        <v>535</v>
      </c>
      <c r="E139" s="27">
        <f t="shared" ref="E139:AF139" si="53">E122/E130</f>
        <v>17.103882098107498</v>
      </c>
      <c r="F139" s="27">
        <f t="shared" si="53"/>
        <v>17.167384122247711</v>
      </c>
      <c r="G139" s="27">
        <f t="shared" si="53"/>
        <v>17.012468901133488</v>
      </c>
      <c r="H139" s="27">
        <f t="shared" si="53"/>
        <v>16.548553726325121</v>
      </c>
      <c r="I139" s="27">
        <f t="shared" si="53"/>
        <v>16.044318584334917</v>
      </c>
      <c r="J139" s="27">
        <f t="shared" si="53"/>
        <v>15.525113344246844</v>
      </c>
      <c r="K139" s="27">
        <f t="shared" si="53"/>
        <v>15.000550074016463</v>
      </c>
      <c r="L139" s="27">
        <f t="shared" si="53"/>
        <v>14.570943500445951</v>
      </c>
      <c r="M139" s="27">
        <f t="shared" si="53"/>
        <v>14.206787686200276</v>
      </c>
      <c r="N139" s="27">
        <f t="shared" si="53"/>
        <v>13.654774366208978</v>
      </c>
      <c r="O139" s="27">
        <f t="shared" si="53"/>
        <v>13.408298324902457</v>
      </c>
      <c r="P139" s="27">
        <f t="shared" si="53"/>
        <v>13.028496410469938</v>
      </c>
      <c r="Q139" s="27">
        <f t="shared" si="53"/>
        <v>12.836377560087588</v>
      </c>
      <c r="R139" s="27">
        <f t="shared" si="53"/>
        <v>12.413038827614935</v>
      </c>
      <c r="S139" s="27">
        <f t="shared" si="53"/>
        <v>12.158006831999923</v>
      </c>
      <c r="T139" s="27">
        <f t="shared" si="53"/>
        <v>11.903417506737226</v>
      </c>
      <c r="U139" s="27">
        <f t="shared" si="53"/>
        <v>11.615808209683058</v>
      </c>
      <c r="V139" s="27">
        <f t="shared" si="53"/>
        <v>11.458528447359681</v>
      </c>
      <c r="W139" s="27">
        <f t="shared" si="53"/>
        <v>11.254901853327647</v>
      </c>
      <c r="X139" s="27">
        <f t="shared" si="53"/>
        <v>10.986656835290766</v>
      </c>
      <c r="Y139" s="27">
        <f t="shared" si="53"/>
        <v>10.726511336327588</v>
      </c>
      <c r="Z139" s="27">
        <f t="shared" si="53"/>
        <v>10.476820749598817</v>
      </c>
      <c r="AA139" s="27">
        <f t="shared" si="53"/>
        <v>10.174574876027641</v>
      </c>
      <c r="AB139" s="27">
        <f t="shared" si="53"/>
        <v>9.9391385798942995</v>
      </c>
      <c r="AC139" s="27">
        <f t="shared" si="53"/>
        <v>9.7101018737108848</v>
      </c>
      <c r="AD139" s="27">
        <f t="shared" si="53"/>
        <v>9.4867952230206889</v>
      </c>
      <c r="AE139" s="27">
        <f t="shared" si="53"/>
        <v>9.2155923024217454</v>
      </c>
      <c r="AF139" s="27">
        <f t="shared" si="53"/>
        <v>9.0042345903226995</v>
      </c>
    </row>
    <row r="140" spans="1:32" x14ac:dyDescent="0.25">
      <c r="A140" s="115" t="s">
        <v>536</v>
      </c>
      <c r="E140" s="27">
        <f t="shared" ref="E140:AF140" si="54">E123/E128</f>
        <v>2.3720447368288595</v>
      </c>
      <c r="F140" s="27">
        <f t="shared" si="54"/>
        <v>2.3735019710855934</v>
      </c>
      <c r="G140" s="27">
        <f t="shared" si="54"/>
        <v>2.3370554963973986</v>
      </c>
      <c r="H140" s="27">
        <f t="shared" si="54"/>
        <v>2.2858172068970997</v>
      </c>
      <c r="I140" s="27">
        <f t="shared" si="54"/>
        <v>2.2340851137657229</v>
      </c>
      <c r="J140" s="27">
        <f t="shared" si="54"/>
        <v>2.1766799392970202</v>
      </c>
      <c r="K140" s="27">
        <f t="shared" si="54"/>
        <v>2.1348847998548934</v>
      </c>
      <c r="L140" s="27">
        <f t="shared" si="54"/>
        <v>2.1151812302094721</v>
      </c>
      <c r="M140" s="27">
        <f t="shared" si="54"/>
        <v>2.099336192816347</v>
      </c>
      <c r="N140" s="27">
        <f t="shared" si="54"/>
        <v>2.0848320430330638</v>
      </c>
      <c r="O140" s="27">
        <f t="shared" si="54"/>
        <v>2.0409779153223511</v>
      </c>
      <c r="P140" s="27">
        <f t="shared" si="54"/>
        <v>2.0190926980428827</v>
      </c>
      <c r="Q140" s="27">
        <f t="shared" si="54"/>
        <v>1.9741583570521812</v>
      </c>
      <c r="R140" s="27">
        <f t="shared" si="54"/>
        <v>1.9541024463823118</v>
      </c>
      <c r="S140" s="27">
        <f t="shared" si="54"/>
        <v>1.934705071795199</v>
      </c>
      <c r="T140" s="27">
        <f t="shared" si="54"/>
        <v>1.8999979559034892</v>
      </c>
      <c r="U140" s="27">
        <f t="shared" si="54"/>
        <v>1.8965652459309623</v>
      </c>
      <c r="V140" s="27">
        <f t="shared" si="54"/>
        <v>1.8727883411694524</v>
      </c>
      <c r="W140" s="27">
        <f t="shared" si="54"/>
        <v>1.8516193351708308</v>
      </c>
      <c r="X140" s="27">
        <f t="shared" si="54"/>
        <v>1.8311349794116059</v>
      </c>
      <c r="Y140" s="27">
        <f t="shared" si="54"/>
        <v>1.8113977443756246</v>
      </c>
      <c r="Z140" s="27">
        <f t="shared" si="54"/>
        <v>1.7819615034097884</v>
      </c>
      <c r="AA140" s="27">
        <f t="shared" si="54"/>
        <v>1.7636181475853134</v>
      </c>
      <c r="AB140" s="27">
        <f t="shared" si="54"/>
        <v>1.7459320463416093</v>
      </c>
      <c r="AC140" s="27">
        <f t="shared" si="54"/>
        <v>1.7288405600935601</v>
      </c>
      <c r="AD140" s="27">
        <f t="shared" si="54"/>
        <v>1.7024607605841344</v>
      </c>
      <c r="AE140" s="27">
        <f t="shared" si="54"/>
        <v>1.6866189337970781</v>
      </c>
      <c r="AF140" s="27">
        <f t="shared" si="54"/>
        <v>1.6713350794554098</v>
      </c>
    </row>
    <row r="141" spans="1:32" x14ac:dyDescent="0.25">
      <c r="A141" s="115" t="s">
        <v>537</v>
      </c>
      <c r="E141" s="27">
        <f t="shared" ref="E141:AF141" si="55">E124/E127</f>
        <v>3.7391881228441721</v>
      </c>
      <c r="F141" s="27">
        <f t="shared" si="55"/>
        <v>3.6006376201763013</v>
      </c>
      <c r="G141" s="27">
        <f t="shared" si="55"/>
        <v>3.4209945464089619</v>
      </c>
      <c r="H141" s="27">
        <f t="shared" si="55"/>
        <v>3.2581769629147179</v>
      </c>
      <c r="I141" s="27">
        <f t="shared" si="55"/>
        <v>3.1080750860998623</v>
      </c>
      <c r="J141" s="27">
        <f t="shared" si="55"/>
        <v>2.9737133349355473</v>
      </c>
      <c r="K141" s="27">
        <f t="shared" si="55"/>
        <v>2.869740035411279</v>
      </c>
      <c r="L141" s="27">
        <f t="shared" si="55"/>
        <v>2.773359755764162</v>
      </c>
      <c r="M141" s="27">
        <f t="shared" si="55"/>
        <v>2.6704900610312263</v>
      </c>
      <c r="N141" s="27">
        <f t="shared" si="55"/>
        <v>2.6038226468007206</v>
      </c>
      <c r="O141" s="27">
        <f t="shared" si="55"/>
        <v>2.5145757188061499</v>
      </c>
      <c r="P141" s="27">
        <f t="shared" si="55"/>
        <v>2.4613735185876244</v>
      </c>
      <c r="Q141" s="27">
        <f t="shared" si="55"/>
        <v>2.3867238569694496</v>
      </c>
      <c r="R141" s="27">
        <f t="shared" si="55"/>
        <v>2.341685974068056</v>
      </c>
      <c r="S141" s="27">
        <f t="shared" si="55"/>
        <v>2.2844342383665674</v>
      </c>
      <c r="T141" s="27">
        <f t="shared" si="55"/>
        <v>2.2055964568003747</v>
      </c>
      <c r="U141" s="27">
        <f t="shared" si="55"/>
        <v>2.156167821195941</v>
      </c>
      <c r="V141" s="27">
        <f t="shared" si="55"/>
        <v>2.1016383579363018</v>
      </c>
      <c r="W141" s="27">
        <f t="shared" si="55"/>
        <v>2.05071418114649</v>
      </c>
      <c r="X141" s="27">
        <f t="shared" si="55"/>
        <v>2.0030820937355966</v>
      </c>
      <c r="Y141" s="27">
        <f t="shared" si="55"/>
        <v>1.9592038503282962</v>
      </c>
      <c r="Z141" s="27">
        <f t="shared" si="55"/>
        <v>1.9068763383295004</v>
      </c>
      <c r="AA141" s="27">
        <f t="shared" si="55"/>
        <v>1.8684312286743741</v>
      </c>
      <c r="AB141" s="27">
        <f t="shared" si="55"/>
        <v>1.8324097408505295</v>
      </c>
      <c r="AC141" s="27">
        <f t="shared" si="55"/>
        <v>1.7986243510371491</v>
      </c>
      <c r="AD141" s="27">
        <f t="shared" si="55"/>
        <v>1.7567015682545915</v>
      </c>
      <c r="AE141" s="27">
        <f t="shared" si="55"/>
        <v>1.727077300416094</v>
      </c>
      <c r="AF141" s="27">
        <f t="shared" si="55"/>
        <v>1.6992199267363106</v>
      </c>
    </row>
    <row r="142" spans="1:32" x14ac:dyDescent="0.25">
      <c r="E142" s="73"/>
      <c r="AF142" s="73"/>
    </row>
    <row r="143" spans="1:32" x14ac:dyDescent="0.25">
      <c r="E143" s="73"/>
      <c r="AF143" s="73"/>
    </row>
  </sheetData>
  <mergeCells count="3">
    <mergeCell ref="A5:A6"/>
    <mergeCell ref="A37:A38"/>
    <mergeCell ref="AG99:AH10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6BB5-D65D-4325-815F-1CEF01B1795B}">
  <dimension ref="A1:AN135"/>
  <sheetViews>
    <sheetView zoomScale="90" zoomScaleNormal="90" workbookViewId="0">
      <pane ySplit="1" topLeftCell="A131" activePane="bottomLeft" state="frozen"/>
      <selection pane="bottomLeft" activeCell="I33" sqref="I33"/>
    </sheetView>
  </sheetViews>
  <sheetFormatPr baseColWidth="10" defaultRowHeight="15" x14ac:dyDescent="0.25"/>
  <cols>
    <col min="9" max="9" width="53.85546875" customWidth="1"/>
    <col min="10" max="10" width="62" bestFit="1" customWidth="1"/>
    <col min="11" max="11" width="35.42578125" customWidth="1"/>
    <col min="12" max="12" width="11.42578125" customWidth="1"/>
  </cols>
  <sheetData>
    <row r="1" spans="10:39" x14ac:dyDescent="0.25"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2">
        <v>2034</v>
      </c>
      <c r="X1" s="2">
        <v>2035</v>
      </c>
      <c r="Y1" s="2">
        <v>2036</v>
      </c>
      <c r="Z1" s="2">
        <v>2037</v>
      </c>
      <c r="AA1" s="2">
        <v>2038</v>
      </c>
      <c r="AB1" s="2">
        <v>2039</v>
      </c>
      <c r="AC1" s="2">
        <v>2040</v>
      </c>
      <c r="AD1" s="2">
        <v>2041</v>
      </c>
      <c r="AE1" s="2">
        <v>2042</v>
      </c>
      <c r="AF1" s="2">
        <v>2043</v>
      </c>
      <c r="AG1" s="2">
        <v>2044</v>
      </c>
      <c r="AH1" s="2">
        <v>2045</v>
      </c>
      <c r="AI1" s="2">
        <v>2046</v>
      </c>
      <c r="AJ1" s="2">
        <v>2047</v>
      </c>
      <c r="AK1" s="2">
        <v>2048</v>
      </c>
      <c r="AL1" s="2">
        <v>2049</v>
      </c>
      <c r="AM1" s="2">
        <v>2050</v>
      </c>
    </row>
    <row r="2" spans="10:39" x14ac:dyDescent="0.25">
      <c r="J2" s="2" t="s">
        <v>189</v>
      </c>
    </row>
    <row r="3" spans="10:39" x14ac:dyDescent="0.25">
      <c r="J3" t="s">
        <v>24</v>
      </c>
      <c r="K3" t="s">
        <v>123</v>
      </c>
      <c r="L3" s="11">
        <f>VLOOKUP($J3,output!$A$9:$AI$2200,L$1-$L$1+2)</f>
        <v>0</v>
      </c>
      <c r="M3" s="11">
        <f>VLOOKUP($J3,output!$A$9:$AI$2200,M$1-$L$1+2)</f>
        <v>5.8999999999999997E-2</v>
      </c>
      <c r="N3" s="11">
        <f>VLOOKUP($J3,output!$A$9:$AI$2200,N$1-$L$1+2)</f>
        <v>1.4E-2</v>
      </c>
      <c r="O3" s="11">
        <f>VLOOKUP($J3,output!$A$9:$AI$2200,O$1-$L$1+2)</f>
        <v>6.0000000000000001E-3</v>
      </c>
      <c r="P3" s="11">
        <f>VLOOKUP($J3,output!$A$9:$AI$2200,P$1-$L$1+2)</f>
        <v>3.0000000000000001E-3</v>
      </c>
      <c r="Q3" s="11">
        <f>VLOOKUP($J3,output!$A$9:$AI$2200,Q$1-$L$1+2)</f>
        <v>2E-3</v>
      </c>
      <c r="R3" s="11">
        <f>VLOOKUP($J3,output!$A$9:$AI$2200,R$1-$L$1+2)</f>
        <v>2E-3</v>
      </c>
      <c r="S3" s="11">
        <f>VLOOKUP($J3,output!$A$9:$AI$2200,S$1-$L$1+2)</f>
        <v>1E-3</v>
      </c>
      <c r="T3" s="11">
        <f>VLOOKUP($J3,output!$A$9:$AI$2200,T$1-$L$1+2)</f>
        <v>2E-3</v>
      </c>
      <c r="U3" s="11">
        <f>VLOOKUP($J3,output!$A$9:$AI$2200,U$1-$L$1+2)</f>
        <v>2E-3</v>
      </c>
      <c r="V3" s="11">
        <f>VLOOKUP($J3,output!$A$9:$AI$2200,V$1-$L$1+2)</f>
        <v>2E-3</v>
      </c>
      <c r="W3" s="11">
        <f>VLOOKUP($J3,output!$A$9:$AI$2200,W$1-$L$1+2)</f>
        <v>1E-3</v>
      </c>
      <c r="X3" s="11">
        <f>VLOOKUP($J3,output!$A$9:$AI$2200,X$1-$L$1+2)</f>
        <v>1E-3</v>
      </c>
      <c r="Y3" s="11">
        <f>VLOOKUP($J3,output!$A$9:$AI$2200,Y$1-$L$1+2)</f>
        <v>1E-3</v>
      </c>
      <c r="Z3" s="11">
        <f>VLOOKUP($J3,output!$A$9:$AI$2200,Z$1-$L$1+2)</f>
        <v>1E-3</v>
      </c>
      <c r="AA3" s="11">
        <f>VLOOKUP($J3,output!$A$9:$AI$2200,AA$1-$L$1+2)</f>
        <v>1E-3</v>
      </c>
      <c r="AB3" s="11">
        <f>VLOOKUP($J3,output!$A$9:$AI$2200,AB$1-$L$1+2)</f>
        <v>1E-3</v>
      </c>
      <c r="AC3" s="11">
        <f>VLOOKUP($J3,output!$A$9:$AI$2200,AC$1-$L$1+2)</f>
        <v>1E-3</v>
      </c>
      <c r="AD3" s="11">
        <f>VLOOKUP($J3,output!$A$9:$AI$2200,AD$1-$L$1+2)</f>
        <v>0</v>
      </c>
      <c r="AE3" s="11">
        <f>VLOOKUP($J3,output!$A$9:$AI$2200,AE$1-$L$1+2)</f>
        <v>0</v>
      </c>
      <c r="AF3" s="11">
        <f>VLOOKUP($J3,output!$A$9:$AI$2200,AF$1-$L$1+2)</f>
        <v>0</v>
      </c>
      <c r="AG3" s="11">
        <f>VLOOKUP($J3,output!$A$9:$AI$2200,AG$1-$L$1+2)</f>
        <v>0</v>
      </c>
      <c r="AH3" s="11">
        <f>VLOOKUP($J3,output!$A$9:$AI$2200,AH$1-$L$1+2)</f>
        <v>0</v>
      </c>
      <c r="AI3" s="11">
        <f>VLOOKUP($J3,output!$A$9:$AI$2200,AI$1-$L$1+2)</f>
        <v>0</v>
      </c>
      <c r="AJ3" s="11">
        <f>VLOOKUP($J3,output!$A$9:$AI$2200,AJ$1-$L$1+2)</f>
        <v>0</v>
      </c>
      <c r="AK3" s="11">
        <f>VLOOKUP($J3,output!$A$9:$AI$2200,AK$1-$L$1+2)</f>
        <v>0</v>
      </c>
      <c r="AL3" s="11">
        <f>VLOOKUP($J3,output!$A$9:$AI$2200,AL$1-$L$1+2)</f>
        <v>0</v>
      </c>
      <c r="AM3" s="11">
        <f>VLOOKUP($J3,output!$A$9:$AI$2200,AM$1-$L$1+2)</f>
        <v>0</v>
      </c>
    </row>
    <row r="4" spans="10:39" x14ac:dyDescent="0.25">
      <c r="J4" t="s">
        <v>25</v>
      </c>
      <c r="K4" t="s">
        <v>124</v>
      </c>
      <c r="L4" s="11">
        <f>VLOOKUP($J4,output!$A$9:$AI$2200,L$1-$L$1+2)</f>
        <v>0</v>
      </c>
      <c r="M4" s="11">
        <f>VLOOKUP($J4,output!$A$9:$AI$2200,M$1-$L$1+2)</f>
        <v>0.77300000000000002</v>
      </c>
      <c r="N4" s="11">
        <f>VLOOKUP($J4,output!$A$9:$AI$2200,N$1-$L$1+2)</f>
        <v>0.31</v>
      </c>
      <c r="O4" s="11">
        <f>VLOOKUP($J4,output!$A$9:$AI$2200,O$1-$L$1+2)</f>
        <v>0.24099999999999999</v>
      </c>
      <c r="P4" s="11">
        <f>VLOOKUP($J4,output!$A$9:$AI$2200,P$1-$L$1+2)</f>
        <v>0.27900000000000003</v>
      </c>
      <c r="Q4" s="11">
        <f>VLOOKUP($J4,output!$A$9:$AI$2200,Q$1-$L$1+2)</f>
        <v>0.23</v>
      </c>
      <c r="R4" s="11">
        <f>VLOOKUP($J4,output!$A$9:$AI$2200,R$1-$L$1+2)</f>
        <v>0.182</v>
      </c>
      <c r="S4" s="11">
        <f>VLOOKUP($J4,output!$A$9:$AI$2200,S$1-$L$1+2)</f>
        <v>0.16</v>
      </c>
      <c r="T4" s="11">
        <f>VLOOKUP($J4,output!$A$9:$AI$2200,T$1-$L$1+2)</f>
        <v>0.14299999999999999</v>
      </c>
      <c r="U4" s="11">
        <f>VLOOKUP($J4,output!$A$9:$AI$2200,U$1-$L$1+2)</f>
        <v>0.14199999999999999</v>
      </c>
      <c r="V4" s="11">
        <f>VLOOKUP($J4,output!$A$9:$AI$2200,V$1-$L$1+2)</f>
        <v>0.125</v>
      </c>
      <c r="W4" s="11">
        <f>VLOOKUP($J4,output!$A$9:$AI$2200,W$1-$L$1+2)</f>
        <v>0.11</v>
      </c>
      <c r="X4" s="11">
        <f>VLOOKUP($J4,output!$A$9:$AI$2200,X$1-$L$1+2)</f>
        <v>9.7000000000000003E-2</v>
      </c>
      <c r="Y4" s="11">
        <f>VLOOKUP($J4,output!$A$9:$AI$2200,Y$1-$L$1+2)</f>
        <v>6.4000000000000001E-2</v>
      </c>
      <c r="Z4" s="11">
        <f>VLOOKUP($J4,output!$A$9:$AI$2200,Z$1-$L$1+2)</f>
        <v>5.7000000000000002E-2</v>
      </c>
      <c r="AA4" s="11">
        <f>VLOOKUP($J4,output!$A$9:$AI$2200,AA$1-$L$1+2)</f>
        <v>0.05</v>
      </c>
      <c r="AB4" s="11">
        <f>VLOOKUP($J4,output!$A$9:$AI$2200,AB$1-$L$1+2)</f>
        <v>4.3999999999999997E-2</v>
      </c>
      <c r="AC4" s="11">
        <f>VLOOKUP($J4,output!$A$9:$AI$2200,AC$1-$L$1+2)</f>
        <v>3.7999999999999999E-2</v>
      </c>
      <c r="AD4" s="11">
        <f>VLOOKUP($J4,output!$A$9:$AI$2200,AD$1-$L$1+2)</f>
        <v>3.3000000000000002E-2</v>
      </c>
      <c r="AE4" s="11">
        <f>VLOOKUP($J4,output!$A$9:$AI$2200,AE$1-$L$1+2)</f>
        <v>2.8000000000000001E-2</v>
      </c>
      <c r="AF4" s="11">
        <f>VLOOKUP($J4,output!$A$9:$AI$2200,AF$1-$L$1+2)</f>
        <v>2.4E-2</v>
      </c>
      <c r="AG4" s="11">
        <f>VLOOKUP($J4,output!$A$9:$AI$2200,AG$1-$L$1+2)</f>
        <v>1.9E-2</v>
      </c>
      <c r="AH4" s="11">
        <f>VLOOKUP($J4,output!$A$9:$AI$2200,AH$1-$L$1+2)</f>
        <v>1.6E-2</v>
      </c>
      <c r="AI4" s="11">
        <f>VLOOKUP($J4,output!$A$9:$AI$2200,AI$1-$L$1+2)</f>
        <v>1.2999999999999999E-2</v>
      </c>
      <c r="AJ4" s="11">
        <f>VLOOKUP($J4,output!$A$9:$AI$2200,AJ$1-$L$1+2)</f>
        <v>1.0999999999999999E-2</v>
      </c>
      <c r="AK4" s="11">
        <f>VLOOKUP($J4,output!$A$9:$AI$2200,AK$1-$L$1+2)</f>
        <v>8.0000000000000002E-3</v>
      </c>
      <c r="AL4" s="11">
        <f>VLOOKUP($J4,output!$A$9:$AI$2200,AL$1-$L$1+2)</f>
        <v>6.0000000000000001E-3</v>
      </c>
      <c r="AM4" s="11">
        <f>VLOOKUP($J4,output!$A$9:$AI$2200,AM$1-$L$1+2)</f>
        <v>4.0000000000000001E-3</v>
      </c>
    </row>
    <row r="5" spans="10:39" x14ac:dyDescent="0.25">
      <c r="J5" t="s">
        <v>26</v>
      </c>
      <c r="K5" t="s">
        <v>125</v>
      </c>
      <c r="L5" s="11">
        <f>VLOOKUP($J5,output!$A$9:$AI$2200,L$1-$L$1+2)</f>
        <v>0</v>
      </c>
      <c r="M5" s="11">
        <f>VLOOKUP($J5,output!$A$9:$AI$2200,M$1-$L$1+2)</f>
        <v>61.33</v>
      </c>
      <c r="N5" s="11">
        <f>VLOOKUP($J5,output!$A$9:$AI$2200,N$1-$L$1+2)</f>
        <v>40.121000000000002</v>
      </c>
      <c r="O5" s="11">
        <f>VLOOKUP($J5,output!$A$9:$AI$2200,O$1-$L$1+2)</f>
        <v>29.405000000000001</v>
      </c>
      <c r="P5" s="11">
        <f>VLOOKUP($J5,output!$A$9:$AI$2200,P$1-$L$1+2)</f>
        <v>29.236999999999998</v>
      </c>
      <c r="Q5" s="11">
        <f>VLOOKUP($J5,output!$A$9:$AI$2200,Q$1-$L$1+2)</f>
        <v>22.59</v>
      </c>
      <c r="R5" s="11">
        <f>VLOOKUP($J5,output!$A$9:$AI$2200,R$1-$L$1+2)</f>
        <v>17.082999999999998</v>
      </c>
      <c r="S5" s="11">
        <f>VLOOKUP($J5,output!$A$9:$AI$2200,S$1-$L$1+2)</f>
        <v>13.109</v>
      </c>
      <c r="T5" s="11">
        <f>VLOOKUP($J5,output!$A$9:$AI$2200,T$1-$L$1+2)</f>
        <v>12.311</v>
      </c>
      <c r="U5" s="11">
        <f>VLOOKUP($J5,output!$A$9:$AI$2200,U$1-$L$1+2)</f>
        <v>9.9390000000000001</v>
      </c>
      <c r="V5" s="11">
        <f>VLOOKUP($J5,output!$A$9:$AI$2200,V$1-$L$1+2)</f>
        <v>8.3919999999999995</v>
      </c>
      <c r="W5" s="11">
        <f>VLOOKUP($J5,output!$A$9:$AI$2200,W$1-$L$1+2)</f>
        <v>7.2089999999999996</v>
      </c>
      <c r="X5" s="11">
        <f>VLOOKUP($J5,output!$A$9:$AI$2200,X$1-$L$1+2)</f>
        <v>6.1890000000000001</v>
      </c>
      <c r="Y5" s="11">
        <f>VLOOKUP($J5,output!$A$9:$AI$2200,Y$1-$L$1+2)</f>
        <v>5.15</v>
      </c>
      <c r="Z5" s="11">
        <f>VLOOKUP($J5,output!$A$9:$AI$2200,Z$1-$L$1+2)</f>
        <v>4.6310000000000002</v>
      </c>
      <c r="AA5" s="11">
        <f>VLOOKUP($J5,output!$A$9:$AI$2200,AA$1-$L$1+2)</f>
        <v>4.04</v>
      </c>
      <c r="AB5" s="11">
        <f>VLOOKUP($J5,output!$A$9:$AI$2200,AB$1-$L$1+2)</f>
        <v>3.5059999999999998</v>
      </c>
      <c r="AC5" s="11">
        <f>VLOOKUP($J5,output!$A$9:$AI$2200,AC$1-$L$1+2)</f>
        <v>3.0739999999999998</v>
      </c>
      <c r="AD5" s="11">
        <f>VLOOKUP($J5,output!$A$9:$AI$2200,AD$1-$L$1+2)</f>
        <v>2.468</v>
      </c>
      <c r="AE5" s="11">
        <f>VLOOKUP($J5,output!$A$9:$AI$2200,AE$1-$L$1+2)</f>
        <v>2.0449999999999999</v>
      </c>
      <c r="AF5" s="11">
        <f>VLOOKUP($J5,output!$A$9:$AI$2200,AF$1-$L$1+2)</f>
        <v>1.6719999999999999</v>
      </c>
      <c r="AG5" s="11">
        <f>VLOOKUP($J5,output!$A$9:$AI$2200,AG$1-$L$1+2)</f>
        <v>0.78300000000000003</v>
      </c>
      <c r="AH5" s="11">
        <f>VLOOKUP($J5,output!$A$9:$AI$2200,AH$1-$L$1+2)</f>
        <v>0.72599999999999998</v>
      </c>
      <c r="AI5" s="11">
        <f>VLOOKUP($J5,output!$A$9:$AI$2200,AI$1-$L$1+2)</f>
        <v>0.56200000000000006</v>
      </c>
      <c r="AJ5" s="11">
        <f>VLOOKUP($J5,output!$A$9:$AI$2200,AJ$1-$L$1+2)</f>
        <v>0.45800000000000002</v>
      </c>
      <c r="AK5" s="11">
        <f>VLOOKUP($J5,output!$A$9:$AI$2200,AK$1-$L$1+2)</f>
        <v>0.34200000000000003</v>
      </c>
      <c r="AL5" s="11">
        <f>VLOOKUP($J5,output!$A$9:$AI$2200,AL$1-$L$1+2)</f>
        <v>0.245</v>
      </c>
      <c r="AM5" s="11">
        <f>VLOOKUP($J5,output!$A$9:$AI$2200,AM$1-$L$1+2)</f>
        <v>0.159</v>
      </c>
    </row>
    <row r="6" spans="10:39" x14ac:dyDescent="0.25">
      <c r="J6" t="s">
        <v>27</v>
      </c>
      <c r="K6" t="s">
        <v>126</v>
      </c>
      <c r="L6" s="11">
        <f>VLOOKUP($J6,output!$A$9:$AI$2200,L$1-$L$1+2)</f>
        <v>0</v>
      </c>
      <c r="M6" s="11">
        <f>VLOOKUP($J6,output!$A$9:$AI$2200,M$1-$L$1+2)</f>
        <v>251.61500000000001</v>
      </c>
      <c r="N6" s="11">
        <f>VLOOKUP($J6,output!$A$9:$AI$2200,N$1-$L$1+2)</f>
        <v>184.15899999999999</v>
      </c>
      <c r="O6" s="11">
        <f>VLOOKUP($J6,output!$A$9:$AI$2200,O$1-$L$1+2)</f>
        <v>210.072</v>
      </c>
      <c r="P6" s="11">
        <f>VLOOKUP($J6,output!$A$9:$AI$2200,P$1-$L$1+2)</f>
        <v>221.142</v>
      </c>
      <c r="Q6" s="11">
        <f>VLOOKUP($J6,output!$A$9:$AI$2200,Q$1-$L$1+2)</f>
        <v>192.73400000000001</v>
      </c>
      <c r="R6" s="11">
        <f>VLOOKUP($J6,output!$A$9:$AI$2200,R$1-$L$1+2)</f>
        <v>166.14699999999999</v>
      </c>
      <c r="S6" s="11">
        <f>VLOOKUP($J6,output!$A$9:$AI$2200,S$1-$L$1+2)</f>
        <v>168.64699999999999</v>
      </c>
      <c r="T6" s="11">
        <f>VLOOKUP($J6,output!$A$9:$AI$2200,T$1-$L$1+2)</f>
        <v>168.32599999999999</v>
      </c>
      <c r="U6" s="11">
        <f>VLOOKUP($J6,output!$A$9:$AI$2200,U$1-$L$1+2)</f>
        <v>156.03399999999999</v>
      </c>
      <c r="V6" s="11">
        <f>VLOOKUP($J6,output!$A$9:$AI$2200,V$1-$L$1+2)</f>
        <v>144.17099999999999</v>
      </c>
      <c r="W6" s="11">
        <f>VLOOKUP($J6,output!$A$9:$AI$2200,W$1-$L$1+2)</f>
        <v>132.35599999999999</v>
      </c>
      <c r="X6" s="11">
        <f>VLOOKUP($J6,output!$A$9:$AI$2200,X$1-$L$1+2)</f>
        <v>122.339</v>
      </c>
      <c r="Y6" s="11">
        <f>VLOOKUP($J6,output!$A$9:$AI$2200,Y$1-$L$1+2)</f>
        <v>83.052999999999997</v>
      </c>
      <c r="Z6" s="11">
        <f>VLOOKUP($J6,output!$A$9:$AI$2200,Z$1-$L$1+2)</f>
        <v>78.012</v>
      </c>
      <c r="AA6" s="11">
        <f>VLOOKUP($J6,output!$A$9:$AI$2200,AA$1-$L$1+2)</f>
        <v>72.119</v>
      </c>
      <c r="AB6" s="11">
        <f>VLOOKUP($J6,output!$A$9:$AI$2200,AB$1-$L$1+2)</f>
        <v>66.459999999999994</v>
      </c>
      <c r="AC6" s="11">
        <f>VLOOKUP($J6,output!$A$9:$AI$2200,AC$1-$L$1+2)</f>
        <v>75.507000000000005</v>
      </c>
      <c r="AD6" s="11">
        <f>VLOOKUP($J6,output!$A$9:$AI$2200,AD$1-$L$1+2)</f>
        <v>52.606999999999999</v>
      </c>
      <c r="AE6" s="11">
        <f>VLOOKUP($J6,output!$A$9:$AI$2200,AE$1-$L$1+2)</f>
        <v>47.72</v>
      </c>
      <c r="AF6" s="11">
        <f>VLOOKUP($J6,output!$A$9:$AI$2200,AF$1-$L$1+2)</f>
        <v>42.865000000000002</v>
      </c>
      <c r="AG6" s="11">
        <f>VLOOKUP($J6,output!$A$9:$AI$2200,AG$1-$L$1+2)</f>
        <v>15.28</v>
      </c>
      <c r="AH6" s="11">
        <f>VLOOKUP($J6,output!$A$9:$AI$2200,AH$1-$L$1+2)</f>
        <v>17.327999999999999</v>
      </c>
      <c r="AI6" s="11">
        <f>VLOOKUP($J6,output!$A$9:$AI$2200,AI$1-$L$1+2)</f>
        <v>13.885</v>
      </c>
      <c r="AJ6" s="11">
        <f>VLOOKUP($J6,output!$A$9:$AI$2200,AJ$1-$L$1+2)</f>
        <v>12.832000000000001</v>
      </c>
      <c r="AK6" s="11">
        <f>VLOOKUP($J6,output!$A$9:$AI$2200,AK$1-$L$1+2)</f>
        <v>10.260999999999999</v>
      </c>
      <c r="AL6" s="11">
        <f>VLOOKUP($J6,output!$A$9:$AI$2200,AL$1-$L$1+2)</f>
        <v>7.8470000000000004</v>
      </c>
      <c r="AM6" s="11">
        <f>VLOOKUP($J6,output!$A$9:$AI$2200,AM$1-$L$1+2)</f>
        <v>5.6710000000000003</v>
      </c>
    </row>
    <row r="7" spans="10:39" x14ac:dyDescent="0.25">
      <c r="J7" t="s">
        <v>28</v>
      </c>
      <c r="K7" t="s">
        <v>127</v>
      </c>
      <c r="L7" s="11">
        <f>VLOOKUP($J7,output!$A$9:$AI$2200,L$1-$L$1+2)</f>
        <v>0</v>
      </c>
      <c r="M7" s="11">
        <f>VLOOKUP($J7,output!$A$9:$AI$2200,M$1-$L$1+2)</f>
        <v>354.06599999999997</v>
      </c>
      <c r="N7" s="11">
        <f>VLOOKUP($J7,output!$A$9:$AI$2200,N$1-$L$1+2)</f>
        <v>275.01600000000002</v>
      </c>
      <c r="O7" s="11">
        <f>VLOOKUP($J7,output!$A$9:$AI$2200,O$1-$L$1+2)</f>
        <v>332.51100000000002</v>
      </c>
      <c r="P7" s="11">
        <f>VLOOKUP($J7,output!$A$9:$AI$2200,P$1-$L$1+2)</f>
        <v>348.66500000000002</v>
      </c>
      <c r="Q7" s="11">
        <f>VLOOKUP($J7,output!$A$9:$AI$2200,Q$1-$L$1+2)</f>
        <v>341.08800000000002</v>
      </c>
      <c r="R7" s="11">
        <f>VLOOKUP($J7,output!$A$9:$AI$2200,R$1-$L$1+2)</f>
        <v>331.27100000000002</v>
      </c>
      <c r="S7" s="11">
        <f>VLOOKUP($J7,output!$A$9:$AI$2200,S$1-$L$1+2)</f>
        <v>362.798</v>
      </c>
      <c r="T7" s="11">
        <f>VLOOKUP($J7,output!$A$9:$AI$2200,T$1-$L$1+2)</f>
        <v>439.12200000000001</v>
      </c>
      <c r="U7" s="11">
        <f>VLOOKUP($J7,output!$A$9:$AI$2200,U$1-$L$1+2)</f>
        <v>422.20699999999999</v>
      </c>
      <c r="V7" s="11">
        <f>VLOOKUP($J7,output!$A$9:$AI$2200,V$1-$L$1+2)</f>
        <v>417.22699999999998</v>
      </c>
      <c r="W7" s="11">
        <f>VLOOKUP($J7,output!$A$9:$AI$2200,W$1-$L$1+2)</f>
        <v>412.24</v>
      </c>
      <c r="X7" s="11">
        <f>VLOOKUP($J7,output!$A$9:$AI$2200,X$1-$L$1+2)</f>
        <v>408.51</v>
      </c>
      <c r="Y7" s="11">
        <f>VLOOKUP($J7,output!$A$9:$AI$2200,Y$1-$L$1+2)</f>
        <v>308.73700000000002</v>
      </c>
      <c r="Z7" s="11">
        <f>VLOOKUP($J7,output!$A$9:$AI$2200,Z$1-$L$1+2)</f>
        <v>326.73099999999999</v>
      </c>
      <c r="AA7" s="11">
        <f>VLOOKUP($J7,output!$A$9:$AI$2200,AA$1-$L$1+2)</f>
        <v>325.14</v>
      </c>
      <c r="AB7" s="11">
        <f>VLOOKUP($J7,output!$A$9:$AI$2200,AB$1-$L$1+2)</f>
        <v>301.05599999999998</v>
      </c>
      <c r="AC7" s="11">
        <f>VLOOKUP($J7,output!$A$9:$AI$2200,AC$1-$L$1+2)</f>
        <v>372.75299999999999</v>
      </c>
      <c r="AD7" s="11">
        <f>VLOOKUP($J7,output!$A$9:$AI$2200,AD$1-$L$1+2)</f>
        <v>289.50299999999999</v>
      </c>
      <c r="AE7" s="11">
        <f>VLOOKUP($J7,output!$A$9:$AI$2200,AE$1-$L$1+2)</f>
        <v>282.084</v>
      </c>
      <c r="AF7" s="11">
        <f>VLOOKUP($J7,output!$A$9:$AI$2200,AF$1-$L$1+2)</f>
        <v>255.803</v>
      </c>
      <c r="AG7" s="11">
        <f>VLOOKUP($J7,output!$A$9:$AI$2200,AG$1-$L$1+2)</f>
        <v>119.97</v>
      </c>
      <c r="AH7" s="11">
        <f>VLOOKUP($J7,output!$A$9:$AI$2200,AH$1-$L$1+2)</f>
        <v>125.964</v>
      </c>
      <c r="AI7" s="11">
        <f>VLOOKUP($J7,output!$A$9:$AI$2200,AI$1-$L$1+2)</f>
        <v>127.764</v>
      </c>
      <c r="AJ7" s="11">
        <f>VLOOKUP($J7,output!$A$9:$AI$2200,AJ$1-$L$1+2)</f>
        <v>116.226</v>
      </c>
      <c r="AK7" s="11">
        <f>VLOOKUP($J7,output!$A$9:$AI$2200,AK$1-$L$1+2)</f>
        <v>109.31</v>
      </c>
      <c r="AL7" s="11">
        <f>VLOOKUP($J7,output!$A$9:$AI$2200,AL$1-$L$1+2)</f>
        <v>102.51300000000001</v>
      </c>
      <c r="AM7" s="11">
        <f>VLOOKUP($J7,output!$A$9:$AI$2200,AM$1-$L$1+2)</f>
        <v>95.671999999999997</v>
      </c>
    </row>
    <row r="8" spans="10:39" x14ac:dyDescent="0.25">
      <c r="J8" t="s">
        <v>29</v>
      </c>
      <c r="K8" t="s">
        <v>128</v>
      </c>
      <c r="L8" s="11">
        <f>VLOOKUP($J8,output!$A$9:$AI$2200,L$1-$L$1+2)</f>
        <v>0</v>
      </c>
      <c r="M8" s="11">
        <f>VLOOKUP($J8,output!$A$9:$AI$2200,M$1-$L$1+2)</f>
        <v>385.95299999999997</v>
      </c>
      <c r="N8" s="11">
        <f>VLOOKUP($J8,output!$A$9:$AI$2200,N$1-$L$1+2)</f>
        <v>333.73599999999999</v>
      </c>
      <c r="O8" s="11">
        <f>VLOOKUP($J8,output!$A$9:$AI$2200,O$1-$L$1+2)</f>
        <v>470.83</v>
      </c>
      <c r="P8" s="11">
        <f>VLOOKUP($J8,output!$A$9:$AI$2200,P$1-$L$1+2)</f>
        <v>468.452</v>
      </c>
      <c r="Q8" s="11">
        <f>VLOOKUP($J8,output!$A$9:$AI$2200,Q$1-$L$1+2)</f>
        <v>549.61</v>
      </c>
      <c r="R8" s="11">
        <f>VLOOKUP($J8,output!$A$9:$AI$2200,R$1-$L$1+2)</f>
        <v>624.923</v>
      </c>
      <c r="S8" s="11">
        <f>VLOOKUP($J8,output!$A$9:$AI$2200,S$1-$L$1+2)</f>
        <v>694.25400000000002</v>
      </c>
      <c r="T8" s="11">
        <f>VLOOKUP($J8,output!$A$9:$AI$2200,T$1-$L$1+2)</f>
        <v>754.02700000000004</v>
      </c>
      <c r="U8" s="11">
        <f>VLOOKUP($J8,output!$A$9:$AI$2200,U$1-$L$1+2)</f>
        <v>801.86900000000003</v>
      </c>
      <c r="V8" s="11">
        <f>VLOOKUP($J8,output!$A$9:$AI$2200,V$1-$L$1+2)</f>
        <v>753.399</v>
      </c>
      <c r="W8" s="11">
        <f>VLOOKUP($J8,output!$A$9:$AI$2200,W$1-$L$1+2)</f>
        <v>713.75400000000002</v>
      </c>
      <c r="X8" s="11">
        <f>VLOOKUP($J8,output!$A$9:$AI$2200,X$1-$L$1+2)</f>
        <v>668.20299999999997</v>
      </c>
      <c r="Y8" s="11">
        <f>VLOOKUP($J8,output!$A$9:$AI$2200,Y$1-$L$1+2)</f>
        <v>599.50300000000004</v>
      </c>
      <c r="Z8" s="11">
        <f>VLOOKUP($J8,output!$A$9:$AI$2200,Z$1-$L$1+2)</f>
        <v>698.79</v>
      </c>
      <c r="AA8" s="11">
        <f>VLOOKUP($J8,output!$A$9:$AI$2200,AA$1-$L$1+2)</f>
        <v>634.58000000000004</v>
      </c>
      <c r="AB8" s="11">
        <f>VLOOKUP($J8,output!$A$9:$AI$2200,AB$1-$L$1+2)</f>
        <v>544.91300000000001</v>
      </c>
      <c r="AC8" s="11">
        <f>VLOOKUP($J8,output!$A$9:$AI$2200,AC$1-$L$1+2)</f>
        <v>621.20899999999995</v>
      </c>
      <c r="AD8" s="11">
        <f>VLOOKUP($J8,output!$A$9:$AI$2200,AD$1-$L$1+2)</f>
        <v>514.50800000000004</v>
      </c>
      <c r="AE8" s="11">
        <f>VLOOKUP($J8,output!$A$9:$AI$2200,AE$1-$L$1+2)</f>
        <v>489.74099999999999</v>
      </c>
      <c r="AF8" s="11">
        <f>VLOOKUP($J8,output!$A$9:$AI$2200,AF$1-$L$1+2)</f>
        <v>428.56200000000001</v>
      </c>
      <c r="AG8" s="11">
        <f>VLOOKUP($J8,output!$A$9:$AI$2200,AG$1-$L$1+2)</f>
        <v>358.36</v>
      </c>
      <c r="AH8" s="11">
        <f>VLOOKUP($J8,output!$A$9:$AI$2200,AH$1-$L$1+2)</f>
        <v>335.13400000000001</v>
      </c>
      <c r="AI8" s="11">
        <f>VLOOKUP($J8,output!$A$9:$AI$2200,AI$1-$L$1+2)</f>
        <v>345.25099999999998</v>
      </c>
      <c r="AJ8" s="11">
        <f>VLOOKUP($J8,output!$A$9:$AI$2200,AJ$1-$L$1+2)</f>
        <v>310.822</v>
      </c>
      <c r="AK8" s="11">
        <f>VLOOKUP($J8,output!$A$9:$AI$2200,AK$1-$L$1+2)</f>
        <v>301.54300000000001</v>
      </c>
      <c r="AL8" s="11">
        <f>VLOOKUP($J8,output!$A$9:$AI$2200,AL$1-$L$1+2)</f>
        <v>294.68299999999999</v>
      </c>
      <c r="AM8" s="11">
        <f>VLOOKUP($J8,output!$A$9:$AI$2200,AM$1-$L$1+2)</f>
        <v>287.11099999999999</v>
      </c>
    </row>
    <row r="9" spans="10:39" x14ac:dyDescent="0.25">
      <c r="J9" t="s">
        <v>22</v>
      </c>
      <c r="K9" t="s">
        <v>190</v>
      </c>
      <c r="L9" s="11">
        <f>VLOOKUP($J9,output!$A$9:$AI$2200,L$1-$L$1+2)</f>
        <v>0</v>
      </c>
      <c r="M9" s="11">
        <f>VLOOKUP($J9,output!$A$9:$AI$2200,M$1-$L$1+2)</f>
        <v>2381.4870000000001</v>
      </c>
      <c r="N9" s="11">
        <f>VLOOKUP($J9,output!$A$9:$AI$2200,N$1-$L$1+2)</f>
        <v>2217.3580000000002</v>
      </c>
      <c r="O9" s="11">
        <f>VLOOKUP($J9,output!$A$9:$AI$2200,O$1-$L$1+2)</f>
        <v>2395.3539999999998</v>
      </c>
      <c r="P9" s="11">
        <f>VLOOKUP($J9,output!$A$9:$AI$2200,P$1-$L$1+2)</f>
        <v>2436.6770000000001</v>
      </c>
      <c r="Q9" s="11">
        <f>VLOOKUP($J9,output!$A$9:$AI$2200,Q$1-$L$1+2)</f>
        <v>2442.248</v>
      </c>
      <c r="R9" s="11">
        <f>VLOOKUP($J9,output!$A$9:$AI$2200,R$1-$L$1+2)</f>
        <v>2416.5450000000001</v>
      </c>
      <c r="S9" s="11">
        <f>VLOOKUP($J9,output!$A$9:$AI$2200,S$1-$L$1+2)</f>
        <v>2458.2269999999999</v>
      </c>
      <c r="T9" s="11">
        <f>VLOOKUP($J9,output!$A$9:$AI$2200,T$1-$L$1+2)</f>
        <v>2677.377</v>
      </c>
      <c r="U9" s="11">
        <f>VLOOKUP($J9,output!$A$9:$AI$2200,U$1-$L$1+2)</f>
        <v>2620.5010000000002</v>
      </c>
      <c r="V9" s="11">
        <f>VLOOKUP($J9,output!$A$9:$AI$2200,V$1-$L$1+2)</f>
        <v>2587.3029999999999</v>
      </c>
      <c r="W9" s="11">
        <f>VLOOKUP($J9,output!$A$9:$AI$2200,W$1-$L$1+2)</f>
        <v>2593.4470000000001</v>
      </c>
      <c r="X9" s="11">
        <f>VLOOKUP($J9,output!$A$9:$AI$2200,X$1-$L$1+2)</f>
        <v>2555.9029999999998</v>
      </c>
      <c r="Y9" s="11">
        <f>VLOOKUP($J9,output!$A$9:$AI$2200,Y$1-$L$1+2)</f>
        <v>2312.1970000000001</v>
      </c>
      <c r="Z9" s="11">
        <f>VLOOKUP($J9,output!$A$9:$AI$2200,Z$1-$L$1+2)</f>
        <v>2736.3270000000002</v>
      </c>
      <c r="AA9" s="11">
        <f>VLOOKUP($J9,output!$A$9:$AI$2200,AA$1-$L$1+2)</f>
        <v>2671.7739999999999</v>
      </c>
      <c r="AB9" s="11">
        <f>VLOOKUP($J9,output!$A$9:$AI$2200,AB$1-$L$1+2)</f>
        <v>2475.6819999999998</v>
      </c>
      <c r="AC9" s="11">
        <f>VLOOKUP($J9,output!$A$9:$AI$2200,AC$1-$L$1+2)</f>
        <v>2869.4560000000001</v>
      </c>
      <c r="AD9" s="11">
        <f>VLOOKUP($J9,output!$A$9:$AI$2200,AD$1-$L$1+2)</f>
        <v>2571.547</v>
      </c>
      <c r="AE9" s="11">
        <f>VLOOKUP($J9,output!$A$9:$AI$2200,AE$1-$L$1+2)</f>
        <v>2509.4110000000001</v>
      </c>
      <c r="AF9" s="11">
        <f>VLOOKUP($J9,output!$A$9:$AI$2200,AF$1-$L$1+2)</f>
        <v>2286.3319999999999</v>
      </c>
      <c r="AG9" s="11">
        <f>VLOOKUP($J9,output!$A$9:$AI$2200,AG$1-$L$1+2)</f>
        <v>2613.8609999999999</v>
      </c>
      <c r="AH9" s="11">
        <f>VLOOKUP($J9,output!$A$9:$AI$2200,AH$1-$L$1+2)</f>
        <v>2307.3409999999999</v>
      </c>
      <c r="AI9" s="11">
        <f>VLOOKUP($J9,output!$A$9:$AI$2200,AI$1-$L$1+2)</f>
        <v>2492.645</v>
      </c>
      <c r="AJ9" s="11">
        <f>VLOOKUP($J9,output!$A$9:$AI$2200,AJ$1-$L$1+2)</f>
        <v>2347.4140000000002</v>
      </c>
      <c r="AK9" s="11">
        <f>VLOOKUP($J9,output!$A$9:$AI$2200,AK$1-$L$1+2)</f>
        <v>2416.0770000000002</v>
      </c>
      <c r="AL9" s="11">
        <f>VLOOKUP($J9,output!$A$9:$AI$2200,AL$1-$L$1+2)</f>
        <v>2505.509</v>
      </c>
      <c r="AM9" s="11">
        <f>VLOOKUP($J9,output!$A$9:$AI$2200,AM$1-$L$1+2)</f>
        <v>2582.9430000000002</v>
      </c>
    </row>
    <row r="10" spans="10:39" ht="30" x14ac:dyDescent="0.25">
      <c r="K10" s="19" t="s">
        <v>352</v>
      </c>
    </row>
    <row r="12" spans="10:39" x14ac:dyDescent="0.25">
      <c r="J12" t="s">
        <v>241</v>
      </c>
      <c r="K12" t="s">
        <v>191</v>
      </c>
      <c r="L12" s="11">
        <f>VLOOKUP($J12,output!$A$9:$AI$2200,L$1-$L$1+2)</f>
        <v>0</v>
      </c>
      <c r="M12" s="11">
        <f>VLOOKUP($J12,output!$A$9:$AI$2200,M$1-$L$1+2)</f>
        <v>1053.796</v>
      </c>
      <c r="N12" s="11">
        <f>VLOOKUP($J12,output!$A$9:$AI$2200,N$1-$L$1+2)</f>
        <v>833.35699999999997</v>
      </c>
      <c r="O12" s="11">
        <f>VLOOKUP($J12,output!$A$9:$AI$2200,O$1-$L$1+2)</f>
        <v>1043.0650000000001</v>
      </c>
      <c r="P12" s="11">
        <f>VLOOKUP($J12,output!$A$9:$AI$2200,P$1-$L$1+2)</f>
        <v>1067.777</v>
      </c>
      <c r="Q12" s="11">
        <f>VLOOKUP($J12,output!$A$9:$AI$2200,Q$1-$L$1+2)</f>
        <v>1106.2529999999999</v>
      </c>
      <c r="R12" s="11">
        <f>VLOOKUP($J12,output!$A$9:$AI$2200,R$1-$L$1+2)</f>
        <v>1139.6089999999999</v>
      </c>
      <c r="S12" s="11">
        <f>VLOOKUP($J12,output!$A$9:$AI$2200,S$1-$L$1+2)</f>
        <v>1238.97</v>
      </c>
      <c r="T12" s="11">
        <f>VLOOKUP($J12,output!$A$9:$AI$2200,T$1-$L$1+2)</f>
        <v>1373.93</v>
      </c>
      <c r="U12" s="11">
        <f>VLOOKUP($J12,output!$A$9:$AI$2200,U$1-$L$1+2)</f>
        <v>1390.194</v>
      </c>
      <c r="V12" s="11">
        <f>VLOOKUP($J12,output!$A$9:$AI$2200,V$1-$L$1+2)</f>
        <v>1323.316</v>
      </c>
      <c r="W12" s="11">
        <f>VLOOKUP($J12,output!$A$9:$AI$2200,W$1-$L$1+2)</f>
        <v>1265.67</v>
      </c>
      <c r="X12" s="11">
        <f>VLOOKUP($J12,output!$A$9:$AI$2200,X$1-$L$1+2)</f>
        <v>1205.3389999999999</v>
      </c>
      <c r="Y12" s="11">
        <f>VLOOKUP($J12,output!$A$9:$AI$2200,Y$1-$L$1+2)</f>
        <v>996.50800000000004</v>
      </c>
      <c r="Z12" s="11">
        <f>VLOOKUP($J12,output!$A$9:$AI$2200,Z$1-$L$1+2)</f>
        <v>1108.221</v>
      </c>
      <c r="AA12" s="11">
        <f>VLOOKUP($J12,output!$A$9:$AI$2200,AA$1-$L$1+2)</f>
        <v>1035.9290000000001</v>
      </c>
      <c r="AB12" s="11">
        <f>VLOOKUP($J12,output!$A$9:$AI$2200,AB$1-$L$1+2)</f>
        <v>915.98</v>
      </c>
      <c r="AC12" s="11">
        <f>VLOOKUP($J12,output!$A$9:$AI$2200,AC$1-$L$1+2)</f>
        <v>1072.5809999999999</v>
      </c>
      <c r="AD12" s="11">
        <f>VLOOKUP($J12,output!$A$9:$AI$2200,AD$1-$L$1+2)</f>
        <v>859.11900000000003</v>
      </c>
      <c r="AE12" s="11">
        <f>VLOOKUP($J12,output!$A$9:$AI$2200,AE$1-$L$1+2)</f>
        <v>821.61800000000005</v>
      </c>
      <c r="AF12" s="11">
        <f>VLOOKUP($J12,output!$A$9:$AI$2200,AF$1-$L$1+2)</f>
        <v>728.92700000000002</v>
      </c>
      <c r="AG12" s="11">
        <f>VLOOKUP($J12,output!$A$9:$AI$2200,AG$1-$L$1+2)</f>
        <v>494.41199999999998</v>
      </c>
      <c r="AH12" s="11">
        <f>VLOOKUP($J12,output!$A$9:$AI$2200,AH$1-$L$1+2)</f>
        <v>479.16800000000001</v>
      </c>
      <c r="AI12" s="11">
        <f>VLOOKUP($J12,output!$A$9:$AI$2200,AI$1-$L$1+2)</f>
        <v>487.47399999999999</v>
      </c>
      <c r="AJ12" s="11">
        <f>VLOOKUP($J12,output!$A$9:$AI$2200,AJ$1-$L$1+2)</f>
        <v>440.34899999999999</v>
      </c>
      <c r="AK12" s="11">
        <f>VLOOKUP($J12,output!$A$9:$AI$2200,AK$1-$L$1+2)</f>
        <v>421.464</v>
      </c>
      <c r="AL12" s="11">
        <f>VLOOKUP($J12,output!$A$9:$AI$2200,AL$1-$L$1+2)</f>
        <v>405.29399999999998</v>
      </c>
      <c r="AM12" s="11">
        <f>VLOOKUP($J12,output!$A$9:$AI$2200,AM$1-$L$1+2)</f>
        <v>388.61700000000002</v>
      </c>
    </row>
    <row r="13" spans="10:39" x14ac:dyDescent="0.25">
      <c r="J13" t="s">
        <v>242</v>
      </c>
      <c r="K13" t="s">
        <v>150</v>
      </c>
      <c r="L13" s="11">
        <f>VLOOKUP($J13,output!$A$9:$AI$2200,L$1-$L$1+2)</f>
        <v>0</v>
      </c>
      <c r="M13" s="11">
        <f>VLOOKUP($J13,output!$A$9:$AI$2200,M$1-$L$1+2)</f>
        <v>667.84299999999996</v>
      </c>
      <c r="N13" s="11">
        <f>VLOOKUP($J13,output!$A$9:$AI$2200,N$1-$L$1+2)</f>
        <v>499.62</v>
      </c>
      <c r="O13" s="11">
        <f>VLOOKUP($J13,output!$A$9:$AI$2200,O$1-$L$1+2)</f>
        <v>572.23500000000001</v>
      </c>
      <c r="P13" s="11">
        <f>VLOOKUP($J13,output!$A$9:$AI$2200,P$1-$L$1+2)</f>
        <v>599.32500000000005</v>
      </c>
      <c r="Q13" s="11">
        <f>VLOOKUP($J13,output!$A$9:$AI$2200,Q$1-$L$1+2)</f>
        <v>556.64300000000003</v>
      </c>
      <c r="R13" s="11">
        <f>VLOOKUP($J13,output!$A$9:$AI$2200,R$1-$L$1+2)</f>
        <v>514.68499999999995</v>
      </c>
      <c r="S13" s="11">
        <f>VLOOKUP($J13,output!$A$9:$AI$2200,S$1-$L$1+2)</f>
        <v>544.71500000000003</v>
      </c>
      <c r="T13" s="11">
        <f>VLOOKUP($J13,output!$A$9:$AI$2200,T$1-$L$1+2)</f>
        <v>619.90300000000002</v>
      </c>
      <c r="U13" s="11">
        <f>VLOOKUP($J13,output!$A$9:$AI$2200,U$1-$L$1+2)</f>
        <v>588.32500000000005</v>
      </c>
      <c r="V13" s="11">
        <f>VLOOKUP($J13,output!$A$9:$AI$2200,V$1-$L$1+2)</f>
        <v>569.91700000000003</v>
      </c>
      <c r="W13" s="11">
        <f>VLOOKUP($J13,output!$A$9:$AI$2200,W$1-$L$1+2)</f>
        <v>551.91600000000005</v>
      </c>
      <c r="X13" s="11">
        <f>VLOOKUP($J13,output!$A$9:$AI$2200,X$1-$L$1+2)</f>
        <v>537.13599999999997</v>
      </c>
      <c r="Y13" s="11">
        <f>VLOOKUP($J13,output!$A$9:$AI$2200,Y$1-$L$1+2)</f>
        <v>397.005</v>
      </c>
      <c r="Z13" s="11">
        <f>VLOOKUP($J13,output!$A$9:$AI$2200,Z$1-$L$1+2)</f>
        <v>409.43099999999998</v>
      </c>
      <c r="AA13" s="11">
        <f>VLOOKUP($J13,output!$A$9:$AI$2200,AA$1-$L$1+2)</f>
        <v>401.34899999999999</v>
      </c>
      <c r="AB13" s="11">
        <f>VLOOKUP($J13,output!$A$9:$AI$2200,AB$1-$L$1+2)</f>
        <v>371.06700000000001</v>
      </c>
      <c r="AC13" s="11">
        <f>VLOOKUP($J13,output!$A$9:$AI$2200,AC$1-$L$1+2)</f>
        <v>451.37200000000001</v>
      </c>
      <c r="AD13" s="11">
        <f>VLOOKUP($J13,output!$A$9:$AI$2200,AD$1-$L$1+2)</f>
        <v>344.61099999999999</v>
      </c>
      <c r="AE13" s="11">
        <f>VLOOKUP($J13,output!$A$9:$AI$2200,AE$1-$L$1+2)</f>
        <v>331.87700000000001</v>
      </c>
      <c r="AF13" s="11">
        <f>VLOOKUP($J13,output!$A$9:$AI$2200,AF$1-$L$1+2)</f>
        <v>300.36500000000001</v>
      </c>
      <c r="AG13" s="11">
        <f>VLOOKUP($J13,output!$A$9:$AI$2200,AG$1-$L$1+2)</f>
        <v>136.05199999999999</v>
      </c>
      <c r="AH13" s="11">
        <f>VLOOKUP($J13,output!$A$9:$AI$2200,AH$1-$L$1+2)</f>
        <v>144.03399999999999</v>
      </c>
      <c r="AI13" s="11">
        <f>VLOOKUP($J13,output!$A$9:$AI$2200,AI$1-$L$1+2)</f>
        <v>142.22399999999999</v>
      </c>
      <c r="AJ13" s="11">
        <f>VLOOKUP($J13,output!$A$9:$AI$2200,AJ$1-$L$1+2)</f>
        <v>129.52600000000001</v>
      </c>
      <c r="AK13" s="11">
        <f>VLOOKUP($J13,output!$A$9:$AI$2200,AK$1-$L$1+2)</f>
        <v>119.922</v>
      </c>
      <c r="AL13" s="11">
        <f>VLOOKUP($J13,output!$A$9:$AI$2200,AL$1-$L$1+2)</f>
        <v>110.611</v>
      </c>
      <c r="AM13" s="11">
        <f>VLOOKUP($J13,output!$A$9:$AI$2200,AM$1-$L$1+2)</f>
        <v>101.50700000000001</v>
      </c>
    </row>
    <row r="16" spans="10:39" x14ac:dyDescent="0.25">
      <c r="J16" s="30" t="s">
        <v>337</v>
      </c>
    </row>
    <row r="17" spans="10:39" ht="30" x14ac:dyDescent="0.25">
      <c r="J17" s="64" t="s">
        <v>319</v>
      </c>
      <c r="K17" s="88" t="s">
        <v>353</v>
      </c>
      <c r="L17" s="89">
        <f>VLOOKUP($J17,output!$A$9:$AI$2200,L$1-$L$1+2)</f>
        <v>0</v>
      </c>
      <c r="M17" s="89">
        <f>VLOOKUP($J17,output!$A$9:$AI$2200,M$1-$L$1+2)</f>
        <v>600.98400000000004</v>
      </c>
      <c r="N17" s="89">
        <f>VLOOKUP($J17,output!$A$9:$AI$2200,N$1-$L$1+2)</f>
        <v>435.21600000000001</v>
      </c>
      <c r="O17" s="89">
        <f>VLOOKUP($J17,output!$A$9:$AI$2200,O$1-$L$1+2)</f>
        <v>624.22199999999998</v>
      </c>
      <c r="P17" s="89">
        <f>VLOOKUP($J17,output!$A$9:$AI$2200,P$1-$L$1+2)</f>
        <v>673.15200000000004</v>
      </c>
      <c r="Q17" s="89">
        <f>VLOOKUP($J17,output!$A$9:$AI$2200,Q$1-$L$1+2)</f>
        <v>685.49099999999999</v>
      </c>
      <c r="R17" s="89">
        <f>VLOOKUP($J17,output!$A$9:$AI$2200,R$1-$L$1+2)</f>
        <v>664.053</v>
      </c>
      <c r="S17" s="89">
        <f>VLOOKUP($J17,output!$A$9:$AI$2200,S$1-$L$1+2)</f>
        <v>710.43600000000004</v>
      </c>
      <c r="T17" s="89">
        <f>VLOOKUP($J17,output!$A$9:$AI$2200,T$1-$L$1+2)</f>
        <v>934.53099999999995</v>
      </c>
      <c r="U17" s="89">
        <f>VLOOKUP($J17,output!$A$9:$AI$2200,U$1-$L$1+2)</f>
        <v>880.7</v>
      </c>
      <c r="V17" s="89">
        <f>VLOOKUP($J17,output!$A$9:$AI$2200,V$1-$L$1+2)</f>
        <v>852.71100000000001</v>
      </c>
      <c r="W17" s="89">
        <f>VLOOKUP($J17,output!$A$9:$AI$2200,W$1-$L$1+2)</f>
        <v>866.88699999999994</v>
      </c>
      <c r="X17" s="89">
        <f>VLOOKUP($J17,output!$A$9:$AI$2200,X$1-$L$1+2)</f>
        <v>831.27499999999998</v>
      </c>
      <c r="Y17" s="89">
        <f>VLOOKUP($J17,output!$A$9:$AI$2200,Y$1-$L$1+2)</f>
        <v>828.06100000000004</v>
      </c>
      <c r="Z17" s="89">
        <f>VLOOKUP($J17,output!$A$9:$AI$2200,Z$1-$L$1+2)</f>
        <v>1249.94</v>
      </c>
      <c r="AA17" s="89">
        <f>VLOOKUP($J17,output!$A$9:$AI$2200,AA$1-$L$1+2)</f>
        <v>1187.1849999999999</v>
      </c>
      <c r="AB17" s="89">
        <f>VLOOKUP($J17,output!$A$9:$AI$2200,AB$1-$L$1+2)</f>
        <v>1164.289</v>
      </c>
      <c r="AC17" s="89">
        <f>VLOOKUP($J17,output!$A$9:$AI$2200,AC$1-$L$1+2)</f>
        <v>1411.4090000000001</v>
      </c>
      <c r="AD17" s="89">
        <f>VLOOKUP($J17,output!$A$9:$AI$2200,AD$1-$L$1+2)</f>
        <v>1240.482</v>
      </c>
      <c r="AE17" s="89">
        <f>VLOOKUP($J17,output!$A$9:$AI$2200,AE$1-$L$1+2)</f>
        <v>1187.8009999999999</v>
      </c>
      <c r="AF17" s="89">
        <f>VLOOKUP($J17,output!$A$9:$AI$2200,AF$1-$L$1+2)</f>
        <v>1057.498</v>
      </c>
      <c r="AG17" s="89">
        <f>VLOOKUP($J17,output!$A$9:$AI$2200,AG$1-$L$1+2)</f>
        <v>1059.9280000000001</v>
      </c>
      <c r="AH17" s="89">
        <f>VLOOKUP($J17,output!$A$9:$AI$2200,AH$1-$L$1+2)</f>
        <v>1009.215</v>
      </c>
      <c r="AI17" s="89">
        <f>VLOOKUP($J17,output!$A$9:$AI$2200,AI$1-$L$1+2)</f>
        <v>962.01300000000003</v>
      </c>
      <c r="AJ17" s="89">
        <f>VLOOKUP($J17,output!$A$9:$AI$2200,AJ$1-$L$1+2)</f>
        <v>917.62599999999998</v>
      </c>
      <c r="AK17" s="89">
        <f>VLOOKUP($J17,output!$A$9:$AI$2200,AK$1-$L$1+2)</f>
        <v>876.84199999999998</v>
      </c>
      <c r="AL17" s="89">
        <f>VLOOKUP($J17,output!$A$9:$AI$2200,AL$1-$L$1+2)</f>
        <v>838.50099999999998</v>
      </c>
      <c r="AM17" s="89">
        <f>VLOOKUP($J17,output!$A$9:$AI$2200,AM$1-$L$1+2)</f>
        <v>803.86300000000006</v>
      </c>
    </row>
    <row r="18" spans="10:39" x14ac:dyDescent="0.25">
      <c r="J18" t="s">
        <v>328</v>
      </c>
      <c r="K18" t="s">
        <v>340</v>
      </c>
      <c r="L18" s="11">
        <f>VLOOKUP($J18,output!$A$9:$AI$2200,L$1-$L$1+2)</f>
        <v>0</v>
      </c>
      <c r="M18" s="11">
        <f>VLOOKUP($J18,output!$A$9:$AI$2200,M$1-$L$1+2)</f>
        <v>157.845</v>
      </c>
      <c r="N18" s="11">
        <f>VLOOKUP($J18,output!$A$9:$AI$2200,N$1-$L$1+2)</f>
        <v>173.30600000000001</v>
      </c>
      <c r="O18" s="11">
        <f>VLOOKUP($J18,output!$A$9:$AI$2200,O$1-$L$1+2)</f>
        <v>280.38</v>
      </c>
      <c r="P18" s="11">
        <f>VLOOKUP($J18,output!$A$9:$AI$2200,P$1-$L$1+2)</f>
        <v>312.40300000000002</v>
      </c>
      <c r="Q18" s="11">
        <f>VLOOKUP($J18,output!$A$9:$AI$2200,Q$1-$L$1+2)</f>
        <v>343.65300000000002</v>
      </c>
      <c r="R18" s="11">
        <f>VLOOKUP($J18,output!$A$9:$AI$2200,R$1-$L$1+2)</f>
        <v>344.43400000000003</v>
      </c>
      <c r="S18" s="11">
        <f>VLOOKUP($J18,output!$A$9:$AI$2200,S$1-$L$1+2)</f>
        <v>344.48599999999999</v>
      </c>
      <c r="T18" s="11">
        <f>VLOOKUP($J18,output!$A$9:$AI$2200,T$1-$L$1+2)</f>
        <v>545.66700000000003</v>
      </c>
      <c r="U18" s="11">
        <f>VLOOKUP($J18,output!$A$9:$AI$2200,U$1-$L$1+2)</f>
        <v>496.81900000000002</v>
      </c>
      <c r="V18" s="11">
        <f>VLOOKUP($J18,output!$A$9:$AI$2200,V$1-$L$1+2)</f>
        <v>478.94200000000001</v>
      </c>
      <c r="W18" s="11">
        <f>VLOOKUP($J18,output!$A$9:$AI$2200,W$1-$L$1+2)</f>
        <v>495.16800000000001</v>
      </c>
      <c r="X18" s="11">
        <f>VLOOKUP($J18,output!$A$9:$AI$2200,X$1-$L$1+2)</f>
        <v>485.15600000000001</v>
      </c>
      <c r="Y18" s="11">
        <f>VLOOKUP($J18,output!$A$9:$AI$2200,Y$1-$L$1+2)</f>
        <v>474.69799999999998</v>
      </c>
      <c r="Z18" s="11">
        <f>VLOOKUP($J18,output!$A$9:$AI$2200,Z$1-$L$1+2)</f>
        <v>754.30899999999997</v>
      </c>
      <c r="AA18" s="11">
        <f>VLOOKUP($J18,output!$A$9:$AI$2200,AA$1-$L$1+2)</f>
        <v>719.49599999999998</v>
      </c>
      <c r="AB18" s="11">
        <f>VLOOKUP($J18,output!$A$9:$AI$2200,AB$1-$L$1+2)</f>
        <v>719.62599999999998</v>
      </c>
      <c r="AC18" s="11">
        <f>VLOOKUP($J18,output!$A$9:$AI$2200,AC$1-$L$1+2)</f>
        <v>771.00699999999995</v>
      </c>
      <c r="AD18" s="11">
        <f>VLOOKUP($J18,output!$A$9:$AI$2200,AD$1-$L$1+2)</f>
        <v>685.86500000000001</v>
      </c>
      <c r="AE18" s="11">
        <f>VLOOKUP($J18,output!$A$9:$AI$2200,AE$1-$L$1+2)</f>
        <v>662.077</v>
      </c>
      <c r="AF18" s="11">
        <f>VLOOKUP($J18,output!$A$9:$AI$2200,AF$1-$L$1+2)</f>
        <v>595.36500000000001</v>
      </c>
      <c r="AG18" s="11">
        <f>VLOOKUP($J18,output!$A$9:$AI$2200,AG$1-$L$1+2)</f>
        <v>608.30999999999995</v>
      </c>
      <c r="AH18" s="11">
        <f>VLOOKUP($J18,output!$A$9:$AI$2200,AH$1-$L$1+2)</f>
        <v>572.58699999999999</v>
      </c>
      <c r="AI18" s="11">
        <f>VLOOKUP($J18,output!$A$9:$AI$2200,AI$1-$L$1+2)</f>
        <v>540.65099999999995</v>
      </c>
      <c r="AJ18" s="11">
        <f>VLOOKUP($J18,output!$A$9:$AI$2200,AJ$1-$L$1+2)</f>
        <v>510.57</v>
      </c>
      <c r="AK18" s="11">
        <f>VLOOKUP($J18,output!$A$9:$AI$2200,AK$1-$L$1+2)</f>
        <v>483.21600000000001</v>
      </c>
      <c r="AL18" s="11">
        <f>VLOOKUP($J18,output!$A$9:$AI$2200,AL$1-$L$1+2)</f>
        <v>457.79</v>
      </c>
      <c r="AM18" s="11">
        <f>VLOOKUP($J18,output!$A$9:$AI$2200,AM$1-$L$1+2)</f>
        <v>433.91</v>
      </c>
    </row>
    <row r="19" spans="10:39" x14ac:dyDescent="0.25">
      <c r="J19" t="s">
        <v>329</v>
      </c>
      <c r="K19" t="s">
        <v>341</v>
      </c>
      <c r="L19" s="11">
        <f>VLOOKUP($J19,output!$A$9:$AI$2200,L$1-$L$1+2)</f>
        <v>0</v>
      </c>
      <c r="M19" s="11">
        <f>VLOOKUP($J19,output!$A$9:$AI$2200,M$1-$L$1+2)</f>
        <v>443.13900000000001</v>
      </c>
      <c r="N19" s="11">
        <f>VLOOKUP($J19,output!$A$9:$AI$2200,N$1-$L$1+2)</f>
        <v>261.90899999999999</v>
      </c>
      <c r="O19" s="11">
        <f>VLOOKUP($J19,output!$A$9:$AI$2200,O$1-$L$1+2)</f>
        <v>343.84199999999998</v>
      </c>
      <c r="P19" s="11">
        <f>VLOOKUP($J19,output!$A$9:$AI$2200,P$1-$L$1+2)</f>
        <v>360.74900000000002</v>
      </c>
      <c r="Q19" s="11">
        <f>VLOOKUP($J19,output!$A$9:$AI$2200,Q$1-$L$1+2)</f>
        <v>341.83800000000002</v>
      </c>
      <c r="R19" s="11">
        <f>VLOOKUP($J19,output!$A$9:$AI$2200,R$1-$L$1+2)</f>
        <v>319.61900000000003</v>
      </c>
      <c r="S19" s="11">
        <f>VLOOKUP($J19,output!$A$9:$AI$2200,S$1-$L$1+2)</f>
        <v>365.95100000000002</v>
      </c>
      <c r="T19" s="11">
        <f>VLOOKUP($J19,output!$A$9:$AI$2200,T$1-$L$1+2)</f>
        <v>388.863</v>
      </c>
      <c r="U19" s="11">
        <f>VLOOKUP($J19,output!$A$9:$AI$2200,U$1-$L$1+2)</f>
        <v>383.88099999999997</v>
      </c>
      <c r="V19" s="11">
        <f>VLOOKUP($J19,output!$A$9:$AI$2200,V$1-$L$1+2)</f>
        <v>373.76900000000001</v>
      </c>
      <c r="W19" s="11">
        <f>VLOOKUP($J19,output!$A$9:$AI$2200,W$1-$L$1+2)</f>
        <v>371.71899999999999</v>
      </c>
      <c r="X19" s="11">
        <f>VLOOKUP($J19,output!$A$9:$AI$2200,X$1-$L$1+2)</f>
        <v>346.11900000000003</v>
      </c>
      <c r="Y19" s="11">
        <f>VLOOKUP($J19,output!$A$9:$AI$2200,Y$1-$L$1+2)</f>
        <v>353.363</v>
      </c>
      <c r="Z19" s="11">
        <f>VLOOKUP($J19,output!$A$9:$AI$2200,Z$1-$L$1+2)</f>
        <v>495.63099999999997</v>
      </c>
      <c r="AA19" s="11">
        <f>VLOOKUP($J19,output!$A$9:$AI$2200,AA$1-$L$1+2)</f>
        <v>467.68900000000002</v>
      </c>
      <c r="AB19" s="11">
        <f>VLOOKUP($J19,output!$A$9:$AI$2200,AB$1-$L$1+2)</f>
        <v>444.66300000000001</v>
      </c>
      <c r="AC19" s="11">
        <f>VLOOKUP($J19,output!$A$9:$AI$2200,AC$1-$L$1+2)</f>
        <v>640.40200000000004</v>
      </c>
      <c r="AD19" s="11">
        <f>VLOOKUP($J19,output!$A$9:$AI$2200,AD$1-$L$1+2)</f>
        <v>554.61699999999996</v>
      </c>
      <c r="AE19" s="11">
        <f>VLOOKUP($J19,output!$A$9:$AI$2200,AE$1-$L$1+2)</f>
        <v>525.72299999999996</v>
      </c>
      <c r="AF19" s="11">
        <f>VLOOKUP($J19,output!$A$9:$AI$2200,AF$1-$L$1+2)</f>
        <v>462.13400000000001</v>
      </c>
      <c r="AG19" s="11">
        <f>VLOOKUP($J19,output!$A$9:$AI$2200,AG$1-$L$1+2)</f>
        <v>451.61799999999999</v>
      </c>
      <c r="AH19" s="11">
        <f>VLOOKUP($J19,output!$A$9:$AI$2200,AH$1-$L$1+2)</f>
        <v>436.62900000000002</v>
      </c>
      <c r="AI19" s="11">
        <f>VLOOKUP($J19,output!$A$9:$AI$2200,AI$1-$L$1+2)</f>
        <v>421.36200000000002</v>
      </c>
      <c r="AJ19" s="11">
        <f>VLOOKUP($J19,output!$A$9:$AI$2200,AJ$1-$L$1+2)</f>
        <v>407.05599999999998</v>
      </c>
      <c r="AK19" s="11">
        <f>VLOOKUP($J19,output!$A$9:$AI$2200,AK$1-$L$1+2)</f>
        <v>393.62599999999998</v>
      </c>
      <c r="AL19" s="11">
        <f>VLOOKUP($J19,output!$A$9:$AI$2200,AL$1-$L$1+2)</f>
        <v>380.71100000000001</v>
      </c>
      <c r="AM19" s="11">
        <f>VLOOKUP($J19,output!$A$9:$AI$2200,AM$1-$L$1+2)</f>
        <v>369.95299999999997</v>
      </c>
    </row>
    <row r="20" spans="10:39" x14ac:dyDescent="0.25">
      <c r="J20" t="s">
        <v>48</v>
      </c>
      <c r="K20" t="s">
        <v>342</v>
      </c>
      <c r="L20" s="11">
        <f>VLOOKUP($J20,output!$A$9:$AI$2200,L$1-$L$1+2)</f>
        <v>0</v>
      </c>
      <c r="M20" s="11">
        <f>VLOOKUP($J20,output!$A$9:$AI$2200,M$1-$L$1+2)</f>
        <v>66.858999999999995</v>
      </c>
      <c r="N20" s="11">
        <f>VLOOKUP($J20,output!$A$9:$AI$2200,N$1-$L$1+2)</f>
        <v>51</v>
      </c>
      <c r="O20" s="11">
        <f>VLOOKUP($J20,output!$A$9:$AI$2200,O$1-$L$1+2)</f>
        <v>50.872</v>
      </c>
      <c r="P20" s="11">
        <f>VLOOKUP($J20,output!$A$9:$AI$2200,P$1-$L$1+2)</f>
        <v>55.295000000000002</v>
      </c>
      <c r="Q20" s="11">
        <f>VLOOKUP($J20,output!$A$9:$AI$2200,Q$1-$L$1+2)</f>
        <v>54.615000000000002</v>
      </c>
      <c r="R20" s="11">
        <f>VLOOKUP($J20,output!$A$9:$AI$2200,R$1-$L$1+2)</f>
        <v>53.884</v>
      </c>
      <c r="S20" s="11">
        <f>VLOOKUP($J20,output!$A$9:$AI$2200,S$1-$L$1+2)</f>
        <v>57.445999999999998</v>
      </c>
      <c r="T20" s="11">
        <f>VLOOKUP($J20,output!$A$9:$AI$2200,T$1-$L$1+2)</f>
        <v>56.115000000000002</v>
      </c>
      <c r="U20" s="11">
        <f>VLOOKUP($J20,output!$A$9:$AI$2200,U$1-$L$1+2)</f>
        <v>58.914000000000001</v>
      </c>
      <c r="V20" s="11">
        <f>VLOOKUP($J20,output!$A$9:$AI$2200,V$1-$L$1+2)</f>
        <v>57.405000000000001</v>
      </c>
      <c r="W20" s="11">
        <f>VLOOKUP($J20,output!$A$9:$AI$2200,W$1-$L$1+2)</f>
        <v>55.917999999999999</v>
      </c>
      <c r="X20" s="11">
        <f>VLOOKUP($J20,output!$A$9:$AI$2200,X$1-$L$1+2)</f>
        <v>54.484999999999999</v>
      </c>
      <c r="Y20" s="11">
        <f>VLOOKUP($J20,output!$A$9:$AI$2200,Y$1-$L$1+2)</f>
        <v>88.685000000000002</v>
      </c>
      <c r="Z20" s="11">
        <f>VLOOKUP($J20,output!$A$9:$AI$2200,Z$1-$L$1+2)</f>
        <v>84.069000000000003</v>
      </c>
      <c r="AA20" s="11">
        <f>VLOOKUP($J20,output!$A$9:$AI$2200,AA$1-$L$1+2)</f>
        <v>79.451999999999998</v>
      </c>
      <c r="AB20" s="11">
        <f>VLOOKUP($J20,output!$A$9:$AI$2200,AB$1-$L$1+2)</f>
        <v>75.293999999999997</v>
      </c>
      <c r="AC20" s="11">
        <f>VLOOKUP($J20,output!$A$9:$AI$2200,AC$1-$L$1+2)</f>
        <v>145.47200000000001</v>
      </c>
      <c r="AD20" s="11">
        <f>VLOOKUP($J20,output!$A$9:$AI$2200,AD$1-$L$1+2)</f>
        <v>98.551000000000002</v>
      </c>
      <c r="AE20" s="11">
        <f>VLOOKUP($J20,output!$A$9:$AI$2200,AE$1-$L$1+2)</f>
        <v>93.180999999999997</v>
      </c>
      <c r="AF20" s="11">
        <f>VLOOKUP($J20,output!$A$9:$AI$2200,AF$1-$L$1+2)</f>
        <v>88.131</v>
      </c>
      <c r="AG20" s="11">
        <f>VLOOKUP($J20,output!$A$9:$AI$2200,AG$1-$L$1+2)</f>
        <v>84.212999999999994</v>
      </c>
      <c r="AH20" s="11">
        <f>VLOOKUP($J20,output!$A$9:$AI$2200,AH$1-$L$1+2)</f>
        <v>80.578000000000003</v>
      </c>
      <c r="AI20" s="11">
        <f>VLOOKUP($J20,output!$A$9:$AI$2200,AI$1-$L$1+2)</f>
        <v>76.763000000000005</v>
      </c>
      <c r="AJ20" s="11">
        <f>VLOOKUP($J20,output!$A$9:$AI$2200,AJ$1-$L$1+2)</f>
        <v>73.182000000000002</v>
      </c>
      <c r="AK20" s="11">
        <f>VLOOKUP($J20,output!$A$9:$AI$2200,AK$1-$L$1+2)</f>
        <v>69.727999999999994</v>
      </c>
      <c r="AL20" s="11">
        <f>VLOOKUP($J20,output!$A$9:$AI$2200,AL$1-$L$1+2)</f>
        <v>66.388999999999996</v>
      </c>
      <c r="AM20" s="11">
        <f>VLOOKUP($J20,output!$A$9:$AI$2200,AM$1-$L$1+2)</f>
        <v>63.03</v>
      </c>
    </row>
    <row r="21" spans="10:39" x14ac:dyDescent="0.25">
      <c r="J21" t="s">
        <v>49</v>
      </c>
      <c r="K21" t="s">
        <v>343</v>
      </c>
      <c r="L21" s="11">
        <f>VLOOKUP($J21,output!$A$9:$AI$2200,L$1-$L$1+2)</f>
        <v>0</v>
      </c>
      <c r="M21" s="11">
        <f>VLOOKUP($J21,output!$A$9:$AI$2200,M$1-$L$1+2)</f>
        <v>75.745999999999995</v>
      </c>
      <c r="N21" s="11">
        <f>VLOOKUP($J21,output!$A$9:$AI$2200,N$1-$L$1+2)</f>
        <v>60.488</v>
      </c>
      <c r="O21" s="11">
        <f>VLOOKUP($J21,output!$A$9:$AI$2200,O$1-$L$1+2)</f>
        <v>89.875</v>
      </c>
      <c r="P21" s="11">
        <f>VLOOKUP($J21,output!$A$9:$AI$2200,P$1-$L$1+2)</f>
        <v>75.798000000000002</v>
      </c>
      <c r="Q21" s="11">
        <f>VLOOKUP($J21,output!$A$9:$AI$2200,Q$1-$L$1+2)</f>
        <v>64.471999999999994</v>
      </c>
      <c r="R21" s="11">
        <f>VLOOKUP($J21,output!$A$9:$AI$2200,R$1-$L$1+2)</f>
        <v>55.584000000000003</v>
      </c>
      <c r="S21" s="11">
        <f>VLOOKUP($J21,output!$A$9:$AI$2200,S$1-$L$1+2)</f>
        <v>48.606000000000002</v>
      </c>
      <c r="T21" s="11">
        <f>VLOOKUP($J21,output!$A$9:$AI$2200,T$1-$L$1+2)</f>
        <v>235.9</v>
      </c>
      <c r="U21" s="11">
        <f>VLOOKUP($J21,output!$A$9:$AI$2200,U$1-$L$1+2)</f>
        <v>192.02699999999999</v>
      </c>
      <c r="V21" s="11">
        <f>VLOOKUP($J21,output!$A$9:$AI$2200,V$1-$L$1+2)</f>
        <v>156.03399999999999</v>
      </c>
      <c r="W21" s="11">
        <f>VLOOKUP($J21,output!$A$9:$AI$2200,W$1-$L$1+2)</f>
        <v>127.49</v>
      </c>
      <c r="X21" s="11">
        <f>VLOOKUP($J21,output!$A$9:$AI$2200,X$1-$L$1+2)</f>
        <v>104.876</v>
      </c>
      <c r="Y21" s="11">
        <f>VLOOKUP($J21,output!$A$9:$AI$2200,Y$1-$L$1+2)</f>
        <v>87.415999999999997</v>
      </c>
      <c r="Z21" s="11">
        <f>VLOOKUP($J21,output!$A$9:$AI$2200,Z$1-$L$1+2)</f>
        <v>413.80099999999999</v>
      </c>
      <c r="AA21" s="11">
        <f>VLOOKUP($J21,output!$A$9:$AI$2200,AA$1-$L$1+2)</f>
        <v>364.35</v>
      </c>
      <c r="AB21" s="11">
        <f>VLOOKUP($J21,output!$A$9:$AI$2200,AB$1-$L$1+2)</f>
        <v>322.45999999999998</v>
      </c>
      <c r="AC21" s="11">
        <f>VLOOKUP($J21,output!$A$9:$AI$2200,AC$1-$L$1+2)</f>
        <v>289.77800000000002</v>
      </c>
      <c r="AD21" s="11">
        <f>VLOOKUP($J21,output!$A$9:$AI$2200,AD$1-$L$1+2)</f>
        <v>250.38</v>
      </c>
      <c r="AE21" s="11">
        <f>VLOOKUP($J21,output!$A$9:$AI$2200,AE$1-$L$1+2)</f>
        <v>222.02500000000001</v>
      </c>
      <c r="AF21" s="11">
        <f>VLOOKUP($J21,output!$A$9:$AI$2200,AF$1-$L$1+2)</f>
        <v>197.137</v>
      </c>
      <c r="AG21" s="11">
        <f>VLOOKUP($J21,output!$A$9:$AI$2200,AG$1-$L$1+2)</f>
        <v>180.06700000000001</v>
      </c>
      <c r="AH21" s="11">
        <f>VLOOKUP($J21,output!$A$9:$AI$2200,AH$1-$L$1+2)</f>
        <v>164.357</v>
      </c>
      <c r="AI21" s="11">
        <f>VLOOKUP($J21,output!$A$9:$AI$2200,AI$1-$L$1+2)</f>
        <v>150.423</v>
      </c>
      <c r="AJ21" s="11">
        <f>VLOOKUP($J21,output!$A$9:$AI$2200,AJ$1-$L$1+2)</f>
        <v>137.97</v>
      </c>
      <c r="AK21" s="11">
        <f>VLOOKUP($J21,output!$A$9:$AI$2200,AK$1-$L$1+2)</f>
        <v>127.006</v>
      </c>
      <c r="AL21" s="11">
        <f>VLOOKUP($J21,output!$A$9:$AI$2200,AL$1-$L$1+2)</f>
        <v>117.372</v>
      </c>
      <c r="AM21" s="11">
        <f>VLOOKUP($J21,output!$A$9:$AI$2200,AM$1-$L$1+2)</f>
        <v>108.896</v>
      </c>
    </row>
    <row r="22" spans="10:39" x14ac:dyDescent="0.25">
      <c r="J22" t="s">
        <v>50</v>
      </c>
      <c r="K22" t="s">
        <v>344</v>
      </c>
      <c r="L22" s="11">
        <f>VLOOKUP($J22,output!$A$9:$AI$2200,L$1-$L$1+2)</f>
        <v>0</v>
      </c>
      <c r="M22" s="11">
        <f>VLOOKUP($J22,output!$A$9:$AI$2200,M$1-$L$1+2)</f>
        <v>15.24</v>
      </c>
      <c r="N22" s="11">
        <f>VLOOKUP($J22,output!$A$9:$AI$2200,N$1-$L$1+2)</f>
        <v>61.817999999999998</v>
      </c>
      <c r="O22" s="11">
        <f>VLOOKUP($J22,output!$A$9:$AI$2200,O$1-$L$1+2)</f>
        <v>139.63300000000001</v>
      </c>
      <c r="P22" s="11">
        <f>VLOOKUP($J22,output!$A$9:$AI$2200,P$1-$L$1+2)</f>
        <v>181.31</v>
      </c>
      <c r="Q22" s="11">
        <f>VLOOKUP($J22,output!$A$9:$AI$2200,Q$1-$L$1+2)</f>
        <v>224.56700000000001</v>
      </c>
      <c r="R22" s="11">
        <f>VLOOKUP($J22,output!$A$9:$AI$2200,R$1-$L$1+2)</f>
        <v>234.96600000000001</v>
      </c>
      <c r="S22" s="11">
        <f>VLOOKUP($J22,output!$A$9:$AI$2200,S$1-$L$1+2)</f>
        <v>238.434</v>
      </c>
      <c r="T22" s="11">
        <f>VLOOKUP($J22,output!$A$9:$AI$2200,T$1-$L$1+2)</f>
        <v>253.65299999999999</v>
      </c>
      <c r="U22" s="11">
        <f>VLOOKUP($J22,output!$A$9:$AI$2200,U$1-$L$1+2)</f>
        <v>245.87799999999999</v>
      </c>
      <c r="V22" s="11">
        <f>VLOOKUP($J22,output!$A$9:$AI$2200,V$1-$L$1+2)</f>
        <v>265.50299999999999</v>
      </c>
      <c r="W22" s="11">
        <f>VLOOKUP($J22,output!$A$9:$AI$2200,W$1-$L$1+2)</f>
        <v>311.76100000000002</v>
      </c>
      <c r="X22" s="11">
        <f>VLOOKUP($J22,output!$A$9:$AI$2200,X$1-$L$1+2)</f>
        <v>325.79500000000002</v>
      </c>
      <c r="Y22" s="11">
        <f>VLOOKUP($J22,output!$A$9:$AI$2200,Y$1-$L$1+2)</f>
        <v>298.59800000000001</v>
      </c>
      <c r="Z22" s="11">
        <f>VLOOKUP($J22,output!$A$9:$AI$2200,Z$1-$L$1+2)</f>
        <v>256.43900000000002</v>
      </c>
      <c r="AA22" s="11">
        <f>VLOOKUP($J22,output!$A$9:$AI$2200,AA$1-$L$1+2)</f>
        <v>275.69400000000002</v>
      </c>
      <c r="AB22" s="11">
        <f>VLOOKUP($J22,output!$A$9:$AI$2200,AB$1-$L$1+2)</f>
        <v>321.87200000000001</v>
      </c>
      <c r="AC22" s="11">
        <f>VLOOKUP($J22,output!$A$9:$AI$2200,AC$1-$L$1+2)</f>
        <v>335.75700000000001</v>
      </c>
      <c r="AD22" s="11">
        <f>VLOOKUP($J22,output!$A$9:$AI$2200,AD$1-$L$1+2)</f>
        <v>336.935</v>
      </c>
      <c r="AE22" s="11">
        <f>VLOOKUP($J22,output!$A$9:$AI$2200,AE$1-$L$1+2)</f>
        <v>346.87099999999998</v>
      </c>
      <c r="AF22" s="11">
        <f>VLOOKUP($J22,output!$A$9:$AI$2200,AF$1-$L$1+2)</f>
        <v>310.096</v>
      </c>
      <c r="AG22" s="11">
        <f>VLOOKUP($J22,output!$A$9:$AI$2200,AG$1-$L$1+2)</f>
        <v>344.03</v>
      </c>
      <c r="AH22" s="11">
        <f>VLOOKUP($J22,output!$A$9:$AI$2200,AH$1-$L$1+2)</f>
        <v>327.65100000000001</v>
      </c>
      <c r="AI22" s="11">
        <f>VLOOKUP($J22,output!$A$9:$AI$2200,AI$1-$L$1+2)</f>
        <v>313.464</v>
      </c>
      <c r="AJ22" s="11">
        <f>VLOOKUP($J22,output!$A$9:$AI$2200,AJ$1-$L$1+2)</f>
        <v>299.41899999999998</v>
      </c>
      <c r="AK22" s="11">
        <f>VLOOKUP($J22,output!$A$9:$AI$2200,AK$1-$L$1+2)</f>
        <v>286.48099999999999</v>
      </c>
      <c r="AL22" s="11">
        <f>VLOOKUP($J22,output!$A$9:$AI$2200,AL$1-$L$1+2)</f>
        <v>274.02999999999997</v>
      </c>
      <c r="AM22" s="11">
        <f>VLOOKUP($J22,output!$A$9:$AI$2200,AM$1-$L$1+2)</f>
        <v>261.98399999999998</v>
      </c>
    </row>
    <row r="23" spans="10:39" x14ac:dyDescent="0.25">
      <c r="J23" t="s">
        <v>51</v>
      </c>
      <c r="K23" t="s">
        <v>345</v>
      </c>
      <c r="L23" s="11">
        <f>VLOOKUP($J23,output!$A$9:$AI$2200,L$1-$L$1+2)</f>
        <v>0</v>
      </c>
      <c r="M23" s="11">
        <f>VLOOKUP($J23,output!$A$9:$AI$2200,M$1-$L$1+2)</f>
        <v>373.90800000000002</v>
      </c>
      <c r="N23" s="11">
        <f>VLOOKUP($J23,output!$A$9:$AI$2200,N$1-$L$1+2)</f>
        <v>194.506</v>
      </c>
      <c r="O23" s="11">
        <f>VLOOKUP($J23,output!$A$9:$AI$2200,O$1-$L$1+2)</f>
        <v>207.952</v>
      </c>
      <c r="P23" s="11">
        <f>VLOOKUP($J23,output!$A$9:$AI$2200,P$1-$L$1+2)</f>
        <v>230.08699999999999</v>
      </c>
      <c r="Q23" s="11">
        <f>VLOOKUP($J23,output!$A$9:$AI$2200,Q$1-$L$1+2)</f>
        <v>222.751</v>
      </c>
      <c r="R23" s="11">
        <f>VLOOKUP($J23,output!$A$9:$AI$2200,R$1-$L$1+2)</f>
        <v>216.001</v>
      </c>
      <c r="S23" s="11">
        <f>VLOOKUP($J23,output!$A$9:$AI$2200,S$1-$L$1+2)</f>
        <v>266.178</v>
      </c>
      <c r="T23" s="11">
        <f>VLOOKUP($J23,output!$A$9:$AI$2200,T$1-$L$1+2)</f>
        <v>254.64</v>
      </c>
      <c r="U23" s="11">
        <f>VLOOKUP($J23,output!$A$9:$AI$2200,U$1-$L$1+2)</f>
        <v>255.42400000000001</v>
      </c>
      <c r="V23" s="11">
        <f>VLOOKUP($J23,output!$A$9:$AI$2200,V$1-$L$1+2)</f>
        <v>242.626</v>
      </c>
      <c r="W23" s="11">
        <f>VLOOKUP($J23,output!$A$9:$AI$2200,W$1-$L$1+2)</f>
        <v>230.38900000000001</v>
      </c>
      <c r="X23" s="11">
        <f>VLOOKUP($J23,output!$A$9:$AI$2200,X$1-$L$1+2)</f>
        <v>218.739</v>
      </c>
      <c r="Y23" s="11">
        <f>VLOOKUP($J23,output!$A$9:$AI$2200,Y$1-$L$1+2)</f>
        <v>225.44300000000001</v>
      </c>
      <c r="Z23" s="11">
        <f>VLOOKUP($J23,output!$A$9:$AI$2200,Z$1-$L$1+2)</f>
        <v>215.86500000000001</v>
      </c>
      <c r="AA23" s="11">
        <f>VLOOKUP($J23,output!$A$9:$AI$2200,AA$1-$L$1+2)</f>
        <v>206.59899999999999</v>
      </c>
      <c r="AB23" s="11">
        <f>VLOOKUP($J23,output!$A$9:$AI$2200,AB$1-$L$1+2)</f>
        <v>198.05600000000001</v>
      </c>
      <c r="AC23" s="11">
        <f>VLOOKUP($J23,output!$A$9:$AI$2200,AC$1-$L$1+2)</f>
        <v>409.33600000000001</v>
      </c>
      <c r="AD23" s="11">
        <f>VLOOKUP($J23,output!$A$9:$AI$2200,AD$1-$L$1+2)</f>
        <v>345.072</v>
      </c>
      <c r="AE23" s="11">
        <f>VLOOKUP($J23,output!$A$9:$AI$2200,AE$1-$L$1+2)</f>
        <v>330.66</v>
      </c>
      <c r="AF23" s="11">
        <f>VLOOKUP($J23,output!$A$9:$AI$2200,AF$1-$L$1+2)</f>
        <v>317.29500000000002</v>
      </c>
      <c r="AG23" s="11">
        <f>VLOOKUP($J23,output!$A$9:$AI$2200,AG$1-$L$1+2)</f>
        <v>308.51400000000001</v>
      </c>
      <c r="AH23" s="11">
        <f>VLOOKUP($J23,output!$A$9:$AI$2200,AH$1-$L$1+2)</f>
        <v>300.96300000000002</v>
      </c>
      <c r="AI23" s="11">
        <f>VLOOKUP($J23,output!$A$9:$AI$2200,AI$1-$L$1+2)</f>
        <v>292.709</v>
      </c>
      <c r="AJ23" s="11">
        <f>VLOOKUP($J23,output!$A$9:$AI$2200,AJ$1-$L$1+2)</f>
        <v>285.11500000000001</v>
      </c>
      <c r="AK23" s="11">
        <f>VLOOKUP($J23,output!$A$9:$AI$2200,AK$1-$L$1+2)</f>
        <v>277.81700000000001</v>
      </c>
      <c r="AL23" s="11">
        <f>VLOOKUP($J23,output!$A$9:$AI$2200,AL$1-$L$1+2)</f>
        <v>270.64800000000002</v>
      </c>
      <c r="AM23" s="11">
        <f>VLOOKUP($J23,output!$A$9:$AI$2200,AM$1-$L$1+2)</f>
        <v>265.262</v>
      </c>
    </row>
    <row r="24" spans="10:39" x14ac:dyDescent="0.25">
      <c r="J24" t="s">
        <v>52</v>
      </c>
      <c r="K24" t="s">
        <v>346</v>
      </c>
      <c r="L24" s="11">
        <f>VLOOKUP($J24,output!$A$9:$AI$2200,L$1-$L$1+2)</f>
        <v>0</v>
      </c>
      <c r="M24" s="11">
        <f>VLOOKUP($J24,output!$A$9:$AI$2200,M$1-$L$1+2)</f>
        <v>54.747</v>
      </c>
      <c r="N24" s="11">
        <f>VLOOKUP($J24,output!$A$9:$AI$2200,N$1-$L$1+2)</f>
        <v>37.575000000000003</v>
      </c>
      <c r="O24" s="11">
        <f>VLOOKUP($J24,output!$A$9:$AI$2200,O$1-$L$1+2)</f>
        <v>88.86</v>
      </c>
      <c r="P24" s="11">
        <f>VLOOKUP($J24,output!$A$9:$AI$2200,P$1-$L$1+2)</f>
        <v>71.555999999999997</v>
      </c>
      <c r="Q24" s="11">
        <f>VLOOKUP($J24,output!$A$9:$AI$2200,Q$1-$L$1+2)</f>
        <v>57.828000000000003</v>
      </c>
      <c r="R24" s="11">
        <f>VLOOKUP($J24,output!$A$9:$AI$2200,R$1-$L$1+2)</f>
        <v>47.110999999999997</v>
      </c>
      <c r="S24" s="11">
        <f>VLOOKUP($J24,output!$A$9:$AI$2200,S$1-$L$1+2)</f>
        <v>38.75</v>
      </c>
      <c r="T24" s="11">
        <f>VLOOKUP($J24,output!$A$9:$AI$2200,T$1-$L$1+2)</f>
        <v>66.132000000000005</v>
      </c>
      <c r="U24" s="11">
        <f>VLOOKUP($J24,output!$A$9:$AI$2200,U$1-$L$1+2)</f>
        <v>52.555999999999997</v>
      </c>
      <c r="V24" s="11">
        <f>VLOOKUP($J24,output!$A$9:$AI$2200,V$1-$L$1+2)</f>
        <v>41.511000000000003</v>
      </c>
      <c r="W24" s="11">
        <f>VLOOKUP($J24,output!$A$9:$AI$2200,W$1-$L$1+2)</f>
        <v>33.067</v>
      </c>
      <c r="X24" s="11">
        <f>VLOOKUP($J24,output!$A$9:$AI$2200,X$1-$L$1+2)</f>
        <v>26.641999999999999</v>
      </c>
      <c r="Y24" s="11">
        <f>VLOOKUP($J24,output!$A$9:$AI$2200,Y$1-$L$1+2)</f>
        <v>22.704000000000001</v>
      </c>
      <c r="Z24" s="11">
        <f>VLOOKUP($J24,output!$A$9:$AI$2200,Z$1-$L$1+2)</f>
        <v>184.874</v>
      </c>
      <c r="AA24" s="11">
        <f>VLOOKUP($J24,output!$A$9:$AI$2200,AA$1-$L$1+2)</f>
        <v>170.62299999999999</v>
      </c>
      <c r="AB24" s="11">
        <f>VLOOKUP($J24,output!$A$9:$AI$2200,AB$1-$L$1+2)</f>
        <v>157.56100000000001</v>
      </c>
      <c r="AC24" s="11">
        <f>VLOOKUP($J24,output!$A$9:$AI$2200,AC$1-$L$1+2)</f>
        <v>145.81800000000001</v>
      </c>
      <c r="AD24" s="11">
        <f>VLOOKUP($J24,output!$A$9:$AI$2200,AD$1-$L$1+2)</f>
        <v>131.06100000000001</v>
      </c>
      <c r="AE24" s="11">
        <f>VLOOKUP($J24,output!$A$9:$AI$2200,AE$1-$L$1+2)</f>
        <v>119.761</v>
      </c>
      <c r="AF24" s="11">
        <f>VLOOKUP($J24,output!$A$9:$AI$2200,AF$1-$L$1+2)</f>
        <v>109.343</v>
      </c>
      <c r="AG24" s="11">
        <f>VLOOKUP($J24,output!$A$9:$AI$2200,AG$1-$L$1+2)</f>
        <v>103.152</v>
      </c>
      <c r="AH24" s="11">
        <f>VLOOKUP($J24,output!$A$9:$AI$2200,AH$1-$L$1+2)</f>
        <v>97.028000000000006</v>
      </c>
      <c r="AI24" s="11">
        <f>VLOOKUP($J24,output!$A$9:$AI$2200,AI$1-$L$1+2)</f>
        <v>91.126999999999995</v>
      </c>
      <c r="AJ24" s="11">
        <f>VLOOKUP($J24,output!$A$9:$AI$2200,AJ$1-$L$1+2)</f>
        <v>85.679000000000002</v>
      </c>
      <c r="AK24" s="11">
        <f>VLOOKUP($J24,output!$A$9:$AI$2200,AK$1-$L$1+2)</f>
        <v>80.64</v>
      </c>
      <c r="AL24" s="11">
        <f>VLOOKUP($J24,output!$A$9:$AI$2200,AL$1-$L$1+2)</f>
        <v>76.004999999999995</v>
      </c>
      <c r="AM24" s="11">
        <f>VLOOKUP($J24,output!$A$9:$AI$2200,AM$1-$L$1+2)</f>
        <v>71.778999999999996</v>
      </c>
    </row>
    <row r="25" spans="10:39" x14ac:dyDescent="0.25">
      <c r="J25" t="s">
        <v>53</v>
      </c>
      <c r="K25" t="s">
        <v>347</v>
      </c>
      <c r="L25" s="11">
        <f>VLOOKUP($J25,output!$A$9:$AI$2200,L$1-$L$1+2)</f>
        <v>0</v>
      </c>
      <c r="M25" s="11">
        <f>VLOOKUP($J25,output!$A$9:$AI$2200,M$1-$L$1+2)</f>
        <v>14.484</v>
      </c>
      <c r="N25" s="11">
        <f>VLOOKUP($J25,output!$A$9:$AI$2200,N$1-$L$1+2)</f>
        <v>29.827999999999999</v>
      </c>
      <c r="O25" s="11">
        <f>VLOOKUP($J25,output!$A$9:$AI$2200,O$1-$L$1+2)</f>
        <v>47.03</v>
      </c>
      <c r="P25" s="11">
        <f>VLOOKUP($J25,output!$A$9:$AI$2200,P$1-$L$1+2)</f>
        <v>59.106000000000002</v>
      </c>
      <c r="Q25" s="11">
        <f>VLOOKUP($J25,output!$A$9:$AI$2200,Q$1-$L$1+2)</f>
        <v>61.26</v>
      </c>
      <c r="R25" s="11">
        <f>VLOOKUP($J25,output!$A$9:$AI$2200,R$1-$L$1+2)</f>
        <v>56.506999999999998</v>
      </c>
      <c r="S25" s="11">
        <f>VLOOKUP($J25,output!$A$9:$AI$2200,S$1-$L$1+2)</f>
        <v>61.023000000000003</v>
      </c>
      <c r="T25" s="11">
        <f>VLOOKUP($J25,output!$A$9:$AI$2200,T$1-$L$1+2)</f>
        <v>68.090999999999994</v>
      </c>
      <c r="U25" s="11">
        <f>VLOOKUP($J25,output!$A$9:$AI$2200,U$1-$L$1+2)</f>
        <v>75.900000000000006</v>
      </c>
      <c r="V25" s="11">
        <f>VLOOKUP($J25,output!$A$9:$AI$2200,V$1-$L$1+2)</f>
        <v>89.632999999999996</v>
      </c>
      <c r="W25" s="11">
        <f>VLOOKUP($J25,output!$A$9:$AI$2200,W$1-$L$1+2)</f>
        <v>108.262</v>
      </c>
      <c r="X25" s="11">
        <f>VLOOKUP($J25,output!$A$9:$AI$2200,X$1-$L$1+2)</f>
        <v>100.738</v>
      </c>
      <c r="Y25" s="11">
        <f>VLOOKUP($J25,output!$A$9:$AI$2200,Y$1-$L$1+2)</f>
        <v>105.217</v>
      </c>
      <c r="Z25" s="11">
        <f>VLOOKUP($J25,output!$A$9:$AI$2200,Z$1-$L$1+2)</f>
        <v>94.891999999999996</v>
      </c>
      <c r="AA25" s="11">
        <f>VLOOKUP($J25,output!$A$9:$AI$2200,AA$1-$L$1+2)</f>
        <v>90.465999999999994</v>
      </c>
      <c r="AB25" s="11">
        <f>VLOOKUP($J25,output!$A$9:$AI$2200,AB$1-$L$1+2)</f>
        <v>89.046000000000006</v>
      </c>
      <c r="AC25" s="11">
        <f>VLOOKUP($J25,output!$A$9:$AI$2200,AC$1-$L$1+2)</f>
        <v>85.248999999999995</v>
      </c>
      <c r="AD25" s="11">
        <f>VLOOKUP($J25,output!$A$9:$AI$2200,AD$1-$L$1+2)</f>
        <v>78.483999999999995</v>
      </c>
      <c r="AE25" s="11">
        <f>VLOOKUP($J25,output!$A$9:$AI$2200,AE$1-$L$1+2)</f>
        <v>75.302000000000007</v>
      </c>
      <c r="AF25" s="11">
        <f>VLOOKUP($J25,output!$A$9:$AI$2200,AF$1-$L$1+2)</f>
        <v>35.494999999999997</v>
      </c>
      <c r="AG25" s="11">
        <f>VLOOKUP($J25,output!$A$9:$AI$2200,AG$1-$L$1+2)</f>
        <v>39.951999999999998</v>
      </c>
      <c r="AH25" s="11">
        <f>VLOOKUP($J25,output!$A$9:$AI$2200,AH$1-$L$1+2)</f>
        <v>38.637</v>
      </c>
      <c r="AI25" s="11">
        <f>VLOOKUP($J25,output!$A$9:$AI$2200,AI$1-$L$1+2)</f>
        <v>37.526000000000003</v>
      </c>
      <c r="AJ25" s="11">
        <f>VLOOKUP($J25,output!$A$9:$AI$2200,AJ$1-$L$1+2)</f>
        <v>36.261000000000003</v>
      </c>
      <c r="AK25" s="11">
        <f>VLOOKUP($J25,output!$A$9:$AI$2200,AK$1-$L$1+2)</f>
        <v>35.168999999999997</v>
      </c>
      <c r="AL25" s="11">
        <f>VLOOKUP($J25,output!$A$9:$AI$2200,AL$1-$L$1+2)</f>
        <v>34.057000000000002</v>
      </c>
      <c r="AM25" s="11">
        <f>VLOOKUP($J25,output!$A$9:$AI$2200,AM$1-$L$1+2)</f>
        <v>32.911999999999999</v>
      </c>
    </row>
    <row r="26" spans="10:39" x14ac:dyDescent="0.25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0:39" x14ac:dyDescent="0.25">
      <c r="J27" t="s">
        <v>199</v>
      </c>
      <c r="L27" s="3"/>
      <c r="M27" s="3">
        <f t="shared" ref="M27:AM27" si="0">(M23+M24)/M17</f>
        <v>0.71325526137135098</v>
      </c>
      <c r="N27" s="3">
        <f t="shared" si="0"/>
        <v>0.53325475166354186</v>
      </c>
      <c r="O27" s="3">
        <f t="shared" si="0"/>
        <v>0.4754910913104633</v>
      </c>
      <c r="P27" s="3">
        <f t="shared" si="0"/>
        <v>0.44810533133675595</v>
      </c>
      <c r="Q27" s="3">
        <f t="shared" si="0"/>
        <v>0.40931099022452522</v>
      </c>
      <c r="R27" s="3">
        <f t="shared" si="0"/>
        <v>0.39622138594359191</v>
      </c>
      <c r="S27" s="3">
        <f t="shared" si="0"/>
        <v>0.42921248360161929</v>
      </c>
      <c r="T27" s="3">
        <f t="shared" si="0"/>
        <v>0.34324383032772587</v>
      </c>
      <c r="U27" s="3">
        <f t="shared" si="0"/>
        <v>0.34969910298626095</v>
      </c>
      <c r="V27" s="3">
        <f t="shared" si="0"/>
        <v>0.33321606030648132</v>
      </c>
      <c r="W27" s="3">
        <f t="shared" si="0"/>
        <v>0.30391042892556935</v>
      </c>
      <c r="X27" s="3">
        <f t="shared" si="0"/>
        <v>0.29518631018615982</v>
      </c>
      <c r="Y27" s="3">
        <f t="shared" si="0"/>
        <v>0.29967236713237311</v>
      </c>
      <c r="Z27" s="3">
        <f t="shared" si="0"/>
        <v>0.3206065891162776</v>
      </c>
      <c r="AA27" s="3">
        <f t="shared" si="0"/>
        <v>0.31774491759919471</v>
      </c>
      <c r="AB27" s="3">
        <f t="shared" si="0"/>
        <v>0.30543705214083444</v>
      </c>
      <c r="AC27" s="3">
        <f t="shared" si="0"/>
        <v>0.3933331869075512</v>
      </c>
      <c r="AD27" s="3">
        <f t="shared" si="0"/>
        <v>0.38382902774889122</v>
      </c>
      <c r="AE27" s="3">
        <f t="shared" si="0"/>
        <v>0.37920577605171241</v>
      </c>
      <c r="AF27" s="3">
        <f t="shared" si="0"/>
        <v>0.40344095213418846</v>
      </c>
      <c r="AG27" s="3">
        <f t="shared" si="0"/>
        <v>0.38839053218709191</v>
      </c>
      <c r="AH27" s="3">
        <f t="shared" si="0"/>
        <v>0.39435700024276299</v>
      </c>
      <c r="AI27" s="3">
        <f t="shared" si="0"/>
        <v>0.39899252920698575</v>
      </c>
      <c r="AJ27" s="3">
        <f t="shared" si="0"/>
        <v>0.40407965772547855</v>
      </c>
      <c r="AK27" s="3">
        <f t="shared" si="0"/>
        <v>0.40880455087689688</v>
      </c>
      <c r="AL27" s="3">
        <f t="shared" si="0"/>
        <v>0.4134199005129392</v>
      </c>
      <c r="AM27" s="3">
        <f t="shared" si="0"/>
        <v>0.41927666779040706</v>
      </c>
    </row>
    <row r="28" spans="10:39" x14ac:dyDescent="0.25">
      <c r="J28" t="s">
        <v>197</v>
      </c>
      <c r="L28" s="3"/>
      <c r="M28" s="3">
        <f t="shared" ref="M28:AM28" si="1">(M20+M21)/M17</f>
        <v>0.23728585120402537</v>
      </c>
      <c r="N28" s="3">
        <f t="shared" si="1"/>
        <v>0.25616705268188666</v>
      </c>
      <c r="O28" s="3">
        <f t="shared" si="1"/>
        <v>0.22547587236592112</v>
      </c>
      <c r="P28" s="3">
        <f t="shared" si="1"/>
        <v>0.19474502044114853</v>
      </c>
      <c r="Q28" s="3">
        <f t="shared" si="1"/>
        <v>0.17372511090590539</v>
      </c>
      <c r="R28" s="3">
        <f t="shared" si="1"/>
        <v>0.16484828771197479</v>
      </c>
      <c r="S28" s="3">
        <f t="shared" si="1"/>
        <v>0.14927734517957986</v>
      </c>
      <c r="T28" s="3">
        <f t="shared" si="1"/>
        <v>0.312472245436481</v>
      </c>
      <c r="U28" s="3">
        <f t="shared" si="1"/>
        <v>0.28493357556489152</v>
      </c>
      <c r="V28" s="3">
        <f t="shared" si="1"/>
        <v>0.25030637578265086</v>
      </c>
      <c r="W28" s="3">
        <f t="shared" si="1"/>
        <v>0.21157082757037537</v>
      </c>
      <c r="X28" s="3">
        <f t="shared" si="1"/>
        <v>0.19170671558750113</v>
      </c>
      <c r="Y28" s="3">
        <f t="shared" si="1"/>
        <v>0.212666699675507</v>
      </c>
      <c r="Z28" s="3">
        <f t="shared" si="1"/>
        <v>0.39831511912571804</v>
      </c>
      <c r="AA28" s="3">
        <f t="shared" si="1"/>
        <v>0.37382716257365117</v>
      </c>
      <c r="AB28" s="3">
        <f t="shared" si="1"/>
        <v>0.34162823834975675</v>
      </c>
      <c r="AC28" s="3">
        <f t="shared" si="1"/>
        <v>0.30837978218928741</v>
      </c>
      <c r="AD28" s="3">
        <f t="shared" si="1"/>
        <v>0.28128662890715062</v>
      </c>
      <c r="AE28" s="3">
        <f t="shared" si="1"/>
        <v>0.26536936742770889</v>
      </c>
      <c r="AF28" s="3">
        <f t="shared" si="1"/>
        <v>0.26975748417491097</v>
      </c>
      <c r="AG28" s="3">
        <f t="shared" si="1"/>
        <v>0.24933769086202076</v>
      </c>
      <c r="AH28" s="3">
        <f t="shared" si="1"/>
        <v>0.24269853301823693</v>
      </c>
      <c r="AI28" s="3">
        <f t="shared" si="1"/>
        <v>0.23615689185073382</v>
      </c>
      <c r="AJ28" s="3">
        <f t="shared" si="1"/>
        <v>0.23010681911802847</v>
      </c>
      <c r="AK28" s="3">
        <f t="shared" si="1"/>
        <v>0.22436653353739897</v>
      </c>
      <c r="AL28" s="3">
        <f t="shared" si="1"/>
        <v>0.21915418109221099</v>
      </c>
      <c r="AM28" s="3">
        <f t="shared" si="1"/>
        <v>0.2138747522898802</v>
      </c>
    </row>
    <row r="29" spans="10:39" x14ac:dyDescent="0.25">
      <c r="J29" t="s">
        <v>198</v>
      </c>
      <c r="L29" s="3"/>
      <c r="M29" s="3">
        <f t="shared" ref="M29:AM29" si="2">(M22+M25)/M17</f>
        <v>4.9458887424623614E-2</v>
      </c>
      <c r="N29" s="3">
        <f t="shared" si="2"/>
        <v>0.21057589794492848</v>
      </c>
      <c r="O29" s="3">
        <f t="shared" si="2"/>
        <v>0.29903303632361566</v>
      </c>
      <c r="P29" s="3">
        <f t="shared" si="2"/>
        <v>0.35714964822209544</v>
      </c>
      <c r="Q29" s="3">
        <f t="shared" si="2"/>
        <v>0.41696681648628503</v>
      </c>
      <c r="R29" s="3">
        <f t="shared" si="2"/>
        <v>0.43893032634443335</v>
      </c>
      <c r="S29" s="3">
        <f t="shared" si="2"/>
        <v>0.42151157880512807</v>
      </c>
      <c r="T29" s="3">
        <f t="shared" si="2"/>
        <v>0.34428392423579313</v>
      </c>
      <c r="U29" s="3">
        <f t="shared" si="2"/>
        <v>0.3653661859884183</v>
      </c>
      <c r="V29" s="3">
        <f t="shared" si="2"/>
        <v>0.41647873664113627</v>
      </c>
      <c r="W29" s="3">
        <f t="shared" si="2"/>
        <v>0.48451874350405538</v>
      </c>
      <c r="X29" s="3">
        <f t="shared" si="2"/>
        <v>0.51310697422633911</v>
      </c>
      <c r="Y29" s="3">
        <f t="shared" si="2"/>
        <v>0.48766334847311971</v>
      </c>
      <c r="Z29" s="3">
        <f t="shared" si="2"/>
        <v>0.28107829175800436</v>
      </c>
      <c r="AA29" s="3">
        <f t="shared" si="2"/>
        <v>0.30842707749845227</v>
      </c>
      <c r="AB29" s="3">
        <f t="shared" si="2"/>
        <v>0.35293470950940875</v>
      </c>
      <c r="AC29" s="3">
        <f t="shared" si="2"/>
        <v>0.29828773941501008</v>
      </c>
      <c r="AD29" s="3">
        <f t="shared" si="2"/>
        <v>0.33488514948221737</v>
      </c>
      <c r="AE29" s="3">
        <f t="shared" si="2"/>
        <v>0.35542401462871309</v>
      </c>
      <c r="AF29" s="3">
        <f t="shared" si="2"/>
        <v>0.32680061806263461</v>
      </c>
      <c r="AG29" s="3">
        <f t="shared" si="2"/>
        <v>0.36227177695088719</v>
      </c>
      <c r="AH29" s="3">
        <f t="shared" si="2"/>
        <v>0.36294347586985926</v>
      </c>
      <c r="AI29" s="3">
        <f t="shared" si="2"/>
        <v>0.36484953945528803</v>
      </c>
      <c r="AJ29" s="3">
        <f t="shared" si="2"/>
        <v>0.36581352315649296</v>
      </c>
      <c r="AK29" s="3">
        <f t="shared" si="2"/>
        <v>0.36682777512938475</v>
      </c>
      <c r="AL29" s="3">
        <f t="shared" si="2"/>
        <v>0.36742591839484984</v>
      </c>
      <c r="AM29" s="3">
        <f t="shared" si="2"/>
        <v>0.36684857991971259</v>
      </c>
    </row>
    <row r="32" spans="10:39" x14ac:dyDescent="0.25">
      <c r="J32" s="2" t="s">
        <v>338</v>
      </c>
      <c r="L32" s="11"/>
    </row>
    <row r="33" spans="9:40" ht="45" x14ac:dyDescent="0.25">
      <c r="I33" t="s">
        <v>354</v>
      </c>
      <c r="J33" t="s">
        <v>320</v>
      </c>
      <c r="K33" s="19" t="s">
        <v>355</v>
      </c>
      <c r="L33" s="11">
        <f>VLOOKUP($J33,output!$A$9:$AI$2200,L$1-$L$1+2)</f>
        <v>0</v>
      </c>
      <c r="M33" s="11">
        <f>VLOOKUP($J33,output!$A$9:$AI$2200,M$1-$L$1+2)</f>
        <v>2719.8719999999998</v>
      </c>
      <c r="N33" s="11">
        <f>VLOOKUP($J33,output!$A$9:$AI$2200,N$1-$L$1+2)</f>
        <v>2421.893</v>
      </c>
      <c r="O33" s="11">
        <f>VLOOKUP($J33,output!$A$9:$AI$2200,O$1-$L$1+2)</f>
        <v>2720.08</v>
      </c>
      <c r="P33" s="11">
        <f>VLOOKUP($J33,output!$A$9:$AI$2200,P$1-$L$1+2)</f>
        <v>2780.1880000000001</v>
      </c>
      <c r="Q33" s="11">
        <f>VLOOKUP($J33,output!$A$9:$AI$2200,Q$1-$L$1+2)</f>
        <v>2770.962</v>
      </c>
      <c r="R33" s="11">
        <f>VLOOKUP($J33,output!$A$9:$AI$2200,R$1-$L$1+2)</f>
        <v>2719.1930000000002</v>
      </c>
      <c r="S33" s="11">
        <f>VLOOKUP($J33,output!$A$9:$AI$2200,S$1-$L$1+2)</f>
        <v>2785.4859999999999</v>
      </c>
      <c r="T33" s="11">
        <f>VLOOKUP($J33,output!$A$9:$AI$2200,T$1-$L$1+2)</f>
        <v>3154.3809999999999</v>
      </c>
      <c r="U33" s="11">
        <f>VLOOKUP($J33,output!$A$9:$AI$2200,U$1-$L$1+2)</f>
        <v>3075.105</v>
      </c>
      <c r="V33" s="11">
        <f>VLOOKUP($J33,output!$A$9:$AI$2200,V$1-$L$1+2)</f>
        <v>3012.2429999999999</v>
      </c>
      <c r="W33" s="11">
        <f>VLOOKUP($J33,output!$A$9:$AI$2200,W$1-$L$1+2)</f>
        <v>3008.1030000000001</v>
      </c>
      <c r="X33" s="11">
        <f>VLOOKUP($J33,output!$A$9:$AI$2200,X$1-$L$1+2)</f>
        <v>2941.2539999999999</v>
      </c>
      <c r="Y33" s="11">
        <f>VLOOKUP($J33,output!$A$9:$AI$2200,Y$1-$L$1+2)</f>
        <v>2690.6759999999999</v>
      </c>
      <c r="Z33" s="11">
        <f>VLOOKUP($J33,output!$A$9:$AI$2200,Z$1-$L$1+2)</f>
        <v>3275.2049999999999</v>
      </c>
      <c r="AA33" s="11">
        <f>VLOOKUP($J33,output!$A$9:$AI$2200,AA$1-$L$1+2)</f>
        <v>3175.8069999999998</v>
      </c>
      <c r="AB33" s="11">
        <f>VLOOKUP($J33,output!$A$9:$AI$2200,AB$1-$L$1+2)</f>
        <v>2957.739</v>
      </c>
      <c r="AC33" s="11">
        <f>VLOOKUP($J33,output!$A$9:$AI$2200,AC$1-$L$1+2)</f>
        <v>3524.2660000000001</v>
      </c>
      <c r="AD33" s="11">
        <f>VLOOKUP($J33,output!$A$9:$AI$2200,AD$1-$L$1+2)</f>
        <v>3033.3420000000001</v>
      </c>
      <c r="AE33" s="11">
        <f>VLOOKUP($J33,output!$A$9:$AI$2200,AE$1-$L$1+2)</f>
        <v>2948.9349999999999</v>
      </c>
      <c r="AF33" s="11">
        <f>VLOOKUP($J33,output!$A$9:$AI$2200,AF$1-$L$1+2)</f>
        <v>2661.1010000000001</v>
      </c>
      <c r="AG33" s="11">
        <f>VLOOKUP($J33,output!$A$9:$AI$2200,AG$1-$L$1+2)</f>
        <v>2990.9870000000001</v>
      </c>
      <c r="AH33" s="11">
        <f>VLOOKUP($J33,output!$A$9:$AI$2200,AH$1-$L$1+2)</f>
        <v>2657.886</v>
      </c>
      <c r="AI33" s="11">
        <f>VLOOKUP($J33,output!$A$9:$AI$2200,AI$1-$L$1+2)</f>
        <v>2834.1320000000001</v>
      </c>
      <c r="AJ33" s="11">
        <f>VLOOKUP($J33,output!$A$9:$AI$2200,AJ$1-$L$1+2)</f>
        <v>2666.1390000000001</v>
      </c>
      <c r="AK33" s="11">
        <f>VLOOKUP($J33,output!$A$9:$AI$2200,AK$1-$L$1+2)</f>
        <v>2723.33</v>
      </c>
      <c r="AL33" s="11">
        <f>VLOOKUP($J33,output!$A$9:$AI$2200,AL$1-$L$1+2)</f>
        <v>2802.7860000000001</v>
      </c>
      <c r="AM33" s="11">
        <f>VLOOKUP($J33,output!$A$9:$AI$2200,AM$1-$L$1+2)</f>
        <v>2872.3069999999998</v>
      </c>
    </row>
    <row r="34" spans="9:40" ht="45" x14ac:dyDescent="0.25">
      <c r="J34" t="s">
        <v>321</v>
      </c>
      <c r="K34" s="19" t="s">
        <v>351</v>
      </c>
      <c r="L34" s="11">
        <f>VLOOKUP($J34,output!$A$9:$AI$2200,L$1-$L$1+2)</f>
        <v>0</v>
      </c>
      <c r="M34" s="11">
        <f>VLOOKUP($J34,output!$A$9:$AI$2200,M$1-$L$1+2)</f>
        <v>939.37</v>
      </c>
      <c r="N34" s="11">
        <f>VLOOKUP($J34,output!$A$9:$AI$2200,N$1-$L$1+2)</f>
        <v>639.75</v>
      </c>
      <c r="O34" s="11">
        <f>VLOOKUP($J34,output!$A$9:$AI$2200,O$1-$L$1+2)</f>
        <v>948.94799999999998</v>
      </c>
      <c r="P34" s="11">
        <f>VLOOKUP($J34,output!$A$9:$AI$2200,P$1-$L$1+2)</f>
        <v>1016.663</v>
      </c>
      <c r="Q34" s="11">
        <f>VLOOKUP($J34,output!$A$9:$AI$2200,Q$1-$L$1+2)</f>
        <v>1014.205</v>
      </c>
      <c r="R34" s="11">
        <f>VLOOKUP($J34,output!$A$9:$AI$2200,R$1-$L$1+2)</f>
        <v>966.7</v>
      </c>
      <c r="S34" s="11">
        <f>VLOOKUP($J34,output!$A$9:$AI$2200,S$1-$L$1+2)</f>
        <v>1037.6959999999999</v>
      </c>
      <c r="T34" s="11">
        <f>VLOOKUP($J34,output!$A$9:$AI$2200,T$1-$L$1+2)</f>
        <v>1411.5350000000001</v>
      </c>
      <c r="U34" s="11">
        <f>VLOOKUP($J34,output!$A$9:$AI$2200,U$1-$L$1+2)</f>
        <v>1335.3040000000001</v>
      </c>
      <c r="V34" s="11">
        <f>VLOOKUP($J34,output!$A$9:$AI$2200,V$1-$L$1+2)</f>
        <v>1277.6500000000001</v>
      </c>
      <c r="W34" s="11">
        <f>VLOOKUP($J34,output!$A$9:$AI$2200,W$1-$L$1+2)</f>
        <v>1281.5419999999999</v>
      </c>
      <c r="X34" s="11">
        <f>VLOOKUP($J34,output!$A$9:$AI$2200,X$1-$L$1+2)</f>
        <v>1216.626</v>
      </c>
      <c r="Y34" s="11">
        <f>VLOOKUP($J34,output!$A$9:$AI$2200,Y$1-$L$1+2)</f>
        <v>1206.5409999999999</v>
      </c>
      <c r="Z34" s="11">
        <f>VLOOKUP($J34,output!$A$9:$AI$2200,Z$1-$L$1+2)</f>
        <v>1788.818</v>
      </c>
      <c r="AA34" s="11">
        <f>VLOOKUP($J34,output!$A$9:$AI$2200,AA$1-$L$1+2)</f>
        <v>1691.2180000000001</v>
      </c>
      <c r="AB34" s="11">
        <f>VLOOKUP($J34,output!$A$9:$AI$2200,AB$1-$L$1+2)</f>
        <v>1646.345</v>
      </c>
      <c r="AC34" s="11">
        <f>VLOOKUP($J34,output!$A$9:$AI$2200,AC$1-$L$1+2)</f>
        <v>2066.2199999999998</v>
      </c>
      <c r="AD34" s="11">
        <f>VLOOKUP($J34,output!$A$9:$AI$2200,AD$1-$L$1+2)</f>
        <v>1702.277</v>
      </c>
      <c r="AE34" s="11">
        <f>VLOOKUP($J34,output!$A$9:$AI$2200,AE$1-$L$1+2)</f>
        <v>1627.3240000000001</v>
      </c>
      <c r="AF34" s="11">
        <f>VLOOKUP($J34,output!$A$9:$AI$2200,AF$1-$L$1+2)</f>
        <v>1432.268</v>
      </c>
      <c r="AG34" s="11">
        <f>VLOOKUP($J34,output!$A$9:$AI$2200,AG$1-$L$1+2)</f>
        <v>1437.0540000000001</v>
      </c>
      <c r="AH34" s="11">
        <f>VLOOKUP($J34,output!$A$9:$AI$2200,AH$1-$L$1+2)</f>
        <v>1359.76</v>
      </c>
      <c r="AI34" s="11">
        <f>VLOOKUP($J34,output!$A$9:$AI$2200,AI$1-$L$1+2)</f>
        <v>1303.501</v>
      </c>
      <c r="AJ34" s="11">
        <f>VLOOKUP($J34,output!$A$9:$AI$2200,AJ$1-$L$1+2)</f>
        <v>1236.3510000000001</v>
      </c>
      <c r="AK34" s="11">
        <f>VLOOKUP($J34,output!$A$9:$AI$2200,AK$1-$L$1+2)</f>
        <v>1184.095</v>
      </c>
      <c r="AL34" s="11">
        <f>VLOOKUP($J34,output!$A$9:$AI$2200,AL$1-$L$1+2)</f>
        <v>1135.778</v>
      </c>
      <c r="AM34" s="11">
        <f>VLOOKUP($J34,output!$A$9:$AI$2200,AM$1-$L$1+2)</f>
        <v>1093.2270000000001</v>
      </c>
      <c r="AN34" s="11"/>
    </row>
    <row r="35" spans="9:40" x14ac:dyDescent="0.25">
      <c r="AN35" s="11"/>
    </row>
    <row r="36" spans="9:40" x14ac:dyDescent="0.25">
      <c r="J36" s="2" t="s">
        <v>349</v>
      </c>
      <c r="AN36" s="11"/>
    </row>
    <row r="37" spans="9:40" x14ac:dyDescent="0.25">
      <c r="J37" t="s">
        <v>330</v>
      </c>
      <c r="K37" t="s">
        <v>348</v>
      </c>
      <c r="L37" s="11">
        <f>VLOOKUP($J37,output!$A$9:$AI$2200,L$1-$L$1+2)</f>
        <v>0</v>
      </c>
      <c r="M37" s="11">
        <f>VLOOKUP($J37,output!$A$9:$AI$2200,M$1-$L$1+2)</f>
        <v>912.09100000000001</v>
      </c>
      <c r="N37" s="11">
        <f>VLOOKUP($J37,output!$A$9:$AI$2200,N$1-$L$1+2)</f>
        <v>617.90800000000002</v>
      </c>
      <c r="O37" s="11">
        <f>VLOOKUP($J37,output!$A$9:$AI$2200,O$1-$L$1+2)</f>
        <v>919.89499999999998</v>
      </c>
      <c r="P37" s="11">
        <f>VLOOKUP($J37,output!$A$9:$AI$2200,P$1-$L$1+2)</f>
        <v>983.82500000000005</v>
      </c>
      <c r="Q37" s="11">
        <f>VLOOKUP($J37,output!$A$9:$AI$2200,Q$1-$L$1+2)</f>
        <v>978.43</v>
      </c>
      <c r="R37" s="11">
        <f>VLOOKUP($J37,output!$A$9:$AI$2200,R$1-$L$1+2)</f>
        <v>930.49900000000002</v>
      </c>
      <c r="S37" s="11">
        <f>VLOOKUP($J37,output!$A$9:$AI$2200,S$1-$L$1+2)</f>
        <v>1000.628</v>
      </c>
      <c r="T37" s="11">
        <f>VLOOKUP($J37,output!$A$9:$AI$2200,T$1-$L$1+2)</f>
        <v>1372.337</v>
      </c>
      <c r="U37" s="11">
        <f>VLOOKUP($J37,output!$A$9:$AI$2200,U$1-$L$1+2)</f>
        <v>1294.7560000000001</v>
      </c>
      <c r="V37" s="11">
        <f>VLOOKUP($J37,output!$A$9:$AI$2200,V$1-$L$1+2)</f>
        <v>1233.846</v>
      </c>
      <c r="W37" s="11">
        <f>VLOOKUP($J37,output!$A$9:$AI$2200,W$1-$L$1+2)</f>
        <v>1231.886</v>
      </c>
      <c r="X37" s="11">
        <f>VLOOKUP($J37,output!$A$9:$AI$2200,X$1-$L$1+2)</f>
        <v>1166.3979999999999</v>
      </c>
      <c r="Y37" s="11">
        <f>VLOOKUP($J37,output!$A$9:$AI$2200,Y$1-$L$1+2)</f>
        <v>1163.037</v>
      </c>
      <c r="Z37" s="11">
        <f>VLOOKUP($J37,output!$A$9:$AI$2200,Z$1-$L$1+2)</f>
        <v>1748.6469999999999</v>
      </c>
      <c r="AA37" s="11">
        <f>VLOOKUP($J37,output!$A$9:$AI$2200,AA$1-$L$1+2)</f>
        <v>1650.4559999999999</v>
      </c>
      <c r="AB37" s="11">
        <f>VLOOKUP($J37,output!$A$9:$AI$2200,AB$1-$L$1+2)</f>
        <v>1609.2159999999999</v>
      </c>
      <c r="AC37" s="11">
        <f>VLOOKUP($J37,output!$A$9:$AI$2200,AC$1-$L$1+2)</f>
        <v>2020.3779999999999</v>
      </c>
      <c r="AD37" s="11">
        <f>VLOOKUP($J37,output!$A$9:$AI$2200,AD$1-$L$1+2)</f>
        <v>1663.67</v>
      </c>
      <c r="AE37" s="11">
        <f>VLOOKUP($J37,output!$A$9:$AI$2200,AE$1-$L$1+2)</f>
        <v>1588.105</v>
      </c>
      <c r="AF37" s="11">
        <f>VLOOKUP($J37,output!$A$9:$AI$2200,AF$1-$L$1+2)</f>
        <v>1403.558</v>
      </c>
      <c r="AG37" s="11">
        <f>VLOOKUP($J37,output!$A$9:$AI$2200,AG$1-$L$1+2)</f>
        <v>1406.2750000000001</v>
      </c>
      <c r="AH37" s="11">
        <f>VLOOKUP($J37,output!$A$9:$AI$2200,AH$1-$L$1+2)</f>
        <v>1336.306</v>
      </c>
      <c r="AI37" s="11">
        <f>VLOOKUP($J37,output!$A$9:$AI$2200,AI$1-$L$1+2)</f>
        <v>1270.905</v>
      </c>
      <c r="AJ37" s="11">
        <f>VLOOKUP($J37,output!$A$9:$AI$2200,AJ$1-$L$1+2)</f>
        <v>1209.7940000000001</v>
      </c>
      <c r="AK37" s="11">
        <f>VLOOKUP($J37,output!$A$9:$AI$2200,AK$1-$L$1+2)</f>
        <v>1153.701</v>
      </c>
      <c r="AL37" s="11">
        <f>VLOOKUP($J37,output!$A$9:$AI$2200,AL$1-$L$1+2)</f>
        <v>1101.08</v>
      </c>
      <c r="AM37" s="11">
        <f>VLOOKUP($J37,output!$A$9:$AI$2200,AM$1-$L$1+2)</f>
        <v>1054.9480000000001</v>
      </c>
      <c r="AN37" s="11"/>
    </row>
    <row r="38" spans="9:40" x14ac:dyDescent="0.25">
      <c r="J38" t="s">
        <v>57</v>
      </c>
      <c r="L38" s="11">
        <f>VLOOKUP($J38,output!$A$9:$AI$2200,L$1-$L$1+2)</f>
        <v>0</v>
      </c>
      <c r="M38" s="11">
        <f>VLOOKUP($J38,output!$A$9:$AI$2200,M$1-$L$1+2)</f>
        <v>113.52800000000001</v>
      </c>
      <c r="N38" s="11">
        <f>VLOOKUP($J38,output!$A$9:$AI$2200,N$1-$L$1+2)</f>
        <v>70.798000000000002</v>
      </c>
      <c r="O38" s="11">
        <f>VLOOKUP($J38,output!$A$9:$AI$2200,O$1-$L$1+2)</f>
        <v>109.062</v>
      </c>
      <c r="P38" s="11">
        <f>VLOOKUP($J38,output!$A$9:$AI$2200,P$1-$L$1+2)</f>
        <v>116.565</v>
      </c>
      <c r="Q38" s="11">
        <f>VLOOKUP($J38,output!$A$9:$AI$2200,Q$1-$L$1+2)</f>
        <v>114.67100000000001</v>
      </c>
      <c r="R38" s="11">
        <f>VLOOKUP($J38,output!$A$9:$AI$2200,R$1-$L$1+2)</f>
        <v>107.732</v>
      </c>
      <c r="S38" s="11">
        <f>VLOOKUP($J38,output!$A$9:$AI$2200,S$1-$L$1+2)</f>
        <v>113.806</v>
      </c>
      <c r="T38" s="11">
        <f>VLOOKUP($J38,output!$A$9:$AI$2200,T$1-$L$1+2)</f>
        <v>168.60400000000001</v>
      </c>
      <c r="U38" s="11">
        <f>VLOOKUP($J38,output!$A$9:$AI$2200,U$1-$L$1+2)</f>
        <v>159.72900000000001</v>
      </c>
      <c r="V38" s="11">
        <f>VLOOKUP($J38,output!$A$9:$AI$2200,V$1-$L$1+2)</f>
        <v>150.84299999999999</v>
      </c>
      <c r="W38" s="11">
        <f>VLOOKUP($J38,output!$A$9:$AI$2200,W$1-$L$1+2)</f>
        <v>149.56200000000001</v>
      </c>
      <c r="X38" s="11">
        <f>VLOOKUP($J38,output!$A$9:$AI$2200,X$1-$L$1+2)</f>
        <v>140.471</v>
      </c>
      <c r="Y38" s="11">
        <f>VLOOKUP($J38,output!$A$9:$AI$2200,Y$1-$L$1+2)</f>
        <v>140.654</v>
      </c>
      <c r="Z38" s="11">
        <f>VLOOKUP($J38,output!$A$9:$AI$2200,Z$1-$L$1+2)</f>
        <v>217.66399999999999</v>
      </c>
      <c r="AA38" s="11">
        <f>VLOOKUP($J38,output!$A$9:$AI$2200,AA$1-$L$1+2)</f>
        <v>204.13499999999999</v>
      </c>
      <c r="AB38" s="11">
        <f>VLOOKUP($J38,output!$A$9:$AI$2200,AB$1-$L$1+2)</f>
        <v>198.04300000000001</v>
      </c>
      <c r="AC38" s="11">
        <f>VLOOKUP($J38,output!$A$9:$AI$2200,AC$1-$L$1+2)</f>
        <v>255.07300000000001</v>
      </c>
      <c r="AD38" s="11">
        <f>VLOOKUP($J38,output!$A$9:$AI$2200,AD$1-$L$1+2)</f>
        <v>197.636</v>
      </c>
      <c r="AE38" s="11">
        <f>VLOOKUP($J38,output!$A$9:$AI$2200,AE$1-$L$1+2)</f>
        <v>187.953</v>
      </c>
      <c r="AF38" s="11">
        <f>VLOOKUP($J38,output!$A$9:$AI$2200,AF$1-$L$1+2)</f>
        <v>164.27799999999999</v>
      </c>
      <c r="AG38" s="11">
        <f>VLOOKUP($J38,output!$A$9:$AI$2200,AG$1-$L$1+2)</f>
        <v>164.98699999999999</v>
      </c>
      <c r="AH38" s="11">
        <f>VLOOKUP($J38,output!$A$9:$AI$2200,AH$1-$L$1+2)</f>
        <v>156.369</v>
      </c>
      <c r="AI38" s="11">
        <f>VLOOKUP($J38,output!$A$9:$AI$2200,AI$1-$L$1+2)</f>
        <v>148.261</v>
      </c>
      <c r="AJ38" s="11">
        <f>VLOOKUP($J38,output!$A$9:$AI$2200,AJ$1-$L$1+2)</f>
        <v>140.73400000000001</v>
      </c>
      <c r="AK38" s="11">
        <f>VLOOKUP($J38,output!$A$9:$AI$2200,AK$1-$L$1+2)</f>
        <v>133.83799999999999</v>
      </c>
      <c r="AL38" s="11">
        <f>VLOOKUP($J38,output!$A$9:$AI$2200,AL$1-$L$1+2)</f>
        <v>127.375</v>
      </c>
      <c r="AM38" s="11">
        <f>VLOOKUP($J38,output!$A$9:$AI$2200,AM$1-$L$1+2)</f>
        <v>122.995</v>
      </c>
    </row>
    <row r="39" spans="9:40" x14ac:dyDescent="0.25">
      <c r="J39" t="s">
        <v>56</v>
      </c>
      <c r="L39" s="11">
        <f>VLOOKUP($J39,output!$A$9:$AI$2200,L$1-$L$1+2)</f>
        <v>0</v>
      </c>
      <c r="M39" s="11">
        <f>VLOOKUP($J39,output!$A$9:$AI$2200,M$1-$L$1+2)</f>
        <v>495.41500000000002</v>
      </c>
      <c r="N39" s="11">
        <f>VLOOKUP($J39,output!$A$9:$AI$2200,N$1-$L$1+2)</f>
        <v>352.84800000000001</v>
      </c>
      <c r="O39" s="11">
        <f>VLOOKUP($J39,output!$A$9:$AI$2200,O$1-$L$1+2)</f>
        <v>484.40600000000001</v>
      </c>
      <c r="P39" s="11">
        <f>VLOOKUP($J39,output!$A$9:$AI$2200,P$1-$L$1+2)</f>
        <v>523.27800000000002</v>
      </c>
      <c r="Q39" s="11">
        <f>VLOOKUP($J39,output!$A$9:$AI$2200,Q$1-$L$1+2)</f>
        <v>540.44399999999996</v>
      </c>
      <c r="R39" s="11">
        <f>VLOOKUP($J39,output!$A$9:$AI$2200,R$1-$L$1+2)</f>
        <v>529.28599999999994</v>
      </c>
      <c r="S39" s="11">
        <f>VLOOKUP($J39,output!$A$9:$AI$2200,S$1-$L$1+2)</f>
        <v>544.101</v>
      </c>
      <c r="T39" s="11">
        <f>VLOOKUP($J39,output!$A$9:$AI$2200,T$1-$L$1+2)</f>
        <v>724.91200000000003</v>
      </c>
      <c r="U39" s="11">
        <f>VLOOKUP($J39,output!$A$9:$AI$2200,U$1-$L$1+2)</f>
        <v>681.30100000000004</v>
      </c>
      <c r="V39" s="11">
        <f>VLOOKUP($J39,output!$A$9:$AI$2200,V$1-$L$1+2)</f>
        <v>662.89800000000002</v>
      </c>
      <c r="W39" s="11">
        <f>VLOOKUP($J39,output!$A$9:$AI$2200,W$1-$L$1+2)</f>
        <v>677.99599999999998</v>
      </c>
      <c r="X39" s="11">
        <f>VLOOKUP($J39,output!$A$9:$AI$2200,X$1-$L$1+2)</f>
        <v>654.73400000000004</v>
      </c>
      <c r="Y39" s="11">
        <f>VLOOKUP($J39,output!$A$9:$AI$2200,Y$1-$L$1+2)</f>
        <v>651.35400000000004</v>
      </c>
      <c r="Z39" s="11">
        <f>VLOOKUP($J39,output!$A$9:$AI$2200,Z$1-$L$1+2)</f>
        <v>992.11599999999999</v>
      </c>
      <c r="AA39" s="11">
        <f>VLOOKUP($J39,output!$A$9:$AI$2200,AA$1-$L$1+2)</f>
        <v>943.976</v>
      </c>
      <c r="AB39" s="11">
        <f>VLOOKUP($J39,output!$A$9:$AI$2200,AB$1-$L$1+2)</f>
        <v>928.11099999999999</v>
      </c>
      <c r="AC39" s="11">
        <f>VLOOKUP($J39,output!$A$9:$AI$2200,AC$1-$L$1+2)</f>
        <v>1094.348</v>
      </c>
      <c r="AD39" s="11">
        <f>VLOOKUP($J39,output!$A$9:$AI$2200,AD$1-$L$1+2)</f>
        <v>998.11300000000006</v>
      </c>
      <c r="AE39" s="11">
        <f>VLOOKUP($J39,output!$A$9:$AI$2200,AE$1-$L$1+2)</f>
        <v>956.62800000000004</v>
      </c>
      <c r="AF39" s="11">
        <f>VLOOKUP($J39,output!$A$9:$AI$2200,AF$1-$L$1+2)</f>
        <v>855.53499999999997</v>
      </c>
      <c r="AG39" s="11">
        <f>VLOOKUP($J39,output!$A$9:$AI$2200,AG$1-$L$1+2)</f>
        <v>857.31500000000005</v>
      </c>
      <c r="AH39" s="11">
        <f>VLOOKUP($J39,output!$A$9:$AI$2200,AH$1-$L$1+2)</f>
        <v>815.952</v>
      </c>
      <c r="AI39" s="11">
        <f>VLOOKUP($J39,output!$A$9:$AI$2200,AI$1-$L$1+2)</f>
        <v>777.71</v>
      </c>
      <c r="AJ39" s="11">
        <f>VLOOKUP($J39,output!$A$9:$AI$2200,AJ$1-$L$1+2)</f>
        <v>741.70500000000004</v>
      </c>
      <c r="AK39" s="11">
        <f>VLOOKUP($J39,output!$A$9:$AI$2200,AK$1-$L$1+2)</f>
        <v>708.66099999999994</v>
      </c>
      <c r="AL39" s="11">
        <f>VLOOKUP($J39,output!$A$9:$AI$2200,AL$1-$L$1+2)</f>
        <v>677.64700000000005</v>
      </c>
      <c r="AM39" s="11">
        <f>VLOOKUP($J39,output!$A$9:$AI$2200,AM$1-$L$1+2)</f>
        <v>648.36</v>
      </c>
    </row>
    <row r="40" spans="9:40" x14ac:dyDescent="0.25">
      <c r="J40" t="s">
        <v>55</v>
      </c>
      <c r="L40" s="11">
        <f>VLOOKUP($J40,output!$A$9:$AI$2200,L$1-$L$1+2)</f>
        <v>0</v>
      </c>
      <c r="M40" s="11">
        <f>VLOOKUP($J40,output!$A$9:$AI$2200,M$1-$L$1+2)</f>
        <v>189.63399999999999</v>
      </c>
      <c r="N40" s="11">
        <f>VLOOKUP($J40,output!$A$9:$AI$2200,N$1-$L$1+2)</f>
        <v>112.911</v>
      </c>
      <c r="O40" s="11">
        <f>VLOOKUP($J40,output!$A$9:$AI$2200,O$1-$L$1+2)</f>
        <v>207.964</v>
      </c>
      <c r="P40" s="11">
        <f>VLOOKUP($J40,output!$A$9:$AI$2200,P$1-$L$1+2)</f>
        <v>216.44399999999999</v>
      </c>
      <c r="Q40" s="11">
        <f>VLOOKUP($J40,output!$A$9:$AI$2200,Q$1-$L$1+2)</f>
        <v>193.78800000000001</v>
      </c>
      <c r="R40" s="11">
        <f>VLOOKUP($J40,output!$A$9:$AI$2200,R$1-$L$1+2)</f>
        <v>168.732</v>
      </c>
      <c r="S40" s="11">
        <f>VLOOKUP($J40,output!$A$9:$AI$2200,S$1-$L$1+2)</f>
        <v>213.649</v>
      </c>
      <c r="T40" s="11">
        <f>VLOOKUP($J40,output!$A$9:$AI$2200,T$1-$L$1+2)</f>
        <v>293.786</v>
      </c>
      <c r="U40" s="11">
        <f>VLOOKUP($J40,output!$A$9:$AI$2200,U$1-$L$1+2)</f>
        <v>277.25</v>
      </c>
      <c r="V40" s="11">
        <f>VLOOKUP($J40,output!$A$9:$AI$2200,V$1-$L$1+2)</f>
        <v>249.87899999999999</v>
      </c>
      <c r="W40" s="11">
        <f>VLOOKUP($J40,output!$A$9:$AI$2200,W$1-$L$1+2)</f>
        <v>230.98599999999999</v>
      </c>
      <c r="X40" s="11">
        <f>VLOOKUP($J40,output!$A$9:$AI$2200,X$1-$L$1+2)</f>
        <v>205.53899999999999</v>
      </c>
      <c r="Y40" s="11">
        <f>VLOOKUP($J40,output!$A$9:$AI$2200,Y$1-$L$1+2)</f>
        <v>205.59100000000001</v>
      </c>
      <c r="Z40" s="11">
        <f>VLOOKUP($J40,output!$A$9:$AI$2200,Z$1-$L$1+2)</f>
        <v>276.16699999999997</v>
      </c>
      <c r="AA40" s="11">
        <f>VLOOKUP($J40,output!$A$9:$AI$2200,AA$1-$L$1+2)</f>
        <v>254.279</v>
      </c>
      <c r="AB40" s="11">
        <f>VLOOKUP($J40,output!$A$9:$AI$2200,AB$1-$L$1+2)</f>
        <v>241.02699999999999</v>
      </c>
      <c r="AC40" s="11">
        <f>VLOOKUP($J40,output!$A$9:$AI$2200,AC$1-$L$1+2)</f>
        <v>365.34</v>
      </c>
      <c r="AD40" s="11">
        <f>VLOOKUP($J40,output!$A$9:$AI$2200,AD$1-$L$1+2)</f>
        <v>217.02799999999999</v>
      </c>
      <c r="AE40" s="11">
        <f>VLOOKUP($J40,output!$A$9:$AI$2200,AE$1-$L$1+2)</f>
        <v>204.184</v>
      </c>
      <c r="AF40" s="11">
        <f>VLOOKUP($J40,output!$A$9:$AI$2200,AF$1-$L$1+2)</f>
        <v>172.941</v>
      </c>
      <c r="AG40" s="11">
        <f>VLOOKUP($J40,output!$A$9:$AI$2200,AG$1-$L$1+2)</f>
        <v>172.26599999999999</v>
      </c>
      <c r="AH40" s="11">
        <f>VLOOKUP($J40,output!$A$9:$AI$2200,AH$1-$L$1+2)</f>
        <v>162.71700000000001</v>
      </c>
      <c r="AI40" s="11">
        <f>VLOOKUP($J40,output!$A$9:$AI$2200,AI$1-$L$1+2)</f>
        <v>153.49</v>
      </c>
      <c r="AJ40" s="11">
        <f>VLOOKUP($J40,output!$A$9:$AI$2200,AJ$1-$L$1+2)</f>
        <v>145.09</v>
      </c>
      <c r="AK40" s="11">
        <f>VLOOKUP($J40,output!$A$9:$AI$2200,AK$1-$L$1+2)</f>
        <v>137.37799999999999</v>
      </c>
      <c r="AL40" s="11">
        <f>VLOOKUP($J40,output!$A$9:$AI$2200,AL$1-$L$1+2)</f>
        <v>130.15600000000001</v>
      </c>
      <c r="AM40" s="11">
        <f>VLOOKUP($J40,output!$A$9:$AI$2200,AM$1-$L$1+2)</f>
        <v>123.264</v>
      </c>
    </row>
    <row r="41" spans="9:40" x14ac:dyDescent="0.25">
      <c r="J41" t="s">
        <v>54</v>
      </c>
      <c r="L41" s="11">
        <f>VLOOKUP($J41,output!$A$9:$AI$2200,L$1-$L$1+2)</f>
        <v>0</v>
      </c>
      <c r="M41" s="11">
        <f>VLOOKUP($J41,output!$A$9:$AI$2200,M$1-$L$1+2)</f>
        <v>113.514</v>
      </c>
      <c r="N41" s="11">
        <f>VLOOKUP($J41,output!$A$9:$AI$2200,N$1-$L$1+2)</f>
        <v>81.350999999999999</v>
      </c>
      <c r="O41" s="11">
        <f>VLOOKUP($J41,output!$A$9:$AI$2200,O$1-$L$1+2)</f>
        <v>118.464</v>
      </c>
      <c r="P41" s="11">
        <f>VLOOKUP($J41,output!$A$9:$AI$2200,P$1-$L$1+2)</f>
        <v>127.539</v>
      </c>
      <c r="Q41" s="11">
        <f>VLOOKUP($J41,output!$A$9:$AI$2200,Q$1-$L$1+2)</f>
        <v>129.52600000000001</v>
      </c>
      <c r="R41" s="11">
        <f>VLOOKUP($J41,output!$A$9:$AI$2200,R$1-$L$1+2)</f>
        <v>124.749</v>
      </c>
      <c r="S41" s="11">
        <f>VLOOKUP($J41,output!$A$9:$AI$2200,S$1-$L$1+2)</f>
        <v>129.072</v>
      </c>
      <c r="T41" s="11">
        <f>VLOOKUP($J41,output!$A$9:$AI$2200,T$1-$L$1+2)</f>
        <v>185.035</v>
      </c>
      <c r="U41" s="11">
        <f>VLOOKUP($J41,output!$A$9:$AI$2200,U$1-$L$1+2)</f>
        <v>176.47499999999999</v>
      </c>
      <c r="V41" s="11">
        <f>VLOOKUP($J41,output!$A$9:$AI$2200,V$1-$L$1+2)</f>
        <v>170.226</v>
      </c>
      <c r="W41" s="11">
        <f>VLOOKUP($J41,output!$A$9:$AI$2200,W$1-$L$1+2)</f>
        <v>173.34100000000001</v>
      </c>
      <c r="X41" s="11">
        <f>VLOOKUP($J41,output!$A$9:$AI$2200,X$1-$L$1+2)</f>
        <v>165.654</v>
      </c>
      <c r="Y41" s="11">
        <f>VLOOKUP($J41,output!$A$9:$AI$2200,Y$1-$L$1+2)</f>
        <v>165.43799999999999</v>
      </c>
      <c r="Z41" s="11">
        <f>VLOOKUP($J41,output!$A$9:$AI$2200,Z$1-$L$1+2)</f>
        <v>262.7</v>
      </c>
      <c r="AA41" s="11">
        <f>VLOOKUP($J41,output!$A$9:$AI$2200,AA$1-$L$1+2)</f>
        <v>248.06700000000001</v>
      </c>
      <c r="AB41" s="11">
        <f>VLOOKUP($J41,output!$A$9:$AI$2200,AB$1-$L$1+2)</f>
        <v>242.035</v>
      </c>
      <c r="AC41" s="11">
        <f>VLOOKUP($J41,output!$A$9:$AI$2200,AC$1-$L$1+2)</f>
        <v>305.61900000000003</v>
      </c>
      <c r="AD41" s="11">
        <f>VLOOKUP($J41,output!$A$9:$AI$2200,AD$1-$L$1+2)</f>
        <v>250.892</v>
      </c>
      <c r="AE41" s="11">
        <f>VLOOKUP($J41,output!$A$9:$AI$2200,AE$1-$L$1+2)</f>
        <v>239.34</v>
      </c>
      <c r="AF41" s="11">
        <f>VLOOKUP($J41,output!$A$9:$AI$2200,AF$1-$L$1+2)</f>
        <v>210.803</v>
      </c>
      <c r="AG41" s="11">
        <f>VLOOKUP($J41,output!$A$9:$AI$2200,AG$1-$L$1+2)</f>
        <v>211.70599999999999</v>
      </c>
      <c r="AH41" s="11">
        <f>VLOOKUP($J41,output!$A$9:$AI$2200,AH$1-$L$1+2)</f>
        <v>201.267</v>
      </c>
      <c r="AI41" s="11">
        <f>VLOOKUP($J41,output!$A$9:$AI$2200,AI$1-$L$1+2)</f>
        <v>191.44499999999999</v>
      </c>
      <c r="AJ41" s="11">
        <f>VLOOKUP($J41,output!$A$9:$AI$2200,AJ$1-$L$1+2)</f>
        <v>182.26499999999999</v>
      </c>
      <c r="AK41" s="11">
        <f>VLOOKUP($J41,output!$A$9:$AI$2200,AK$1-$L$1+2)</f>
        <v>173.82400000000001</v>
      </c>
      <c r="AL41" s="11">
        <f>VLOOKUP($J41,output!$A$9:$AI$2200,AL$1-$L$1+2)</f>
        <v>165.90100000000001</v>
      </c>
      <c r="AM41" s="11">
        <f>VLOOKUP($J41,output!$A$9:$AI$2200,AM$1-$L$1+2)</f>
        <v>160.32900000000001</v>
      </c>
    </row>
    <row r="43" spans="9:40" x14ac:dyDescent="0.25">
      <c r="L43" s="11"/>
    </row>
    <row r="44" spans="9:40" x14ac:dyDescent="0.25">
      <c r="J44" s="2" t="s">
        <v>339</v>
      </c>
      <c r="L44" s="11"/>
    </row>
    <row r="45" spans="9:40" x14ac:dyDescent="0.25">
      <c r="J45" t="s">
        <v>322</v>
      </c>
      <c r="L45" s="11">
        <f>VLOOKUP($J45,output!$A$9:$AI$2200,L$1-$L$1+2)</f>
        <v>0</v>
      </c>
      <c r="M45" s="11">
        <f>VLOOKUP($J45,output!$A$9:$AI$2200,M$1-$L$1+2)</f>
        <v>2170.152</v>
      </c>
      <c r="N45" s="11">
        <f>VLOOKUP($J45,output!$A$9:$AI$2200,N$1-$L$1+2)</f>
        <v>2084.7020000000002</v>
      </c>
      <c r="O45" s="11">
        <f>VLOOKUP($J45,output!$A$9:$AI$2200,O$1-$L$1+2)</f>
        <v>2188.319</v>
      </c>
      <c r="P45" s="11">
        <f>VLOOKUP($J45,output!$A$9:$AI$2200,P$1-$L$1+2)</f>
        <v>2215.7640000000001</v>
      </c>
      <c r="Q45" s="11">
        <f>VLOOKUP($J45,output!$A$9:$AI$2200,Q$1-$L$1+2)</f>
        <v>2228.5729999999999</v>
      </c>
      <c r="R45" s="11">
        <f>VLOOKUP($J45,output!$A$9:$AI$2200,R$1-$L$1+2)</f>
        <v>2217.9580000000001</v>
      </c>
      <c r="S45" s="11">
        <f>VLOOKUP($J45,output!$A$9:$AI$2200,S$1-$L$1+2)</f>
        <v>2241.9560000000001</v>
      </c>
      <c r="T45" s="11">
        <f>VLOOKUP($J45,output!$A$9:$AI$2200,T$1-$L$1+2)</f>
        <v>2374.54</v>
      </c>
      <c r="U45" s="11">
        <f>VLOOKUP($J45,output!$A$9:$AI$2200,U$1-$L$1+2)</f>
        <v>2331.4810000000002</v>
      </c>
      <c r="V45" s="11">
        <f>VLOOKUP($J45,output!$A$9:$AI$2200,V$1-$L$1+2)</f>
        <v>2314.326</v>
      </c>
      <c r="W45" s="11">
        <f>VLOOKUP($J45,output!$A$9:$AI$2200,W$1-$L$1+2)</f>
        <v>2323.6889999999999</v>
      </c>
      <c r="X45" s="11">
        <f>VLOOKUP($J45,output!$A$9:$AI$2200,X$1-$L$1+2)</f>
        <v>2303.279</v>
      </c>
      <c r="Y45" s="11">
        <f>VLOOKUP($J45,output!$A$9:$AI$2200,Y$1-$L$1+2)</f>
        <v>2064.741</v>
      </c>
      <c r="Z45" s="11">
        <f>VLOOKUP($J45,output!$A$9:$AI$2200,Z$1-$L$1+2)</f>
        <v>2387.8710000000001</v>
      </c>
      <c r="AA45" s="11">
        <f>VLOOKUP($J45,output!$A$9:$AI$2200,AA$1-$L$1+2)</f>
        <v>2344.174</v>
      </c>
      <c r="AB45" s="11">
        <f>VLOOKUP($J45,output!$A$9:$AI$2200,AB$1-$L$1+2)</f>
        <v>2161.6239999999998</v>
      </c>
      <c r="AC45" s="11">
        <f>VLOOKUP($J45,output!$A$9:$AI$2200,AC$1-$L$1+2)</f>
        <v>2454.3389999999999</v>
      </c>
      <c r="AD45" s="11">
        <f>VLOOKUP($J45,output!$A$9:$AI$2200,AD$1-$L$1+2)</f>
        <v>2264.6819999999998</v>
      </c>
      <c r="AE45" s="11">
        <f>VLOOKUP($J45,output!$A$9:$AI$2200,AE$1-$L$1+2)</f>
        <v>2216.377</v>
      </c>
      <c r="AF45" s="11">
        <f>VLOOKUP($J45,output!$A$9:$AI$2200,AF$1-$L$1+2)</f>
        <v>2036.229</v>
      </c>
      <c r="AG45" s="11">
        <f>VLOOKUP($J45,output!$A$9:$AI$2200,AG$1-$L$1+2)</f>
        <v>2361.6619999999998</v>
      </c>
      <c r="AH45" s="11">
        <f>VLOOKUP($J45,output!$A$9:$AI$2200,AH$1-$L$1+2)</f>
        <v>2073.0740000000001</v>
      </c>
      <c r="AI45" s="11">
        <f>VLOOKUP($J45,output!$A$9:$AI$2200,AI$1-$L$1+2)</f>
        <v>2262.9009999999998</v>
      </c>
      <c r="AJ45" s="11">
        <f>VLOOKUP($J45,output!$A$9:$AI$2200,AJ$1-$L$1+2)</f>
        <v>2133.0120000000002</v>
      </c>
      <c r="AK45" s="11">
        <f>VLOOKUP($J45,output!$A$9:$AI$2200,AK$1-$L$1+2)</f>
        <v>2208.538</v>
      </c>
      <c r="AL45" s="11">
        <f>VLOOKUP($J45,output!$A$9:$AI$2200,AL$1-$L$1+2)</f>
        <v>2303.848</v>
      </c>
      <c r="AM45" s="11">
        <f>VLOOKUP($J45,output!$A$9:$AI$2200,AM$1-$L$1+2)</f>
        <v>2385.4070000000002</v>
      </c>
    </row>
    <row r="46" spans="9:40" x14ac:dyDescent="0.25">
      <c r="J46" t="s">
        <v>323</v>
      </c>
      <c r="L46" s="11">
        <f>VLOOKUP($J46,output!$A$9:$AI$2200,L$1-$L$1+2)</f>
        <v>0</v>
      </c>
      <c r="M46" s="11">
        <f>VLOOKUP($J46,output!$A$9:$AI$2200,M$1-$L$1+2)</f>
        <v>117.774</v>
      </c>
      <c r="N46" s="11">
        <f>VLOOKUP($J46,output!$A$9:$AI$2200,N$1-$L$1+2)</f>
        <v>78.822999999999993</v>
      </c>
      <c r="O46" s="11">
        <f>VLOOKUP($J46,output!$A$9:$AI$2200,O$1-$L$1+2)</f>
        <v>118.916</v>
      </c>
      <c r="P46" s="11">
        <f>VLOOKUP($J46,output!$A$9:$AI$2200,P$1-$L$1+2)</f>
        <v>128.33000000000001</v>
      </c>
      <c r="Q46" s="11">
        <f>VLOOKUP($J46,output!$A$9:$AI$2200,Q$1-$L$1+2)</f>
        <v>126.038</v>
      </c>
      <c r="R46" s="11">
        <f>VLOOKUP($J46,output!$A$9:$AI$2200,R$1-$L$1+2)</f>
        <v>118.759</v>
      </c>
      <c r="S46" s="11">
        <f>VLOOKUP($J46,output!$A$9:$AI$2200,S$1-$L$1+2)</f>
        <v>130.56100000000001</v>
      </c>
      <c r="T46" s="11">
        <f>VLOOKUP($J46,output!$A$9:$AI$2200,T$1-$L$1+2)</f>
        <v>169.01</v>
      </c>
      <c r="U46" s="11">
        <f>VLOOKUP($J46,output!$A$9:$AI$2200,U$1-$L$1+2)</f>
        <v>162.70099999999999</v>
      </c>
      <c r="V46" s="11">
        <f>VLOOKUP($J46,output!$A$9:$AI$2200,V$1-$L$1+2)</f>
        <v>156.70500000000001</v>
      </c>
      <c r="W46" s="11">
        <f>VLOOKUP($J46,output!$A$9:$AI$2200,W$1-$L$1+2)</f>
        <v>158.26900000000001</v>
      </c>
      <c r="X46" s="11">
        <f>VLOOKUP($J46,output!$A$9:$AI$2200,X$1-$L$1+2)</f>
        <v>150.17500000000001</v>
      </c>
      <c r="Y46" s="11">
        <f>VLOOKUP($J46,output!$A$9:$AI$2200,Y$1-$L$1+2)</f>
        <v>145.995</v>
      </c>
      <c r="Z46" s="11">
        <f>VLOOKUP($J46,output!$A$9:$AI$2200,Z$1-$L$1+2)</f>
        <v>199.542</v>
      </c>
      <c r="AA46" s="11">
        <f>VLOOKUP($J46,output!$A$9:$AI$2200,AA$1-$L$1+2)</f>
        <v>189.37299999999999</v>
      </c>
      <c r="AB46" s="11">
        <f>VLOOKUP($J46,output!$A$9:$AI$2200,AB$1-$L$1+2)</f>
        <v>181.892</v>
      </c>
      <c r="AC46" s="11">
        <f>VLOOKUP($J46,output!$A$9:$AI$2200,AC$1-$L$1+2)</f>
        <v>234.12100000000001</v>
      </c>
      <c r="AD46" s="11">
        <f>VLOOKUP($J46,output!$A$9:$AI$2200,AD$1-$L$1+2)</f>
        <v>183.46100000000001</v>
      </c>
      <c r="AE46" s="11">
        <f>VLOOKUP($J46,output!$A$9:$AI$2200,AE$1-$L$1+2)</f>
        <v>176.23099999999999</v>
      </c>
      <c r="AF46" s="11">
        <f>VLOOKUP($J46,output!$A$9:$AI$2200,AF$1-$L$1+2)</f>
        <v>150.11000000000001</v>
      </c>
      <c r="AG46" s="11">
        <f>VLOOKUP($J46,output!$A$9:$AI$2200,AG$1-$L$1+2)</f>
        <v>151.88200000000001</v>
      </c>
      <c r="AH46" s="11">
        <f>VLOOKUP($J46,output!$A$9:$AI$2200,AH$1-$L$1+2)</f>
        <v>140.47200000000001</v>
      </c>
      <c r="AI46" s="11">
        <f>VLOOKUP($J46,output!$A$9:$AI$2200,AI$1-$L$1+2)</f>
        <v>140.08199999999999</v>
      </c>
      <c r="AJ46" s="11">
        <f>VLOOKUP($J46,output!$A$9:$AI$2200,AJ$1-$L$1+2)</f>
        <v>130.345</v>
      </c>
      <c r="AK46" s="11">
        <f>VLOOKUP($J46,output!$A$9:$AI$2200,AK$1-$L$1+2)</f>
        <v>127.40600000000001</v>
      </c>
      <c r="AL46" s="11">
        <f>VLOOKUP($J46,output!$A$9:$AI$2200,AL$1-$L$1+2)</f>
        <v>125.07599999999999</v>
      </c>
      <c r="AM46" s="11">
        <f>VLOOKUP($J46,output!$A$9:$AI$2200,AM$1-$L$1+2)</f>
        <v>124.194</v>
      </c>
    </row>
    <row r="47" spans="9:40" x14ac:dyDescent="0.25">
      <c r="J47" t="s">
        <v>324</v>
      </c>
      <c r="L47" s="11">
        <f>VLOOKUP($J47,output!$A$9:$AI$2200,L$1-$L$1+2)</f>
        <v>0</v>
      </c>
      <c r="M47" s="11">
        <f>VLOOKUP($J47,output!$A$9:$AI$2200,M$1-$L$1+2)</f>
        <v>60.476999999999997</v>
      </c>
      <c r="N47" s="11">
        <f>VLOOKUP($J47,output!$A$9:$AI$2200,N$1-$L$1+2)</f>
        <v>36.064</v>
      </c>
      <c r="O47" s="11">
        <f>VLOOKUP($J47,output!$A$9:$AI$2200,O$1-$L$1+2)</f>
        <v>58.948</v>
      </c>
      <c r="P47" s="11">
        <f>VLOOKUP($J47,output!$A$9:$AI$2200,P$1-$L$1+2)</f>
        <v>63.073999999999998</v>
      </c>
      <c r="Q47" s="11">
        <f>VLOOKUP($J47,output!$A$9:$AI$2200,Q$1-$L$1+2)</f>
        <v>60.786000000000001</v>
      </c>
      <c r="R47" s="11">
        <f>VLOOKUP($J47,output!$A$9:$AI$2200,R$1-$L$1+2)</f>
        <v>56.125999999999998</v>
      </c>
      <c r="S47" s="11">
        <f>VLOOKUP($J47,output!$A$9:$AI$2200,S$1-$L$1+2)</f>
        <v>60.945</v>
      </c>
      <c r="T47" s="11">
        <f>VLOOKUP($J47,output!$A$9:$AI$2200,T$1-$L$1+2)</f>
        <v>94.096999999999994</v>
      </c>
      <c r="U47" s="11">
        <f>VLOOKUP($J47,output!$A$9:$AI$2200,U$1-$L$1+2)</f>
        <v>87.69</v>
      </c>
      <c r="V47" s="11">
        <f>VLOOKUP($J47,output!$A$9:$AI$2200,V$1-$L$1+2)</f>
        <v>81.287999999999997</v>
      </c>
      <c r="W47" s="11">
        <f>VLOOKUP($J47,output!$A$9:$AI$2200,W$1-$L$1+2)</f>
        <v>78.893000000000001</v>
      </c>
      <c r="X47" s="11">
        <f>VLOOKUP($J47,output!$A$9:$AI$2200,X$1-$L$1+2)</f>
        <v>73.013000000000005</v>
      </c>
      <c r="Y47" s="11">
        <f>VLOOKUP($J47,output!$A$9:$AI$2200,Y$1-$L$1+2)</f>
        <v>72.659000000000006</v>
      </c>
      <c r="Z47" s="11">
        <f>VLOOKUP($J47,output!$A$9:$AI$2200,Z$1-$L$1+2)</f>
        <v>108.111</v>
      </c>
      <c r="AA47" s="11">
        <f>VLOOKUP($J47,output!$A$9:$AI$2200,AA$1-$L$1+2)</f>
        <v>100.736</v>
      </c>
      <c r="AB47" s="11">
        <f>VLOOKUP($J47,output!$A$9:$AI$2200,AB$1-$L$1+2)</f>
        <v>96.971000000000004</v>
      </c>
      <c r="AC47" s="11">
        <f>VLOOKUP($J47,output!$A$9:$AI$2200,AC$1-$L$1+2)</f>
        <v>123.718</v>
      </c>
      <c r="AD47" s="11">
        <f>VLOOKUP($J47,output!$A$9:$AI$2200,AD$1-$L$1+2)</f>
        <v>92.53</v>
      </c>
      <c r="AE47" s="11">
        <f>VLOOKUP($J47,output!$A$9:$AI$2200,AE$1-$L$1+2)</f>
        <v>87.781999999999996</v>
      </c>
      <c r="AF47" s="11">
        <f>VLOOKUP($J47,output!$A$9:$AI$2200,AF$1-$L$1+2)</f>
        <v>75.792000000000002</v>
      </c>
      <c r="AG47" s="11">
        <f>VLOOKUP($J47,output!$A$9:$AI$2200,AG$1-$L$1+2)</f>
        <v>76.207999999999998</v>
      </c>
      <c r="AH47" s="11">
        <f>VLOOKUP($J47,output!$A$9:$AI$2200,AH$1-$L$1+2)</f>
        <v>71.658000000000001</v>
      </c>
      <c r="AI47" s="11">
        <f>VLOOKUP($J47,output!$A$9:$AI$2200,AI$1-$L$1+2)</f>
        <v>68.132999999999996</v>
      </c>
      <c r="AJ47" s="11">
        <f>VLOOKUP($J47,output!$A$9:$AI$2200,AJ$1-$L$1+2)</f>
        <v>64.212999999999994</v>
      </c>
      <c r="AK47" s="11">
        <f>VLOOKUP($J47,output!$A$9:$AI$2200,AK$1-$L$1+2)</f>
        <v>61.067</v>
      </c>
      <c r="AL47" s="11">
        <f>VLOOKUP($J47,output!$A$9:$AI$2200,AL$1-$L$1+2)</f>
        <v>58.173000000000002</v>
      </c>
      <c r="AM47" s="11">
        <f>VLOOKUP($J47,output!$A$9:$AI$2200,AM$1-$L$1+2)</f>
        <v>55.567</v>
      </c>
    </row>
    <row r="48" spans="9:40" x14ac:dyDescent="0.25">
      <c r="J48" t="s">
        <v>325</v>
      </c>
      <c r="L48" s="11">
        <f>VLOOKUP($J48,output!$A$9:$AI$2200,L$1-$L$1+2)</f>
        <v>0</v>
      </c>
      <c r="M48" s="11">
        <f>VLOOKUP($J48,output!$A$9:$AI$2200,M$1-$L$1+2)</f>
        <v>32.676000000000002</v>
      </c>
      <c r="N48" s="11">
        <f>VLOOKUP($J48,output!$A$9:$AI$2200,N$1-$L$1+2)</f>
        <v>17.494</v>
      </c>
      <c r="O48" s="11">
        <f>VLOOKUP($J48,output!$A$9:$AI$2200,O$1-$L$1+2)</f>
        <v>28.771000000000001</v>
      </c>
      <c r="P48" s="11">
        <f>VLOOKUP($J48,output!$A$9:$AI$2200,P$1-$L$1+2)</f>
        <v>29.004999999999999</v>
      </c>
      <c r="Q48" s="11">
        <f>VLOOKUP($J48,output!$A$9:$AI$2200,Q$1-$L$1+2)</f>
        <v>26.297999999999998</v>
      </c>
      <c r="R48" s="11">
        <f>VLOOKUP($J48,output!$A$9:$AI$2200,R$1-$L$1+2)</f>
        <v>23.170999999999999</v>
      </c>
      <c r="S48" s="11">
        <f>VLOOKUP($J48,output!$A$9:$AI$2200,S$1-$L$1+2)</f>
        <v>24.248999999999999</v>
      </c>
      <c r="T48" s="11">
        <f>VLOOKUP($J48,output!$A$9:$AI$2200,T$1-$L$1+2)</f>
        <v>39.125</v>
      </c>
      <c r="U48" s="11">
        <f>VLOOKUP($J48,output!$A$9:$AI$2200,U$1-$L$1+2)</f>
        <v>37.991</v>
      </c>
      <c r="V48" s="11">
        <f>VLOOKUP($J48,output!$A$9:$AI$2200,V$1-$L$1+2)</f>
        <v>34.276000000000003</v>
      </c>
      <c r="W48" s="11">
        <f>VLOOKUP($J48,output!$A$9:$AI$2200,W$1-$L$1+2)</f>
        <v>31.782</v>
      </c>
      <c r="X48" s="11">
        <f>VLOOKUP($J48,output!$A$9:$AI$2200,X$1-$L$1+2)</f>
        <v>28.597000000000001</v>
      </c>
      <c r="Y48" s="11">
        <f>VLOOKUP($J48,output!$A$9:$AI$2200,Y$1-$L$1+2)</f>
        <v>28.038</v>
      </c>
      <c r="Z48" s="11">
        <f>VLOOKUP($J48,output!$A$9:$AI$2200,Z$1-$L$1+2)</f>
        <v>40.097000000000001</v>
      </c>
      <c r="AA48" s="11">
        <f>VLOOKUP($J48,output!$A$9:$AI$2200,AA$1-$L$1+2)</f>
        <v>36.779000000000003</v>
      </c>
      <c r="AB48" s="11">
        <f>VLOOKUP($J48,output!$A$9:$AI$2200,AB$1-$L$1+2)</f>
        <v>34.56</v>
      </c>
      <c r="AC48" s="11">
        <f>VLOOKUP($J48,output!$A$9:$AI$2200,AC$1-$L$1+2)</f>
        <v>55.856000000000002</v>
      </c>
      <c r="AD48" s="11">
        <f>VLOOKUP($J48,output!$A$9:$AI$2200,AD$1-$L$1+2)</f>
        <v>30.222000000000001</v>
      </c>
      <c r="AE48" s="11">
        <f>VLOOKUP($J48,output!$A$9:$AI$2200,AE$1-$L$1+2)</f>
        <v>28.356999999999999</v>
      </c>
      <c r="AF48" s="11">
        <f>VLOOKUP($J48,output!$A$9:$AI$2200,AF$1-$L$1+2)</f>
        <v>23.728999999999999</v>
      </c>
      <c r="AG48" s="11">
        <f>VLOOKUP($J48,output!$A$9:$AI$2200,AG$1-$L$1+2)</f>
        <v>23.603999999999999</v>
      </c>
      <c r="AH48" s="11">
        <f>VLOOKUP($J48,output!$A$9:$AI$2200,AH$1-$L$1+2)</f>
        <v>21.789000000000001</v>
      </c>
      <c r="AI48" s="11">
        <f>VLOOKUP($J48,output!$A$9:$AI$2200,AI$1-$L$1+2)</f>
        <v>20.975999999999999</v>
      </c>
      <c r="AJ48" s="11">
        <f>VLOOKUP($J48,output!$A$9:$AI$2200,AJ$1-$L$1+2)</f>
        <v>19.422000000000001</v>
      </c>
      <c r="AK48" s="11">
        <f>VLOOKUP($J48,output!$A$9:$AI$2200,AK$1-$L$1+2)</f>
        <v>18.55</v>
      </c>
      <c r="AL48" s="11">
        <f>VLOOKUP($J48,output!$A$9:$AI$2200,AL$1-$L$1+2)</f>
        <v>17.79</v>
      </c>
      <c r="AM48" s="11">
        <f>VLOOKUP($J48,output!$A$9:$AI$2200,AM$1-$L$1+2)</f>
        <v>17.064</v>
      </c>
    </row>
    <row r="49" spans="10:39" x14ac:dyDescent="0.25">
      <c r="J49" t="s">
        <v>326</v>
      </c>
      <c r="L49" s="11">
        <f>VLOOKUP($J49,output!$A$9:$AI$2200,L$1-$L$1+2)</f>
        <v>0</v>
      </c>
      <c r="M49" s="11">
        <f>VLOOKUP($J49,output!$A$9:$AI$2200,M$1-$L$1+2)</f>
        <v>0.40699999999999997</v>
      </c>
      <c r="N49" s="11">
        <f>VLOOKUP($J49,output!$A$9:$AI$2200,N$1-$L$1+2)</f>
        <v>0.27600000000000002</v>
      </c>
      <c r="O49" s="11">
        <f>VLOOKUP($J49,output!$A$9:$AI$2200,O$1-$L$1+2)</f>
        <v>0.4</v>
      </c>
      <c r="P49" s="11">
        <f>VLOOKUP($J49,output!$A$9:$AI$2200,P$1-$L$1+2)</f>
        <v>0.505</v>
      </c>
      <c r="Q49" s="11">
        <f>VLOOKUP($J49,output!$A$9:$AI$2200,Q$1-$L$1+2)</f>
        <v>0.55300000000000005</v>
      </c>
      <c r="R49" s="11">
        <f>VLOOKUP($J49,output!$A$9:$AI$2200,R$1-$L$1+2)</f>
        <v>0.53100000000000003</v>
      </c>
      <c r="S49" s="11">
        <f>VLOOKUP($J49,output!$A$9:$AI$2200,S$1-$L$1+2)</f>
        <v>0.51500000000000001</v>
      </c>
      <c r="T49" s="11">
        <f>VLOOKUP($J49,output!$A$9:$AI$2200,T$1-$L$1+2)</f>
        <v>0.60699999999999998</v>
      </c>
      <c r="U49" s="11">
        <f>VLOOKUP($J49,output!$A$9:$AI$2200,U$1-$L$1+2)</f>
        <v>0.63700000000000001</v>
      </c>
      <c r="V49" s="11">
        <f>VLOOKUP($J49,output!$A$9:$AI$2200,V$1-$L$1+2)</f>
        <v>0.70699999999999996</v>
      </c>
      <c r="W49" s="11">
        <f>VLOOKUP($J49,output!$A$9:$AI$2200,W$1-$L$1+2)</f>
        <v>0.81299999999999994</v>
      </c>
      <c r="X49" s="11">
        <f>VLOOKUP($J49,output!$A$9:$AI$2200,X$1-$L$1+2)</f>
        <v>0.84</v>
      </c>
      <c r="Y49" s="11">
        <f>VLOOKUP($J49,output!$A$9:$AI$2200,Y$1-$L$1+2)</f>
        <v>0.76300000000000001</v>
      </c>
      <c r="Z49" s="11">
        <f>VLOOKUP($J49,output!$A$9:$AI$2200,Z$1-$L$1+2)</f>
        <v>0.70599999999999996</v>
      </c>
      <c r="AA49" s="11">
        <f>VLOOKUP($J49,output!$A$9:$AI$2200,AA$1-$L$1+2)</f>
        <v>0.71299999999999997</v>
      </c>
      <c r="AB49" s="11">
        <f>VLOOKUP($J49,output!$A$9:$AI$2200,AB$1-$L$1+2)</f>
        <v>0.63600000000000001</v>
      </c>
      <c r="AC49" s="11">
        <f>VLOOKUP($J49,output!$A$9:$AI$2200,AC$1-$L$1+2)</f>
        <v>1.421</v>
      </c>
      <c r="AD49" s="11">
        <f>VLOOKUP($J49,output!$A$9:$AI$2200,AD$1-$L$1+2)</f>
        <v>0.65300000000000002</v>
      </c>
      <c r="AE49" s="11">
        <f>VLOOKUP($J49,output!$A$9:$AI$2200,AE$1-$L$1+2)</f>
        <v>0.66400000000000003</v>
      </c>
      <c r="AF49" s="11">
        <f>VLOOKUP($J49,output!$A$9:$AI$2200,AF$1-$L$1+2)</f>
        <v>0.47199999999999998</v>
      </c>
      <c r="AG49" s="11">
        <f>VLOOKUP($J49,output!$A$9:$AI$2200,AG$1-$L$1+2)</f>
        <v>0.504</v>
      </c>
      <c r="AH49" s="11">
        <f>VLOOKUP($J49,output!$A$9:$AI$2200,AH$1-$L$1+2)</f>
        <v>0.34699999999999998</v>
      </c>
      <c r="AI49" s="11">
        <f>VLOOKUP($J49,output!$A$9:$AI$2200,AI$1-$L$1+2)</f>
        <v>0.55300000000000005</v>
      </c>
      <c r="AJ49" s="11">
        <f>VLOOKUP($J49,output!$A$9:$AI$2200,AJ$1-$L$1+2)</f>
        <v>0.42199999999999999</v>
      </c>
      <c r="AK49" s="11">
        <f>VLOOKUP($J49,output!$A$9:$AI$2200,AK$1-$L$1+2)</f>
        <v>0.51600000000000001</v>
      </c>
      <c r="AL49" s="11">
        <f>VLOOKUP($J49,output!$A$9:$AI$2200,AL$1-$L$1+2)</f>
        <v>0.621</v>
      </c>
      <c r="AM49" s="11">
        <f>VLOOKUP($J49,output!$A$9:$AI$2200,AM$1-$L$1+2)</f>
        <v>0.71099999999999997</v>
      </c>
    </row>
    <row r="50" spans="10:39" ht="30" x14ac:dyDescent="0.25">
      <c r="K50" s="19" t="s">
        <v>356</v>
      </c>
      <c r="L50" s="11">
        <f>SUM(L45:L49)</f>
        <v>0</v>
      </c>
      <c r="M50" s="11">
        <f t="shared" ref="M50:AM50" si="3">SUM(M45:M49)</f>
        <v>2381.4859999999999</v>
      </c>
      <c r="N50" s="11">
        <f t="shared" si="3"/>
        <v>2217.3589999999999</v>
      </c>
      <c r="O50" s="11">
        <f t="shared" si="3"/>
        <v>2395.3540000000003</v>
      </c>
      <c r="P50" s="11">
        <f t="shared" si="3"/>
        <v>2436.6780000000003</v>
      </c>
      <c r="Q50" s="11">
        <f t="shared" si="3"/>
        <v>2442.2479999999996</v>
      </c>
      <c r="R50" s="11">
        <f t="shared" si="3"/>
        <v>2416.5450000000001</v>
      </c>
      <c r="S50" s="11">
        <f t="shared" si="3"/>
        <v>2458.2260000000001</v>
      </c>
      <c r="T50" s="11">
        <f t="shared" si="3"/>
        <v>2677.3790000000004</v>
      </c>
      <c r="U50" s="11">
        <f t="shared" si="3"/>
        <v>2620.5000000000005</v>
      </c>
      <c r="V50" s="11">
        <f t="shared" si="3"/>
        <v>2587.3019999999997</v>
      </c>
      <c r="W50" s="11">
        <f t="shared" si="3"/>
        <v>2593.4459999999999</v>
      </c>
      <c r="X50" s="11">
        <f t="shared" si="3"/>
        <v>2555.9040000000005</v>
      </c>
      <c r="Y50" s="11">
        <f t="shared" si="3"/>
        <v>2312.1959999999999</v>
      </c>
      <c r="Z50" s="11">
        <f t="shared" si="3"/>
        <v>2736.3270000000002</v>
      </c>
      <c r="AA50" s="11">
        <f t="shared" si="3"/>
        <v>2671.7750000000001</v>
      </c>
      <c r="AB50" s="11">
        <f t="shared" si="3"/>
        <v>2475.6829999999995</v>
      </c>
      <c r="AC50" s="11">
        <f t="shared" si="3"/>
        <v>2869.4549999999999</v>
      </c>
      <c r="AD50" s="11">
        <f t="shared" si="3"/>
        <v>2571.5480000000002</v>
      </c>
      <c r="AE50" s="11">
        <f t="shared" si="3"/>
        <v>2509.4110000000005</v>
      </c>
      <c r="AF50" s="11">
        <f t="shared" si="3"/>
        <v>2286.3319999999999</v>
      </c>
      <c r="AG50" s="11">
        <f t="shared" si="3"/>
        <v>2613.8599999999997</v>
      </c>
      <c r="AH50" s="11">
        <f t="shared" si="3"/>
        <v>2307.3400000000006</v>
      </c>
      <c r="AI50" s="11">
        <f t="shared" si="3"/>
        <v>2492.6449999999995</v>
      </c>
      <c r="AJ50" s="11">
        <f t="shared" si="3"/>
        <v>2347.4140000000002</v>
      </c>
      <c r="AK50" s="11">
        <f t="shared" si="3"/>
        <v>2416.0770000000002</v>
      </c>
      <c r="AL50" s="11">
        <f t="shared" si="3"/>
        <v>2505.5079999999998</v>
      </c>
      <c r="AM50" s="11">
        <f t="shared" si="3"/>
        <v>2582.9429999999998</v>
      </c>
    </row>
    <row r="51" spans="10:39" x14ac:dyDescent="0.25">
      <c r="J51" s="2"/>
    </row>
    <row r="52" spans="10:39" x14ac:dyDescent="0.25">
      <c r="J52" s="2" t="s">
        <v>204</v>
      </c>
      <c r="K52" t="s">
        <v>443</v>
      </c>
    </row>
    <row r="53" spans="10:39" x14ac:dyDescent="0.25">
      <c r="L53" s="11"/>
    </row>
    <row r="54" spans="10:39" x14ac:dyDescent="0.25">
      <c r="J54" t="s">
        <v>193</v>
      </c>
      <c r="L54" s="11">
        <f>VLOOKUP($J54,output!$A$9:$AI$2200,L$1-$L$1+2)</f>
        <v>0</v>
      </c>
      <c r="M54" s="11">
        <f>VLOOKUP($J54,output!$A$9:$AI$2200,M$1-$L$1+2)</f>
        <v>68.069999999999993</v>
      </c>
      <c r="N54" s="11">
        <f>VLOOKUP($J54,output!$A$9:$AI$2200,N$1-$L$1+2)</f>
        <v>52.066000000000003</v>
      </c>
      <c r="O54" s="11">
        <f>VLOOKUP($J54,output!$A$9:$AI$2200,O$1-$L$1+2)</f>
        <v>133.673</v>
      </c>
      <c r="P54" s="11">
        <f>VLOOKUP($J54,output!$A$9:$AI$2200,P$1-$L$1+2)</f>
        <v>102.73099999999999</v>
      </c>
      <c r="Q54" s="11">
        <f>VLOOKUP($J54,output!$A$9:$AI$2200,Q$1-$L$1+2)</f>
        <v>78.596000000000004</v>
      </c>
      <c r="R54" s="11">
        <f>VLOOKUP($J54,output!$A$9:$AI$2200,R$1-$L$1+2)</f>
        <v>59.808999999999997</v>
      </c>
      <c r="S54" s="11">
        <f>VLOOKUP($J54,output!$A$9:$AI$2200,S$1-$L$1+2)</f>
        <v>45.231999999999999</v>
      </c>
      <c r="T54" s="11">
        <f>VLOOKUP($J54,output!$A$9:$AI$2200,T$1-$L$1+2)</f>
        <v>260.471</v>
      </c>
      <c r="U54" s="11">
        <f>VLOOKUP($J54,output!$A$9:$AI$2200,U$1-$L$1+2)</f>
        <v>202.197</v>
      </c>
      <c r="V54" s="11">
        <f>VLOOKUP($J54,output!$A$9:$AI$2200,V$1-$L$1+2)</f>
        <v>156.464</v>
      </c>
      <c r="W54" s="11">
        <f>VLOOKUP($J54,output!$A$9:$AI$2200,W$1-$L$1+2)</f>
        <v>120.634</v>
      </c>
      <c r="X54" s="11">
        <f>VLOOKUP($J54,output!$A$9:$AI$2200,X$1-$L$1+2)</f>
        <v>92.623000000000005</v>
      </c>
      <c r="Y54" s="11">
        <f>VLOOKUP($J54,output!$A$9:$AI$2200,Y$1-$L$1+2)</f>
        <v>72.070999999999998</v>
      </c>
      <c r="Z54" s="11">
        <f>VLOOKUP($J54,output!$A$9:$AI$2200,Z$1-$L$1+2)</f>
        <v>561.36500000000001</v>
      </c>
      <c r="AA54" s="11">
        <f>VLOOKUP($J54,output!$A$9:$AI$2200,AA$1-$L$1+2)</f>
        <v>499.01600000000002</v>
      </c>
      <c r="AB54" s="11">
        <f>VLOOKUP($J54,output!$A$9:$AI$2200,AB$1-$L$1+2)</f>
        <v>445.29</v>
      </c>
      <c r="AC54" s="11">
        <f>VLOOKUP($J54,output!$A$9:$AI$2200,AC$1-$L$1+2)</f>
        <v>395.56200000000001</v>
      </c>
      <c r="AD54" s="11">
        <f>VLOOKUP($J54,output!$A$9:$AI$2200,AD$1-$L$1+2)</f>
        <v>349.15800000000002</v>
      </c>
      <c r="AE54" s="11">
        <f>VLOOKUP($J54,output!$A$9:$AI$2200,AE$1-$L$1+2)</f>
        <v>310.48</v>
      </c>
      <c r="AF54" s="11">
        <f>VLOOKUP($J54,output!$A$9:$AI$2200,AF$1-$L$1+2)</f>
        <v>276.08300000000003</v>
      </c>
      <c r="AG54" s="11">
        <f>VLOOKUP($J54,output!$A$9:$AI$2200,AG$1-$L$1+2)</f>
        <v>253.64599999999999</v>
      </c>
      <c r="AH54" s="11">
        <f>VLOOKUP($J54,output!$A$9:$AI$2200,AH$1-$L$1+2)</f>
        <v>232.267</v>
      </c>
      <c r="AI54" s="11">
        <f>VLOOKUP($J54,output!$A$9:$AI$2200,AI$1-$L$1+2)</f>
        <v>212.96299999999999</v>
      </c>
      <c r="AJ54" s="11">
        <f>VLOOKUP($J54,output!$A$9:$AI$2200,AJ$1-$L$1+2)</f>
        <v>195.55199999999999</v>
      </c>
      <c r="AK54" s="11">
        <f>VLOOKUP($J54,output!$A$9:$AI$2200,AK$1-$L$1+2)</f>
        <v>180.00299999999999</v>
      </c>
      <c r="AL54" s="11">
        <f>VLOOKUP($J54,output!$A$9:$AI$2200,AL$1-$L$1+2)</f>
        <v>166.155</v>
      </c>
      <c r="AM54" s="11">
        <f>VLOOKUP($J54,output!$A$9:$AI$2200,AM$1-$L$1+2)</f>
        <v>153.797</v>
      </c>
    </row>
    <row r="55" spans="10:39" x14ac:dyDescent="0.25">
      <c r="J55" t="s">
        <v>196</v>
      </c>
      <c r="L55" s="11">
        <f>VLOOKUP($J55,output!$A$9:$AI$2200,L$1-$L$1+3)</f>
        <v>0</v>
      </c>
      <c r="M55" s="11">
        <f>VLOOKUP($J55,output!$A$9:$AI$2200,M$1-$L$1+3)</f>
        <v>0</v>
      </c>
      <c r="N55" s="11">
        <f>VLOOKUP($J55,output!$A$9:$AI$2200,N$1-$L$1+3)</f>
        <v>0</v>
      </c>
      <c r="O55" s="11">
        <f>VLOOKUP($J55,output!$A$9:$AI$2200,O$1-$L$1+3)</f>
        <v>24.707000000000001</v>
      </c>
      <c r="P55" s="11">
        <f>VLOOKUP($J55,output!$A$9:$AI$2200,P$1-$L$1+3)</f>
        <v>20.923999999999999</v>
      </c>
      <c r="Q55" s="11">
        <f>VLOOKUP($J55,output!$A$9:$AI$2200,Q$1-$L$1+3)</f>
        <v>17.504999999999999</v>
      </c>
      <c r="R55" s="11">
        <f>VLOOKUP($J55,output!$A$9:$AI$2200,R$1-$L$1+3)</f>
        <v>75.299000000000007</v>
      </c>
      <c r="S55" s="11">
        <f>VLOOKUP($J55,output!$A$9:$AI$2200,S$1-$L$1+3)</f>
        <v>66.143000000000001</v>
      </c>
      <c r="T55" s="11">
        <f>VLOOKUP($J55,output!$A$9:$AI$2200,T$1-$L$1+3)</f>
        <v>57.332999999999998</v>
      </c>
      <c r="U55" s="11">
        <f>VLOOKUP($J55,output!$A$9:$AI$2200,U$1-$L$1+3)</f>
        <v>49.33</v>
      </c>
      <c r="V55" s="11">
        <f>VLOOKUP($J55,output!$A$9:$AI$2200,V$1-$L$1+3)</f>
        <v>42.107999999999997</v>
      </c>
      <c r="W55" s="11">
        <f>VLOOKUP($J55,output!$A$9:$AI$2200,W$1-$L$1+3)</f>
        <v>35.631</v>
      </c>
      <c r="X55" s="11">
        <f>VLOOKUP($J55,output!$A$9:$AI$2200,X$1-$L$1+3)</f>
        <v>81.546000000000006</v>
      </c>
      <c r="Y55" s="11">
        <f>VLOOKUP($J55,output!$A$9:$AI$2200,Y$1-$L$1+3)</f>
        <v>72.396000000000001</v>
      </c>
      <c r="Z55" s="11">
        <f>VLOOKUP($J55,output!$A$9:$AI$2200,Z$1-$L$1+3)</f>
        <v>63.95</v>
      </c>
      <c r="AA55" s="11">
        <f>VLOOKUP($J55,output!$A$9:$AI$2200,AA$1-$L$1+3)</f>
        <v>56.435000000000002</v>
      </c>
      <c r="AB55" s="11">
        <f>VLOOKUP($J55,output!$A$9:$AI$2200,AB$1-$L$1+3)</f>
        <v>258.66300000000001</v>
      </c>
      <c r="AC55" s="11">
        <f>VLOOKUP($J55,output!$A$9:$AI$2200,AC$1-$L$1+3)</f>
        <v>242.97399999999999</v>
      </c>
      <c r="AD55" s="11">
        <f>VLOOKUP($J55,output!$A$9:$AI$2200,AD$1-$L$1+3)</f>
        <v>228.185</v>
      </c>
      <c r="AE55" s="11">
        <f>VLOOKUP($J55,output!$A$9:$AI$2200,AE$1-$L$1+3)</f>
        <v>214.53</v>
      </c>
      <c r="AF55" s="11">
        <f>VLOOKUP($J55,output!$A$9:$AI$2200,AF$1-$L$1+3)</f>
        <v>205.82599999999999</v>
      </c>
      <c r="AG55" s="11">
        <f>VLOOKUP($J55,output!$A$9:$AI$2200,AG$1-$L$1+3)</f>
        <v>197.29900000000001</v>
      </c>
      <c r="AH55" s="11">
        <f>VLOOKUP($J55,output!$A$9:$AI$2200,AH$1-$L$1+3)</f>
        <v>188.40100000000001</v>
      </c>
      <c r="AI55" s="11">
        <f>VLOOKUP($J55,output!$A$9:$AI$2200,AI$1-$L$1+3)</f>
        <v>180.327</v>
      </c>
      <c r="AJ55" s="11">
        <f>VLOOKUP($J55,output!$A$9:$AI$2200,AJ$1-$L$1+3)</f>
        <v>172.49</v>
      </c>
      <c r="AK55" s="11">
        <f>VLOOKUP($J55,output!$A$9:$AI$2200,AK$1-$L$1+3)</f>
        <v>164.87</v>
      </c>
      <c r="AL55" s="11">
        <f>VLOOKUP($J55,output!$A$9:$AI$2200,AL$1-$L$1+3)</f>
        <v>157.227</v>
      </c>
      <c r="AM55" s="11">
        <f>VLOOKUP($J55,output!$A$9:$AI$2200,AM$1-$L$1+3)</f>
        <v>0</v>
      </c>
    </row>
    <row r="57" spans="10:39" x14ac:dyDescent="0.25">
      <c r="L57" s="11"/>
    </row>
    <row r="63" spans="10:39" x14ac:dyDescent="0.25">
      <c r="J63" s="2"/>
    </row>
    <row r="64" spans="10:39" x14ac:dyDescent="0.25">
      <c r="L64" s="11"/>
    </row>
    <row r="65" spans="10:39" x14ac:dyDescent="0.25">
      <c r="L65" s="11"/>
    </row>
    <row r="66" spans="10:39" x14ac:dyDescent="0.25">
      <c r="L66" s="11"/>
    </row>
    <row r="72" spans="10:39" x14ac:dyDescent="0.25">
      <c r="J72" s="2" t="s">
        <v>511</v>
      </c>
    </row>
    <row r="73" spans="10:39" x14ac:dyDescent="0.25">
      <c r="J73" t="s">
        <v>434</v>
      </c>
      <c r="L73" s="11">
        <f>L74+L75+L76</f>
        <v>0</v>
      </c>
      <c r="M73" s="11">
        <f t="shared" ref="M73:AM73" si="4">M74+M75+M76</f>
        <v>389.84999999999997</v>
      </c>
      <c r="N73" s="11">
        <f t="shared" si="4"/>
        <v>299.59699999999998</v>
      </c>
      <c r="O73" s="11">
        <f t="shared" si="4"/>
        <v>336.46299999999997</v>
      </c>
      <c r="P73" s="11">
        <f t="shared" si="4"/>
        <v>341.47300000000001</v>
      </c>
      <c r="Q73" s="11">
        <f t="shared" si="4"/>
        <v>335.76300000000003</v>
      </c>
      <c r="R73" s="11">
        <f t="shared" si="4"/>
        <v>332.79599999999999</v>
      </c>
      <c r="S73" s="11">
        <f t="shared" si="4"/>
        <v>338.77099999999996</v>
      </c>
      <c r="T73" s="11">
        <f t="shared" si="4"/>
        <v>358.14499999999998</v>
      </c>
      <c r="U73" s="11">
        <f t="shared" si="4"/>
        <v>376.99899999999997</v>
      </c>
      <c r="V73" s="11">
        <f t="shared" si="4"/>
        <v>398.00100000000003</v>
      </c>
      <c r="W73" s="11">
        <f t="shared" si="4"/>
        <v>421.36600000000004</v>
      </c>
      <c r="X73" s="11">
        <f t="shared" si="4"/>
        <v>443.33700000000005</v>
      </c>
      <c r="Y73" s="11">
        <f t="shared" si="4"/>
        <v>392.125</v>
      </c>
      <c r="Z73" s="11">
        <f t="shared" si="4"/>
        <v>412.23199999999997</v>
      </c>
      <c r="AA73" s="11">
        <f t="shared" si="4"/>
        <v>431.57099999999997</v>
      </c>
      <c r="AB73" s="11">
        <f t="shared" si="4"/>
        <v>421.95699999999999</v>
      </c>
      <c r="AC73" s="11">
        <f t="shared" si="4"/>
        <v>469.899</v>
      </c>
      <c r="AD73" s="11">
        <f t="shared" si="4"/>
        <v>444.34100000000001</v>
      </c>
      <c r="AE73" s="11">
        <f t="shared" si="4"/>
        <v>450.40699999999998</v>
      </c>
      <c r="AF73" s="11">
        <f t="shared" si="4"/>
        <v>429.47500000000002</v>
      </c>
      <c r="AG73" s="11">
        <f t="shared" si="4"/>
        <v>253.07599999999999</v>
      </c>
      <c r="AH73" s="11">
        <f t="shared" si="4"/>
        <v>263.29899999999998</v>
      </c>
      <c r="AI73" s="11">
        <f t="shared" si="4"/>
        <v>274.04300000000001</v>
      </c>
      <c r="AJ73" s="11">
        <f t="shared" si="4"/>
        <v>255.167</v>
      </c>
      <c r="AK73" s="11">
        <f t="shared" si="4"/>
        <v>248.566</v>
      </c>
      <c r="AL73" s="11">
        <f t="shared" si="4"/>
        <v>242.98999999999998</v>
      </c>
      <c r="AM73" s="11">
        <f t="shared" si="4"/>
        <v>236.95699999999997</v>
      </c>
    </row>
    <row r="74" spans="10:39" x14ac:dyDescent="0.25">
      <c r="J74" t="s">
        <v>384</v>
      </c>
      <c r="K74" t="s">
        <v>436</v>
      </c>
      <c r="L74" s="11">
        <f>VLOOKUP($J74,output!$A$9:$AI$2200,L$1-$L$1+2)</f>
        <v>0</v>
      </c>
      <c r="M74" s="11">
        <f>VLOOKUP($J74,output!$A$9:$AI$2200,M$1-$L$1+2)</f>
        <v>315.31</v>
      </c>
      <c r="N74" s="11">
        <f>VLOOKUP($J74,output!$A$9:$AI$2200,N$1-$L$1+2)</f>
        <v>251.77199999999999</v>
      </c>
      <c r="O74" s="11">
        <f>VLOOKUP($J74,output!$A$9:$AI$2200,O$1-$L$1+2)</f>
        <v>249.79900000000001</v>
      </c>
      <c r="P74" s="11">
        <f>VLOOKUP($J74,output!$A$9:$AI$2200,P$1-$L$1+2)</f>
        <v>263.52600000000001</v>
      </c>
      <c r="Q74" s="11">
        <f>VLOOKUP($J74,output!$A$9:$AI$2200,Q$1-$L$1+2)</f>
        <v>267.71100000000001</v>
      </c>
      <c r="R74" s="11">
        <f>VLOOKUP($J74,output!$A$9:$AI$2200,R$1-$L$1+2)</f>
        <v>274.72300000000001</v>
      </c>
      <c r="S74" s="11">
        <f>VLOOKUP($J74,output!$A$9:$AI$2200,S$1-$L$1+2)</f>
        <v>284.12599999999998</v>
      </c>
      <c r="T74" s="11">
        <f>VLOOKUP($J74,output!$A$9:$AI$2200,T$1-$L$1+2)</f>
        <v>298.85399999999998</v>
      </c>
      <c r="U74" s="11">
        <f>VLOOKUP($J74,output!$A$9:$AI$2200,U$1-$L$1+2)</f>
        <v>316.02699999999999</v>
      </c>
      <c r="V74" s="11">
        <f>VLOOKUP($J74,output!$A$9:$AI$2200,V$1-$L$1+2)</f>
        <v>333.63499999999999</v>
      </c>
      <c r="W74" s="11">
        <f>VLOOKUP($J74,output!$A$9:$AI$2200,W$1-$L$1+2)</f>
        <v>349.38600000000002</v>
      </c>
      <c r="X74" s="11">
        <f>VLOOKUP($J74,output!$A$9:$AI$2200,X$1-$L$1+2)</f>
        <v>366.173</v>
      </c>
      <c r="Y74" s="11">
        <f>VLOOKUP($J74,output!$A$9:$AI$2200,Y$1-$L$1+2)</f>
        <v>319.08</v>
      </c>
      <c r="Z74" s="11">
        <f>VLOOKUP($J74,output!$A$9:$AI$2200,Z$1-$L$1+2)</f>
        <v>326.12200000000001</v>
      </c>
      <c r="AA74" s="11">
        <f>VLOOKUP($J74,output!$A$9:$AI$2200,AA$1-$L$1+2)</f>
        <v>337.39400000000001</v>
      </c>
      <c r="AB74" s="11">
        <f>VLOOKUP($J74,output!$A$9:$AI$2200,AB$1-$L$1+2)</f>
        <v>317.52</v>
      </c>
      <c r="AC74" s="11">
        <f>VLOOKUP($J74,output!$A$9:$AI$2200,AC$1-$L$1+2)</f>
        <v>346.48</v>
      </c>
      <c r="AD74" s="11">
        <f>VLOOKUP($J74,output!$A$9:$AI$2200,AD$1-$L$1+2)</f>
        <v>337.85899999999998</v>
      </c>
      <c r="AE74" s="11">
        <f>VLOOKUP($J74,output!$A$9:$AI$2200,AE$1-$L$1+2)</f>
        <v>342.43200000000002</v>
      </c>
      <c r="AF74" s="11">
        <f>VLOOKUP($J74,output!$A$9:$AI$2200,AF$1-$L$1+2)</f>
        <v>331.78100000000001</v>
      </c>
      <c r="AG74" s="11">
        <f>VLOOKUP($J74,output!$A$9:$AI$2200,AG$1-$L$1+2)</f>
        <v>154.6</v>
      </c>
      <c r="AH74" s="11">
        <f>VLOOKUP($J74,output!$A$9:$AI$2200,AH$1-$L$1+2)</f>
        <v>169.964</v>
      </c>
      <c r="AI74" s="11">
        <f>VLOOKUP($J74,output!$A$9:$AI$2200,AI$1-$L$1+2)</f>
        <v>184.172</v>
      </c>
      <c r="AJ74" s="11">
        <f>VLOOKUP($J74,output!$A$9:$AI$2200,AJ$1-$L$1+2)</f>
        <v>169.898</v>
      </c>
      <c r="AK74" s="11">
        <f>VLOOKUP($J74,output!$A$9:$AI$2200,AK$1-$L$1+2)</f>
        <v>166.61199999999999</v>
      </c>
      <c r="AL74" s="11">
        <f>VLOOKUP($J74,output!$A$9:$AI$2200,AL$1-$L$1+2)</f>
        <v>163.92</v>
      </c>
      <c r="AM74" s="11">
        <f>VLOOKUP($J74,output!$A$9:$AI$2200,AM$1-$L$1+2)</f>
        <v>160.29499999999999</v>
      </c>
    </row>
    <row r="75" spans="10:39" x14ac:dyDescent="0.25">
      <c r="J75" t="s">
        <v>383</v>
      </c>
      <c r="K75" t="s">
        <v>435</v>
      </c>
      <c r="L75" s="11">
        <f>VLOOKUP($J75,output!$A$9:$AI$2200,L$1-$L$1+2)</f>
        <v>0</v>
      </c>
      <c r="M75" s="11">
        <f>VLOOKUP($J75,output!$A$9:$AI$2200,M$1-$L$1+2)</f>
        <v>40.546999999999997</v>
      </c>
      <c r="N75" s="11">
        <f>VLOOKUP($J75,output!$A$9:$AI$2200,N$1-$L$1+2)</f>
        <v>23.280999999999999</v>
      </c>
      <c r="O75" s="11">
        <f>VLOOKUP($J75,output!$A$9:$AI$2200,O$1-$L$1+2)</f>
        <v>25.942</v>
      </c>
      <c r="P75" s="11">
        <f>VLOOKUP($J75,output!$A$9:$AI$2200,P$1-$L$1+2)</f>
        <v>30.550999999999998</v>
      </c>
      <c r="Q75" s="11">
        <f>VLOOKUP($J75,output!$A$9:$AI$2200,Q$1-$L$1+2)</f>
        <v>31.3</v>
      </c>
      <c r="R75" s="11">
        <f>VLOOKUP($J75,output!$A$9:$AI$2200,R$1-$L$1+2)</f>
        <v>29.733000000000001</v>
      </c>
      <c r="S75" s="11">
        <f>VLOOKUP($J75,output!$A$9:$AI$2200,S$1-$L$1+2)</f>
        <v>32.933</v>
      </c>
      <c r="T75" s="11">
        <f>VLOOKUP($J75,output!$A$9:$AI$2200,T$1-$L$1+2)</f>
        <v>37.720999999999997</v>
      </c>
      <c r="U75" s="11">
        <f>VLOOKUP($J75,output!$A$9:$AI$2200,U$1-$L$1+2)</f>
        <v>43.142000000000003</v>
      </c>
      <c r="V75" s="11">
        <f>VLOOKUP($J75,output!$A$9:$AI$2200,V$1-$L$1+2)</f>
        <v>50.116999999999997</v>
      </c>
      <c r="W75" s="11">
        <f>VLOOKUP($J75,output!$A$9:$AI$2200,W$1-$L$1+2)</f>
        <v>60.655000000000001</v>
      </c>
      <c r="X75" s="11">
        <f>VLOOKUP($J75,output!$A$9:$AI$2200,X$1-$L$1+2)</f>
        <v>68.206000000000003</v>
      </c>
      <c r="Y75" s="11">
        <f>VLOOKUP($J75,output!$A$9:$AI$2200,Y$1-$L$1+2)</f>
        <v>65.927999999999997</v>
      </c>
      <c r="Z75" s="11">
        <f>VLOOKUP($J75,output!$A$9:$AI$2200,Z$1-$L$1+2)</f>
        <v>65.171999999999997</v>
      </c>
      <c r="AA75" s="11">
        <f>VLOOKUP($J75,output!$A$9:$AI$2200,AA$1-$L$1+2)</f>
        <v>74.281999999999996</v>
      </c>
      <c r="AB75" s="11">
        <f>VLOOKUP($J75,output!$A$9:$AI$2200,AB$1-$L$1+2)</f>
        <v>85.570999999999998</v>
      </c>
      <c r="AC75" s="11">
        <f>VLOOKUP($J75,output!$A$9:$AI$2200,AC$1-$L$1+2)</f>
        <v>105.63</v>
      </c>
      <c r="AD75" s="11">
        <f>VLOOKUP($J75,output!$A$9:$AI$2200,AD$1-$L$1+2)</f>
        <v>89.564999999999998</v>
      </c>
      <c r="AE75" s="11">
        <f>VLOOKUP($J75,output!$A$9:$AI$2200,AE$1-$L$1+2)</f>
        <v>91.852000000000004</v>
      </c>
      <c r="AF75" s="11">
        <f>VLOOKUP($J75,output!$A$9:$AI$2200,AF$1-$L$1+2)</f>
        <v>82.316999999999993</v>
      </c>
      <c r="AG75" s="11">
        <f>VLOOKUP($J75,output!$A$9:$AI$2200,AG$1-$L$1+2)</f>
        <v>83.744</v>
      </c>
      <c r="AH75" s="11">
        <f>VLOOKUP($J75,output!$A$9:$AI$2200,AH$1-$L$1+2)</f>
        <v>79.248000000000005</v>
      </c>
      <c r="AI75" s="11">
        <f>VLOOKUP($J75,output!$A$9:$AI$2200,AI$1-$L$1+2)</f>
        <v>76.384</v>
      </c>
      <c r="AJ75" s="11">
        <f>VLOOKUP($J75,output!$A$9:$AI$2200,AJ$1-$L$1+2)</f>
        <v>72.364000000000004</v>
      </c>
      <c r="AK75" s="11">
        <f>VLOOKUP($J75,output!$A$9:$AI$2200,AK$1-$L$1+2)</f>
        <v>69.602000000000004</v>
      </c>
      <c r="AL75" s="11">
        <f>VLOOKUP($J75,output!$A$9:$AI$2200,AL$1-$L$1+2)</f>
        <v>67.247</v>
      </c>
      <c r="AM75" s="11">
        <f>VLOOKUP($J75,output!$A$9:$AI$2200,AM$1-$L$1+2)</f>
        <v>65.352999999999994</v>
      </c>
    </row>
    <row r="76" spans="10:39" x14ac:dyDescent="0.25">
      <c r="J76" t="s">
        <v>418</v>
      </c>
      <c r="K76" t="s">
        <v>437</v>
      </c>
      <c r="L76" s="11">
        <f>VLOOKUP($J76,output!$A$9:$AI$2200,L$1-$L$1+2)</f>
        <v>0</v>
      </c>
      <c r="M76" s="11">
        <f>VLOOKUP($J76,output!$A$9:$AI$2200,M$1-$L$1+2)</f>
        <v>33.993000000000002</v>
      </c>
      <c r="N76" s="11">
        <f>VLOOKUP($J76,output!$A$9:$AI$2200,N$1-$L$1+2)</f>
        <v>24.544</v>
      </c>
      <c r="O76" s="11">
        <f>VLOOKUP($J76,output!$A$9:$AI$2200,O$1-$L$1+2)</f>
        <v>60.722000000000001</v>
      </c>
      <c r="P76" s="11">
        <f>VLOOKUP($J76,output!$A$9:$AI$2200,P$1-$L$1+2)</f>
        <v>47.396000000000001</v>
      </c>
      <c r="Q76" s="11">
        <f>VLOOKUP($J76,output!$A$9:$AI$2200,Q$1-$L$1+2)</f>
        <v>36.752000000000002</v>
      </c>
      <c r="R76" s="11">
        <f>VLOOKUP($J76,output!$A$9:$AI$2200,R$1-$L$1+2)</f>
        <v>28.34</v>
      </c>
      <c r="S76" s="11">
        <f>VLOOKUP($J76,output!$A$9:$AI$2200,S$1-$L$1+2)</f>
        <v>21.712</v>
      </c>
      <c r="T76" s="11">
        <f>VLOOKUP($J76,output!$A$9:$AI$2200,T$1-$L$1+2)</f>
        <v>21.57</v>
      </c>
      <c r="U76" s="11">
        <f>VLOOKUP($J76,output!$A$9:$AI$2200,U$1-$L$1+2)</f>
        <v>17.829999999999998</v>
      </c>
      <c r="V76" s="11">
        <f>VLOOKUP($J76,output!$A$9:$AI$2200,V$1-$L$1+2)</f>
        <v>14.249000000000001</v>
      </c>
      <c r="W76" s="11">
        <f>VLOOKUP($J76,output!$A$9:$AI$2200,W$1-$L$1+2)</f>
        <v>11.324999999999999</v>
      </c>
      <c r="X76" s="11">
        <f>VLOOKUP($J76,output!$A$9:$AI$2200,X$1-$L$1+2)</f>
        <v>8.9580000000000002</v>
      </c>
      <c r="Y76" s="11">
        <f>VLOOKUP($J76,output!$A$9:$AI$2200,Y$1-$L$1+2)</f>
        <v>7.117</v>
      </c>
      <c r="Z76" s="11">
        <f>VLOOKUP($J76,output!$A$9:$AI$2200,Z$1-$L$1+2)</f>
        <v>20.937999999999999</v>
      </c>
      <c r="AA76" s="11">
        <f>VLOOKUP($J76,output!$A$9:$AI$2200,AA$1-$L$1+2)</f>
        <v>19.895</v>
      </c>
      <c r="AB76" s="11">
        <f>VLOOKUP($J76,output!$A$9:$AI$2200,AB$1-$L$1+2)</f>
        <v>18.866</v>
      </c>
      <c r="AC76" s="11">
        <f>VLOOKUP($J76,output!$A$9:$AI$2200,AC$1-$L$1+2)</f>
        <v>17.789000000000001</v>
      </c>
      <c r="AD76" s="11">
        <f>VLOOKUP($J76,output!$A$9:$AI$2200,AD$1-$L$1+2)</f>
        <v>16.917000000000002</v>
      </c>
      <c r="AE76" s="11">
        <f>VLOOKUP($J76,output!$A$9:$AI$2200,AE$1-$L$1+2)</f>
        <v>16.123000000000001</v>
      </c>
      <c r="AF76" s="11">
        <f>VLOOKUP($J76,output!$A$9:$AI$2200,AF$1-$L$1+2)</f>
        <v>15.377000000000001</v>
      </c>
      <c r="AG76" s="11">
        <f>VLOOKUP($J76,output!$A$9:$AI$2200,AG$1-$L$1+2)</f>
        <v>14.731999999999999</v>
      </c>
      <c r="AH76" s="11">
        <f>VLOOKUP($J76,output!$A$9:$AI$2200,AH$1-$L$1+2)</f>
        <v>14.087</v>
      </c>
      <c r="AI76" s="11">
        <f>VLOOKUP($J76,output!$A$9:$AI$2200,AI$1-$L$1+2)</f>
        <v>13.487</v>
      </c>
      <c r="AJ76" s="11">
        <f>VLOOKUP($J76,output!$A$9:$AI$2200,AJ$1-$L$1+2)</f>
        <v>12.904999999999999</v>
      </c>
      <c r="AK76" s="11">
        <f>VLOOKUP($J76,output!$A$9:$AI$2200,AK$1-$L$1+2)</f>
        <v>12.352</v>
      </c>
      <c r="AL76" s="11">
        <f>VLOOKUP($J76,output!$A$9:$AI$2200,AL$1-$L$1+2)</f>
        <v>11.823</v>
      </c>
      <c r="AM76" s="11">
        <f>VLOOKUP($J76,output!$A$9:$AI$2200,AM$1-$L$1+2)</f>
        <v>11.308999999999999</v>
      </c>
    </row>
    <row r="78" spans="10:39" x14ac:dyDescent="0.25"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 spans="10:39" x14ac:dyDescent="0.25"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 spans="10:39" x14ac:dyDescent="0.25"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 spans="1:39" x14ac:dyDescent="0.25"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</row>
    <row r="82" spans="1:39" x14ac:dyDescent="0.25"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 spans="1:39" x14ac:dyDescent="0.25"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 spans="1:39" x14ac:dyDescent="0.25"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8" spans="1:39" x14ac:dyDescent="0.25"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1:39" x14ac:dyDescent="0.25"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</row>
    <row r="90" spans="1:39" x14ac:dyDescent="0.25">
      <c r="J90" s="126" t="s">
        <v>436</v>
      </c>
      <c r="K90" s="126"/>
    </row>
    <row r="91" spans="1:39" x14ac:dyDescent="0.25">
      <c r="A91" t="s">
        <v>440</v>
      </c>
      <c r="B91">
        <v>2030</v>
      </c>
      <c r="J91" t="s">
        <v>439</v>
      </c>
      <c r="K91" t="s">
        <v>438</v>
      </c>
    </row>
    <row r="92" spans="1:39" x14ac:dyDescent="0.25">
      <c r="I92" t="s">
        <v>385</v>
      </c>
      <c r="J92" t="s">
        <v>110</v>
      </c>
      <c r="K92" t="s">
        <v>110</v>
      </c>
      <c r="L92" s="11">
        <f>VLOOKUP($I92,output!$A$9:$AI$2200,L$1-$L$1+2)</f>
        <v>0</v>
      </c>
      <c r="M92" s="11">
        <f>VLOOKUP($I92,output!$A$9:$AI$2200,M$1-$L$1+2)</f>
        <v>14.646000000000001</v>
      </c>
      <c r="N92" s="11">
        <f>VLOOKUP($I92,output!$A$9:$AI$2200,N$1-$L$1+2)</f>
        <v>9.1319999999999997</v>
      </c>
      <c r="O92" s="11">
        <f>VLOOKUP($I92,output!$A$9:$AI$2200,O$1-$L$1+2)</f>
        <v>8.9049999999999994</v>
      </c>
      <c r="P92" s="11">
        <f>VLOOKUP($I92,output!$A$9:$AI$2200,P$1-$L$1+2)</f>
        <v>8.6940000000000008</v>
      </c>
      <c r="Q92" s="11">
        <f>VLOOKUP($I92,output!$A$9:$AI$2200,Q$1-$L$1+2)</f>
        <v>8.4870000000000001</v>
      </c>
      <c r="R92" s="11">
        <f>VLOOKUP($I92,output!$A$9:$AI$2200,R$1-$L$1+2)</f>
        <v>8.2970000000000006</v>
      </c>
      <c r="S92" s="11">
        <f>VLOOKUP($I92,output!$A$9:$AI$2200,S$1-$L$1+2)</f>
        <v>8.1110000000000007</v>
      </c>
      <c r="T92" s="11">
        <f>VLOOKUP($I92,output!$A$9:$AI$2200,T$1-$L$1+2)</f>
        <v>7.9219999999999997</v>
      </c>
      <c r="U92" s="11">
        <f>VLOOKUP($I92,output!$A$9:$AI$2200,U$1-$L$1+2)</f>
        <v>7.7770000000000001</v>
      </c>
      <c r="V92" s="11">
        <f>VLOOKUP($I92,output!$A$9:$AI$2200,V$1-$L$1+2)</f>
        <v>7.6289999999999996</v>
      </c>
      <c r="W92" s="11">
        <f>VLOOKUP($I92,output!$A$9:$AI$2200,W$1-$L$1+2)</f>
        <v>7.5140000000000002</v>
      </c>
      <c r="X92" s="11">
        <f>VLOOKUP($I92,output!$A$9:$AI$2200,X$1-$L$1+2)</f>
        <v>7.44</v>
      </c>
      <c r="Y92" s="11">
        <f>VLOOKUP($I92,output!$A$9:$AI$2200,Y$1-$L$1+2)</f>
        <v>7.3659999999999997</v>
      </c>
      <c r="Z92" s="11">
        <f>VLOOKUP($I92,output!$A$9:$AI$2200,Z$1-$L$1+2)</f>
        <v>7.3639999999999999</v>
      </c>
      <c r="AA92" s="11">
        <f>VLOOKUP($I92,output!$A$9:$AI$2200,AA$1-$L$1+2)</f>
        <v>7.41</v>
      </c>
      <c r="AB92" s="11">
        <f>VLOOKUP($I92,output!$A$9:$AI$2200,AB$1-$L$1+2)</f>
        <v>7.5060000000000002</v>
      </c>
      <c r="AC92" s="11">
        <f>VLOOKUP($I92,output!$A$9:$AI$2200,AC$1-$L$1+2)</f>
        <v>7.65</v>
      </c>
      <c r="AD92" s="11">
        <f>VLOOKUP($I92,output!$A$9:$AI$2200,AD$1-$L$1+2)</f>
        <v>7.8479999999999999</v>
      </c>
      <c r="AE92" s="11">
        <f>VLOOKUP($I92,output!$A$9:$AI$2200,AE$1-$L$1+2)</f>
        <v>8.0739999999999998</v>
      </c>
      <c r="AF92" s="11">
        <f>VLOOKUP($I92,output!$A$9:$AI$2200,AF$1-$L$1+2)</f>
        <v>8.3260000000000005</v>
      </c>
      <c r="AG92" s="11">
        <f>VLOOKUP($I92,output!$A$9:$AI$2200,AG$1-$L$1+2)</f>
        <v>30.864999999999998</v>
      </c>
      <c r="AH92" s="11">
        <f>VLOOKUP($I92,output!$A$9:$AI$2200,AH$1-$L$1+2)</f>
        <v>15.555999999999999</v>
      </c>
      <c r="AI92" s="11">
        <f>VLOOKUP($I92,output!$A$9:$AI$2200,AI$1-$L$1+2)</f>
        <v>15.114000000000001</v>
      </c>
      <c r="AJ92" s="11">
        <f>VLOOKUP($I92,output!$A$9:$AI$2200,AJ$1-$L$1+2)</f>
        <v>16.803999999999998</v>
      </c>
      <c r="AK92" s="11">
        <f>VLOOKUP($I92,output!$A$9:$AI$2200,AK$1-$L$1+2)</f>
        <v>16.516999999999999</v>
      </c>
      <c r="AL92" s="11">
        <f>VLOOKUP($I92,output!$A$9:$AI$2200,AL$1-$L$1+2)</f>
        <v>16.068999999999999</v>
      </c>
      <c r="AM92" s="11">
        <f>VLOOKUP($I92,output!$A$9:$AI$2200,AM$1-$L$1+2)</f>
        <v>15.621</v>
      </c>
    </row>
    <row r="93" spans="1:39" x14ac:dyDescent="0.25">
      <c r="I93" t="s">
        <v>386</v>
      </c>
      <c r="J93" t="s">
        <v>111</v>
      </c>
      <c r="K93" t="s">
        <v>111</v>
      </c>
      <c r="L93" s="11">
        <f>VLOOKUP($I93,output!$A$9:$AI$2200,L$1-$L$1+2)</f>
        <v>0</v>
      </c>
      <c r="M93" s="11">
        <f>VLOOKUP($I93,output!$A$9:$AI$2200,M$1-$L$1+2)</f>
        <v>5.21</v>
      </c>
      <c r="N93" s="11">
        <f>VLOOKUP($I93,output!$A$9:$AI$2200,N$1-$L$1+2)</f>
        <v>9.032</v>
      </c>
      <c r="O93" s="11">
        <f>VLOOKUP($I93,output!$A$9:$AI$2200,O$1-$L$1+2)</f>
        <v>8.6989999999999998</v>
      </c>
      <c r="P93" s="11">
        <f>VLOOKUP($I93,output!$A$9:$AI$2200,P$1-$L$1+2)</f>
        <v>8.3870000000000005</v>
      </c>
      <c r="Q93" s="11">
        <f>VLOOKUP($I93,output!$A$9:$AI$2200,Q$1-$L$1+2)</f>
        <v>8.0869999999999997</v>
      </c>
      <c r="R93" s="11">
        <f>VLOOKUP($I93,output!$A$9:$AI$2200,R$1-$L$1+2)</f>
        <v>7.8090000000000002</v>
      </c>
      <c r="S93" s="11">
        <f>VLOOKUP($I93,output!$A$9:$AI$2200,S$1-$L$1+2)</f>
        <v>7.5369999999999999</v>
      </c>
      <c r="T93" s="11">
        <f>VLOOKUP($I93,output!$A$9:$AI$2200,T$1-$L$1+2)</f>
        <v>7.2640000000000002</v>
      </c>
      <c r="U93" s="11">
        <f>VLOOKUP($I93,output!$A$9:$AI$2200,U$1-$L$1+2)</f>
        <v>7.0439999999999996</v>
      </c>
      <c r="V93" s="11">
        <f>VLOOKUP($I93,output!$A$9:$AI$2200,V$1-$L$1+2)</f>
        <v>6.8209999999999997</v>
      </c>
      <c r="W93" s="11">
        <f>VLOOKUP($I93,output!$A$9:$AI$2200,W$1-$L$1+2)</f>
        <v>6.6340000000000003</v>
      </c>
      <c r="X93" s="11">
        <f>VLOOKUP($I93,output!$A$9:$AI$2200,X$1-$L$1+2)</f>
        <v>6.4880000000000004</v>
      </c>
      <c r="Y93" s="11">
        <f>VLOOKUP($I93,output!$A$9:$AI$2200,Y$1-$L$1+2)</f>
        <v>6.4240000000000004</v>
      </c>
      <c r="Z93" s="11">
        <f>VLOOKUP($I93,output!$A$9:$AI$2200,Z$1-$L$1+2)</f>
        <v>6.4249999999999998</v>
      </c>
      <c r="AA93" s="11">
        <f>VLOOKUP($I93,output!$A$9:$AI$2200,AA$1-$L$1+2)</f>
        <v>6.47</v>
      </c>
      <c r="AB93" s="11">
        <f>VLOOKUP($I93,output!$A$9:$AI$2200,AB$1-$L$1+2)</f>
        <v>6.5590000000000002</v>
      </c>
      <c r="AC93" s="11">
        <f>VLOOKUP($I93,output!$A$9:$AI$2200,AC$1-$L$1+2)</f>
        <v>6.6929999999999996</v>
      </c>
      <c r="AD93" s="11">
        <f>VLOOKUP($I93,output!$A$9:$AI$2200,AD$1-$L$1+2)</f>
        <v>6.875</v>
      </c>
      <c r="AE93" s="11">
        <f>VLOOKUP($I93,output!$A$9:$AI$2200,AE$1-$L$1+2)</f>
        <v>7.08</v>
      </c>
      <c r="AF93" s="11">
        <f>VLOOKUP($I93,output!$A$9:$AI$2200,AF$1-$L$1+2)</f>
        <v>7.3090000000000002</v>
      </c>
      <c r="AG93" s="11">
        <f>VLOOKUP($I93,output!$A$9:$AI$2200,AG$1-$L$1+2)</f>
        <v>27.117999999999999</v>
      </c>
      <c r="AH93" s="11">
        <f>VLOOKUP($I93,output!$A$9:$AI$2200,AH$1-$L$1+2)</f>
        <v>13.67</v>
      </c>
      <c r="AI93" s="11">
        <f>VLOOKUP($I93,output!$A$9:$AI$2200,AI$1-$L$1+2)</f>
        <v>13.285</v>
      </c>
      <c r="AJ93" s="11">
        <f>VLOOKUP($I93,output!$A$9:$AI$2200,AJ$1-$L$1+2)</f>
        <v>14.775</v>
      </c>
      <c r="AK93" s="11">
        <f>VLOOKUP($I93,output!$A$9:$AI$2200,AK$1-$L$1+2)</f>
        <v>14.525</v>
      </c>
      <c r="AL93" s="11">
        <f>VLOOKUP($I93,output!$A$9:$AI$2200,AL$1-$L$1+2)</f>
        <v>14.132999999999999</v>
      </c>
      <c r="AM93" s="11">
        <f>VLOOKUP($I93,output!$A$9:$AI$2200,AM$1-$L$1+2)</f>
        <v>13.74</v>
      </c>
    </row>
    <row r="94" spans="1:39" x14ac:dyDescent="0.25">
      <c r="I94" t="s">
        <v>387</v>
      </c>
      <c r="J94" t="s">
        <v>110</v>
      </c>
      <c r="K94" t="s">
        <v>110</v>
      </c>
      <c r="L94" s="11">
        <f>VLOOKUP($I94,output!$A$9:$AI$2200,L$1-$L$1+2)</f>
        <v>0</v>
      </c>
      <c r="M94" s="11">
        <f>VLOOKUP($I94,output!$A$9:$AI$2200,M$1-$L$1+2)</f>
        <v>1.57</v>
      </c>
      <c r="N94" s="11">
        <f>VLOOKUP($I94,output!$A$9:$AI$2200,N$1-$L$1+2)</f>
        <v>0.53</v>
      </c>
      <c r="O94" s="11">
        <f>VLOOKUP($I94,output!$A$9:$AI$2200,O$1-$L$1+2)</f>
        <v>0.46500000000000002</v>
      </c>
      <c r="P94" s="11">
        <f>VLOOKUP($I94,output!$A$9:$AI$2200,P$1-$L$1+2)</f>
        <v>0.43</v>
      </c>
      <c r="Q94" s="11">
        <f>VLOOKUP($I94,output!$A$9:$AI$2200,Q$1-$L$1+2)</f>
        <v>0.41199999999999998</v>
      </c>
      <c r="R94" s="11">
        <f>VLOOKUP($I94,output!$A$9:$AI$2200,R$1-$L$1+2)</f>
        <v>0.4</v>
      </c>
      <c r="S94" s="11">
        <f>VLOOKUP($I94,output!$A$9:$AI$2200,S$1-$L$1+2)</f>
        <v>0.39</v>
      </c>
      <c r="T94" s="11">
        <f>VLOOKUP($I94,output!$A$9:$AI$2200,T$1-$L$1+2)</f>
        <v>0.376</v>
      </c>
      <c r="U94" s="11">
        <f>VLOOKUP($I94,output!$A$9:$AI$2200,U$1-$L$1+2)</f>
        <v>0.376</v>
      </c>
      <c r="V94" s="11">
        <f>VLOOKUP($I94,output!$A$9:$AI$2200,V$1-$L$1+2)</f>
        <v>0.372</v>
      </c>
      <c r="W94" s="11">
        <f>VLOOKUP($I94,output!$A$9:$AI$2200,W$1-$L$1+2)</f>
        <v>0.372</v>
      </c>
      <c r="X94" s="11">
        <f>VLOOKUP($I94,output!$A$9:$AI$2200,X$1-$L$1+2)</f>
        <v>0.378</v>
      </c>
      <c r="Y94" s="11">
        <f>VLOOKUP($I94,output!$A$9:$AI$2200,Y$1-$L$1+2)</f>
        <v>0.38400000000000001</v>
      </c>
      <c r="Z94" s="11">
        <f>VLOOKUP($I94,output!$A$9:$AI$2200,Z$1-$L$1+2)</f>
        <v>0.39400000000000002</v>
      </c>
      <c r="AA94" s="11">
        <f>VLOOKUP($I94,output!$A$9:$AI$2200,AA$1-$L$1+2)</f>
        <v>0.40799999999999997</v>
      </c>
      <c r="AB94" s="11">
        <f>VLOOKUP($I94,output!$A$9:$AI$2200,AB$1-$L$1+2)</f>
        <v>0.42699999999999999</v>
      </c>
      <c r="AC94" s="11">
        <f>VLOOKUP($I94,output!$A$9:$AI$2200,AC$1-$L$1+2)</f>
        <v>0.44900000000000001</v>
      </c>
      <c r="AD94" s="11">
        <f>VLOOKUP($I94,output!$A$9:$AI$2200,AD$1-$L$1+2)</f>
        <v>0.47599999999999998</v>
      </c>
      <c r="AE94" s="11">
        <f>VLOOKUP($I94,output!$A$9:$AI$2200,AE$1-$L$1+2)</f>
        <v>0.503</v>
      </c>
      <c r="AF94" s="11">
        <f>VLOOKUP($I94,output!$A$9:$AI$2200,AF$1-$L$1+2)</f>
        <v>0.53200000000000003</v>
      </c>
      <c r="AG94" s="11">
        <f>VLOOKUP($I94,output!$A$9:$AI$2200,AG$1-$L$1+2)</f>
        <v>6.2030000000000003</v>
      </c>
      <c r="AH94" s="11">
        <f>VLOOKUP($I94,output!$A$9:$AI$2200,AH$1-$L$1+2)</f>
        <v>8.8360000000000003</v>
      </c>
      <c r="AI94" s="11">
        <f>VLOOKUP($I94,output!$A$9:$AI$2200,AI$1-$L$1+2)</f>
        <v>8.4280000000000008</v>
      </c>
      <c r="AJ94" s="11">
        <f>VLOOKUP($I94,output!$A$9:$AI$2200,AJ$1-$L$1+2)</f>
        <v>9.4979999999999993</v>
      </c>
      <c r="AK94" s="11">
        <f>VLOOKUP($I94,output!$A$9:$AI$2200,AK$1-$L$1+2)</f>
        <v>9.1780000000000008</v>
      </c>
      <c r="AL94" s="11">
        <f>VLOOKUP($I94,output!$A$9:$AI$2200,AL$1-$L$1+2)</f>
        <v>8.7279999999999998</v>
      </c>
      <c r="AM94" s="11">
        <f>VLOOKUP($I94,output!$A$9:$AI$2200,AM$1-$L$1+2)</f>
        <v>8.2710000000000008</v>
      </c>
    </row>
    <row r="95" spans="1:39" x14ac:dyDescent="0.25">
      <c r="I95" t="s">
        <v>388</v>
      </c>
      <c r="J95" t="s">
        <v>111</v>
      </c>
      <c r="K95" t="s">
        <v>111</v>
      </c>
      <c r="L95" s="11">
        <f>VLOOKUP($I95,output!$A$9:$AI$2200,L$1-$L$1+2)</f>
        <v>0</v>
      </c>
      <c r="M95" s="11">
        <f>VLOOKUP($I95,output!$A$9:$AI$2200,M$1-$L$1+2)</f>
        <v>97.957999999999998</v>
      </c>
      <c r="N95" s="11">
        <f>VLOOKUP($I95,output!$A$9:$AI$2200,N$1-$L$1+2)</f>
        <v>86.62</v>
      </c>
      <c r="O95" s="11">
        <f>VLOOKUP($I95,output!$A$9:$AI$2200,O$1-$L$1+2)</f>
        <v>84.272999999999996</v>
      </c>
      <c r="P95" s="11">
        <f>VLOOKUP($I95,output!$A$9:$AI$2200,P$1-$L$1+2)</f>
        <v>82.897999999999996</v>
      </c>
      <c r="Q95" s="11">
        <f>VLOOKUP($I95,output!$A$9:$AI$2200,Q$1-$L$1+2)</f>
        <v>81.734999999999999</v>
      </c>
      <c r="R95" s="11">
        <f>VLOOKUP($I95,output!$A$9:$AI$2200,R$1-$L$1+2)</f>
        <v>81.135999999999996</v>
      </c>
      <c r="S95" s="11">
        <f>VLOOKUP($I95,output!$A$9:$AI$2200,S$1-$L$1+2)</f>
        <v>80.965000000000003</v>
      </c>
      <c r="T95" s="11">
        <f>VLOOKUP($I95,output!$A$9:$AI$2200,T$1-$L$1+2)</f>
        <v>81.111000000000004</v>
      </c>
      <c r="U95" s="11">
        <f>VLOOKUP($I95,output!$A$9:$AI$2200,U$1-$L$1+2)</f>
        <v>81.239999999999995</v>
      </c>
      <c r="V95" s="11">
        <f>VLOOKUP($I95,output!$A$9:$AI$2200,V$1-$L$1+2)</f>
        <v>81.7</v>
      </c>
      <c r="W95" s="11">
        <f>VLOOKUP($I95,output!$A$9:$AI$2200,W$1-$L$1+2)</f>
        <v>82.245999999999995</v>
      </c>
      <c r="X95" s="11">
        <f>VLOOKUP($I95,output!$A$9:$AI$2200,X$1-$L$1+2)</f>
        <v>82.915000000000006</v>
      </c>
      <c r="Y95" s="11">
        <f>VLOOKUP($I95,output!$A$9:$AI$2200,Y$1-$L$1+2)</f>
        <v>83.578000000000003</v>
      </c>
      <c r="Z95" s="11">
        <f>VLOOKUP($I95,output!$A$9:$AI$2200,Z$1-$L$1+2)</f>
        <v>84.495999999999995</v>
      </c>
      <c r="AA95" s="11">
        <f>VLOOKUP($I95,output!$A$9:$AI$2200,AA$1-$L$1+2)</f>
        <v>85.509</v>
      </c>
      <c r="AB95" s="11">
        <f>VLOOKUP($I95,output!$A$9:$AI$2200,AB$1-$L$1+2)</f>
        <v>86.620999999999995</v>
      </c>
      <c r="AC95" s="11">
        <f>VLOOKUP($I95,output!$A$9:$AI$2200,AC$1-$L$1+2)</f>
        <v>87.905000000000001</v>
      </c>
      <c r="AD95" s="11">
        <f>VLOOKUP($I95,output!$A$9:$AI$2200,AD$1-$L$1+2)</f>
        <v>89.153000000000006</v>
      </c>
      <c r="AE95" s="11">
        <f>VLOOKUP($I95,output!$A$9:$AI$2200,AE$1-$L$1+2)</f>
        <v>90.578000000000003</v>
      </c>
      <c r="AF95" s="11">
        <f>VLOOKUP($I95,output!$A$9:$AI$2200,AF$1-$L$1+2)</f>
        <v>92.033000000000001</v>
      </c>
      <c r="AG95" s="11">
        <f>VLOOKUP($I95,output!$A$9:$AI$2200,AG$1-$L$1+2)</f>
        <v>395.041</v>
      </c>
      <c r="AH95" s="11">
        <f>VLOOKUP($I95,output!$A$9:$AI$2200,AH$1-$L$1+2)</f>
        <v>324.09199999999998</v>
      </c>
      <c r="AI95" s="11">
        <f>VLOOKUP($I95,output!$A$9:$AI$2200,AI$1-$L$1+2)</f>
        <v>364.11200000000002</v>
      </c>
      <c r="AJ95" s="11">
        <f>VLOOKUP($I95,output!$A$9:$AI$2200,AJ$1-$L$1+2)</f>
        <v>376.73899999999998</v>
      </c>
      <c r="AK95" s="11">
        <f>VLOOKUP($I95,output!$A$9:$AI$2200,AK$1-$L$1+2)</f>
        <v>411.899</v>
      </c>
      <c r="AL95" s="11">
        <f>VLOOKUP($I95,output!$A$9:$AI$2200,AL$1-$L$1+2)</f>
        <v>453.30200000000002</v>
      </c>
      <c r="AM95" s="11">
        <f>VLOOKUP($I95,output!$A$9:$AI$2200,AM$1-$L$1+2)</f>
        <v>494.10599999999999</v>
      </c>
    </row>
    <row r="96" spans="1:39" x14ac:dyDescent="0.25">
      <c r="I96" t="s">
        <v>389</v>
      </c>
      <c r="J96" t="s">
        <v>112</v>
      </c>
      <c r="K96" t="s">
        <v>112</v>
      </c>
      <c r="L96" s="11">
        <f>VLOOKUP($I96,output!$A$9:$AI$2200,L$1-$L$1+2)</f>
        <v>0</v>
      </c>
      <c r="M96" s="11">
        <f>VLOOKUP($I96,output!$A$9:$AI$2200,M$1-$L$1+2)</f>
        <v>8.2539999999999996</v>
      </c>
      <c r="N96" s="11">
        <f>VLOOKUP($I96,output!$A$9:$AI$2200,N$1-$L$1+2)</f>
        <v>14.475</v>
      </c>
      <c r="O96" s="11">
        <f>VLOOKUP($I96,output!$A$9:$AI$2200,O$1-$L$1+2)</f>
        <v>14.333</v>
      </c>
      <c r="P96" s="11">
        <f>VLOOKUP($I96,output!$A$9:$AI$2200,P$1-$L$1+2)</f>
        <v>14.134</v>
      </c>
      <c r="Q96" s="11">
        <f>VLOOKUP($I96,output!$A$9:$AI$2200,Q$1-$L$1+2)</f>
        <v>13.95</v>
      </c>
      <c r="R96" s="11">
        <f>VLOOKUP($I96,output!$A$9:$AI$2200,R$1-$L$1+2)</f>
        <v>13.728999999999999</v>
      </c>
      <c r="S96" s="11">
        <f>VLOOKUP($I96,output!$A$9:$AI$2200,S$1-$L$1+2)</f>
        <v>13.465999999999999</v>
      </c>
      <c r="T96" s="11">
        <f>VLOOKUP($I96,output!$A$9:$AI$2200,T$1-$L$1+2)</f>
        <v>13.164999999999999</v>
      </c>
      <c r="U96" s="11">
        <f>VLOOKUP($I96,output!$A$9:$AI$2200,U$1-$L$1+2)</f>
        <v>12.962</v>
      </c>
      <c r="V96" s="11">
        <f>VLOOKUP($I96,output!$A$9:$AI$2200,V$1-$L$1+2)</f>
        <v>12.714</v>
      </c>
      <c r="W96" s="11">
        <f>VLOOKUP($I96,output!$A$9:$AI$2200,W$1-$L$1+2)</f>
        <v>12.497</v>
      </c>
      <c r="X96" s="11">
        <f>VLOOKUP($I96,output!$A$9:$AI$2200,X$1-$L$1+2)</f>
        <v>12.315</v>
      </c>
      <c r="Y96" s="11">
        <f>VLOOKUP($I96,output!$A$9:$AI$2200,Y$1-$L$1+2)</f>
        <v>12.239000000000001</v>
      </c>
      <c r="Z96" s="11">
        <f>VLOOKUP($I96,output!$A$9:$AI$2200,Z$1-$L$1+2)</f>
        <v>12.247999999999999</v>
      </c>
      <c r="AA96" s="11">
        <f>VLOOKUP($I96,output!$A$9:$AI$2200,AA$1-$L$1+2)</f>
        <v>12.28</v>
      </c>
      <c r="AB96" s="11">
        <f>VLOOKUP($I96,output!$A$9:$AI$2200,AB$1-$L$1+2)</f>
        <v>12.305999999999999</v>
      </c>
      <c r="AC96" s="11">
        <f>VLOOKUP($I96,output!$A$9:$AI$2200,AC$1-$L$1+2)</f>
        <v>12.331</v>
      </c>
      <c r="AD96" s="11">
        <f>VLOOKUP($I96,output!$A$9:$AI$2200,AD$1-$L$1+2)</f>
        <v>12.340999999999999</v>
      </c>
      <c r="AE96" s="11">
        <f>VLOOKUP($I96,output!$A$9:$AI$2200,AE$1-$L$1+2)</f>
        <v>12.343</v>
      </c>
      <c r="AF96" s="11">
        <f>VLOOKUP($I96,output!$A$9:$AI$2200,AF$1-$L$1+2)</f>
        <v>12.335000000000001</v>
      </c>
      <c r="AG96" s="11">
        <f>VLOOKUP($I96,output!$A$9:$AI$2200,AG$1-$L$1+2)</f>
        <v>44.253999999999998</v>
      </c>
      <c r="AH96" s="11">
        <f>VLOOKUP($I96,output!$A$9:$AI$2200,AH$1-$L$1+2)</f>
        <v>22.114000000000001</v>
      </c>
      <c r="AI96" s="11">
        <f>VLOOKUP($I96,output!$A$9:$AI$2200,AI$1-$L$1+2)</f>
        <v>21.198</v>
      </c>
      <c r="AJ96" s="11">
        <f>VLOOKUP($I96,output!$A$9:$AI$2200,AJ$1-$L$1+2)</f>
        <v>23.242000000000001</v>
      </c>
      <c r="AK96" s="11">
        <f>VLOOKUP($I96,output!$A$9:$AI$2200,AK$1-$L$1+2)</f>
        <v>22.515999999999998</v>
      </c>
      <c r="AL96" s="11">
        <f>VLOOKUP($I96,output!$A$9:$AI$2200,AL$1-$L$1+2)</f>
        <v>21.6</v>
      </c>
      <c r="AM96" s="11">
        <f>VLOOKUP($I96,output!$A$9:$AI$2200,AM$1-$L$1+2)</f>
        <v>20.722999999999999</v>
      </c>
    </row>
    <row r="97" spans="9:39" x14ac:dyDescent="0.25">
      <c r="I97" t="s">
        <v>390</v>
      </c>
      <c r="J97" t="s">
        <v>112</v>
      </c>
      <c r="K97" t="s">
        <v>110</v>
      </c>
      <c r="L97" s="11">
        <f>VLOOKUP($I97,output!$A$9:$AI$2200,L$1-$L$1+2)</f>
        <v>0</v>
      </c>
      <c r="M97" s="11">
        <f>VLOOKUP($I97,output!$A$9:$AI$2200,M$1-$L$1+2)</f>
        <v>6.96</v>
      </c>
      <c r="N97" s="11">
        <f>VLOOKUP($I97,output!$A$9:$AI$2200,N$1-$L$1+2)</f>
        <v>3.9119999999999999</v>
      </c>
      <c r="O97" s="11">
        <f>VLOOKUP($I97,output!$A$9:$AI$2200,O$1-$L$1+2)</f>
        <v>3.3820000000000001</v>
      </c>
      <c r="P97" s="11">
        <f>VLOOKUP($I97,output!$A$9:$AI$2200,P$1-$L$1+2)</f>
        <v>4.5270000000000001</v>
      </c>
      <c r="Q97" s="11">
        <f>VLOOKUP($I97,output!$A$9:$AI$2200,Q$1-$L$1+2)</f>
        <v>4.1470000000000002</v>
      </c>
      <c r="R97" s="11">
        <f>VLOOKUP($I97,output!$A$9:$AI$2200,R$1-$L$1+2)</f>
        <v>3.2989999999999999</v>
      </c>
      <c r="S97" s="11">
        <f>VLOOKUP($I97,output!$A$9:$AI$2200,S$1-$L$1+2)</f>
        <v>2.1779999999999999</v>
      </c>
      <c r="T97" s="11">
        <f>VLOOKUP($I97,output!$A$9:$AI$2200,T$1-$L$1+2)</f>
        <v>5.0119999999999996</v>
      </c>
      <c r="U97" s="11">
        <f>VLOOKUP($I97,output!$A$9:$AI$2200,U$1-$L$1+2)</f>
        <v>3.6160000000000001</v>
      </c>
      <c r="V97" s="11">
        <f>VLOOKUP($I97,output!$A$9:$AI$2200,V$1-$L$1+2)</f>
        <v>4.9290000000000003</v>
      </c>
      <c r="W97" s="11">
        <f>VLOOKUP($I97,output!$A$9:$AI$2200,W$1-$L$1+2)</f>
        <v>6.7320000000000002</v>
      </c>
      <c r="X97" s="11">
        <f>VLOOKUP($I97,output!$A$9:$AI$2200,X$1-$L$1+2)</f>
        <v>8.782</v>
      </c>
      <c r="Y97" s="11">
        <f>VLOOKUP($I97,output!$A$9:$AI$2200,Y$1-$L$1+2)</f>
        <v>10.042999999999999</v>
      </c>
      <c r="Z97" s="11">
        <f>VLOOKUP($I97,output!$A$9:$AI$2200,Z$1-$L$1+2)</f>
        <v>13.109</v>
      </c>
      <c r="AA97" s="11">
        <f>VLOOKUP($I97,output!$A$9:$AI$2200,AA$1-$L$1+2)</f>
        <v>16.294</v>
      </c>
      <c r="AB97" s="11">
        <f>VLOOKUP($I97,output!$A$9:$AI$2200,AB$1-$L$1+2)</f>
        <v>17.379000000000001</v>
      </c>
      <c r="AC97" s="11">
        <f>VLOOKUP($I97,output!$A$9:$AI$2200,AC$1-$L$1+2)</f>
        <v>23.279</v>
      </c>
      <c r="AD97" s="11">
        <f>VLOOKUP($I97,output!$A$9:$AI$2200,AD$1-$L$1+2)</f>
        <v>23.219000000000001</v>
      </c>
      <c r="AE97" s="11">
        <f>VLOOKUP($I97,output!$A$9:$AI$2200,AE$1-$L$1+2)</f>
        <v>25.286999999999999</v>
      </c>
      <c r="AF97" s="11">
        <f>VLOOKUP($I97,output!$A$9:$AI$2200,AF$1-$L$1+2)</f>
        <v>25.481000000000002</v>
      </c>
      <c r="AG97" s="11">
        <f>VLOOKUP($I97,output!$A$9:$AI$2200,AG$1-$L$1+2)</f>
        <v>11.807</v>
      </c>
      <c r="AH97" s="11">
        <f>VLOOKUP($I97,output!$A$9:$AI$2200,AH$1-$L$1+2)</f>
        <v>12.7</v>
      </c>
      <c r="AI97" s="11">
        <f>VLOOKUP($I97,output!$A$9:$AI$2200,AI$1-$L$1+2)</f>
        <v>15.161</v>
      </c>
      <c r="AJ97" s="11">
        <f>VLOOKUP($I97,output!$A$9:$AI$2200,AJ$1-$L$1+2)</f>
        <v>13.78</v>
      </c>
      <c r="AK97" s="11">
        <f>VLOOKUP($I97,output!$A$9:$AI$2200,AK$1-$L$1+2)</f>
        <v>14.161</v>
      </c>
      <c r="AL97" s="11">
        <f>VLOOKUP($I97,output!$A$9:$AI$2200,AL$1-$L$1+2)</f>
        <v>14.628</v>
      </c>
      <c r="AM97" s="11">
        <f>VLOOKUP($I97,output!$A$9:$AI$2200,AM$1-$L$1+2)</f>
        <v>15.079000000000001</v>
      </c>
    </row>
    <row r="98" spans="9:39" x14ac:dyDescent="0.25">
      <c r="I98" t="s">
        <v>391</v>
      </c>
      <c r="J98" t="s">
        <v>112</v>
      </c>
      <c r="K98" t="s">
        <v>111</v>
      </c>
      <c r="L98" s="11">
        <f>VLOOKUP($I98,output!$A$9:$AI$2200,L$1-$L$1+2)</f>
        <v>0</v>
      </c>
      <c r="M98" s="11">
        <f>VLOOKUP($I98,output!$A$9:$AI$2200,M$1-$L$1+2)</f>
        <v>26.375</v>
      </c>
      <c r="N98" s="11">
        <f>VLOOKUP($I98,output!$A$9:$AI$2200,N$1-$L$1+2)</f>
        <v>17.658000000000001</v>
      </c>
      <c r="O98" s="11">
        <f>VLOOKUP($I98,output!$A$9:$AI$2200,O$1-$L$1+2)</f>
        <v>31.696999999999999</v>
      </c>
      <c r="P98" s="11">
        <f>VLOOKUP($I98,output!$A$9:$AI$2200,P$1-$L$1+2)</f>
        <v>31.620999999999999</v>
      </c>
      <c r="Q98" s="11">
        <f>VLOOKUP($I98,output!$A$9:$AI$2200,Q$1-$L$1+2)</f>
        <v>46.584000000000003</v>
      </c>
      <c r="R98" s="11">
        <f>VLOOKUP($I98,output!$A$9:$AI$2200,R$1-$L$1+2)</f>
        <v>65.537999999999997</v>
      </c>
      <c r="S98" s="11">
        <f>VLOOKUP($I98,output!$A$9:$AI$2200,S$1-$L$1+2)</f>
        <v>85.771000000000001</v>
      </c>
      <c r="T98" s="11">
        <f>VLOOKUP($I98,output!$A$9:$AI$2200,T$1-$L$1+2)</f>
        <v>69.384</v>
      </c>
      <c r="U98" s="11">
        <f>VLOOKUP($I98,output!$A$9:$AI$2200,U$1-$L$1+2)</f>
        <v>97.141999999999996</v>
      </c>
      <c r="V98" s="11">
        <f>VLOOKUP($I98,output!$A$9:$AI$2200,V$1-$L$1+2)</f>
        <v>100.018</v>
      </c>
      <c r="W98" s="11">
        <f>VLOOKUP($I98,output!$A$9:$AI$2200,W$1-$L$1+2)</f>
        <v>99.817999999999998</v>
      </c>
      <c r="X98" s="11">
        <f>VLOOKUP($I98,output!$A$9:$AI$2200,X$1-$L$1+2)</f>
        <v>100.367</v>
      </c>
      <c r="Y98" s="11">
        <f>VLOOKUP($I98,output!$A$9:$AI$2200,Y$1-$L$1+2)</f>
        <v>99.150999999999996</v>
      </c>
      <c r="Z98" s="11">
        <f>VLOOKUP($I98,output!$A$9:$AI$2200,Z$1-$L$1+2)</f>
        <v>91.22</v>
      </c>
      <c r="AA98" s="11">
        <f>VLOOKUP($I98,output!$A$9:$AI$2200,AA$1-$L$1+2)</f>
        <v>93.701999999999998</v>
      </c>
      <c r="AB98" s="11">
        <f>VLOOKUP($I98,output!$A$9:$AI$2200,AB$1-$L$1+2)</f>
        <v>80.977000000000004</v>
      </c>
      <c r="AC98" s="11">
        <f>VLOOKUP($I98,output!$A$9:$AI$2200,AC$1-$L$1+2)</f>
        <v>88.885999999999996</v>
      </c>
      <c r="AD98" s="11">
        <f>VLOOKUP($I98,output!$A$9:$AI$2200,AD$1-$L$1+2)</f>
        <v>96.453999999999994</v>
      </c>
      <c r="AE98" s="11">
        <f>VLOOKUP($I98,output!$A$9:$AI$2200,AE$1-$L$1+2)</f>
        <v>103.527</v>
      </c>
      <c r="AF98" s="11">
        <f>VLOOKUP($I98,output!$A$9:$AI$2200,AF$1-$L$1+2)</f>
        <v>101.255</v>
      </c>
      <c r="AG98" s="11">
        <f>VLOOKUP($I98,output!$A$9:$AI$2200,AG$1-$L$1+2)</f>
        <v>72.25</v>
      </c>
      <c r="AH98" s="11">
        <f>VLOOKUP($I98,output!$A$9:$AI$2200,AH$1-$L$1+2)</f>
        <v>74.611999999999995</v>
      </c>
      <c r="AI98" s="11">
        <f>VLOOKUP($I98,output!$A$9:$AI$2200,AI$1-$L$1+2)</f>
        <v>87.724000000000004</v>
      </c>
      <c r="AJ98" s="11">
        <f>VLOOKUP($I98,output!$A$9:$AI$2200,AJ$1-$L$1+2)</f>
        <v>80.888999999999996</v>
      </c>
      <c r="AK98" s="11">
        <f>VLOOKUP($I98,output!$A$9:$AI$2200,AK$1-$L$1+2)</f>
        <v>83.620999999999995</v>
      </c>
      <c r="AL98" s="11">
        <f>VLOOKUP($I98,output!$A$9:$AI$2200,AL$1-$L$1+2)</f>
        <v>86.968000000000004</v>
      </c>
      <c r="AM98" s="11">
        <f>VLOOKUP($I98,output!$A$9:$AI$2200,AM$1-$L$1+2)</f>
        <v>89.165000000000006</v>
      </c>
    </row>
    <row r="99" spans="9:39" x14ac:dyDescent="0.25">
      <c r="I99" t="s">
        <v>392</v>
      </c>
      <c r="J99" t="s">
        <v>112</v>
      </c>
      <c r="K99" t="s">
        <v>112</v>
      </c>
      <c r="L99" s="11">
        <f>VLOOKUP($I99,output!$A$9:$AI$2200,L$1-$L$1+2)</f>
        <v>0</v>
      </c>
      <c r="M99" s="11">
        <f>VLOOKUP($I99,output!$A$9:$AI$2200,M$1-$L$1+2)</f>
        <v>281.05399999999997</v>
      </c>
      <c r="N99" s="11">
        <f>VLOOKUP($I99,output!$A$9:$AI$2200,N$1-$L$1+2)</f>
        <v>302.68200000000002</v>
      </c>
      <c r="O99" s="11">
        <f>VLOOKUP($I99,output!$A$9:$AI$2200,O$1-$L$1+2)</f>
        <v>295.858</v>
      </c>
      <c r="P99" s="11">
        <f>VLOOKUP($I99,output!$A$9:$AI$2200,P$1-$L$1+2)</f>
        <v>304.83600000000001</v>
      </c>
      <c r="Q99" s="11">
        <f>VLOOKUP($I99,output!$A$9:$AI$2200,Q$1-$L$1+2)</f>
        <v>302.435</v>
      </c>
      <c r="R99" s="11">
        <f>VLOOKUP($I99,output!$A$9:$AI$2200,R$1-$L$1+2)</f>
        <v>296.69</v>
      </c>
      <c r="S99" s="11">
        <f>VLOOKUP($I99,output!$A$9:$AI$2200,S$1-$L$1+2)</f>
        <v>289.17500000000001</v>
      </c>
      <c r="T99" s="11">
        <f>VLOOKUP($I99,output!$A$9:$AI$2200,T$1-$L$1+2)</f>
        <v>312.39800000000002</v>
      </c>
      <c r="U99" s="11">
        <f>VLOOKUP($I99,output!$A$9:$AI$2200,U$1-$L$1+2)</f>
        <v>305.334</v>
      </c>
      <c r="V99" s="11">
        <f>VLOOKUP($I99,output!$A$9:$AI$2200,V$1-$L$1+2)</f>
        <v>317.017</v>
      </c>
      <c r="W99" s="11">
        <f>VLOOKUP($I99,output!$A$9:$AI$2200,W$1-$L$1+2)</f>
        <v>330.959</v>
      </c>
      <c r="X99" s="11">
        <f>VLOOKUP($I99,output!$A$9:$AI$2200,X$1-$L$1+2)</f>
        <v>346.19099999999997</v>
      </c>
      <c r="Y99" s="11">
        <f>VLOOKUP($I99,output!$A$9:$AI$2200,Y$1-$L$1+2)</f>
        <v>355.988</v>
      </c>
      <c r="Z99" s="11">
        <f>VLOOKUP($I99,output!$A$9:$AI$2200,Z$1-$L$1+2)</f>
        <v>378.65499999999997</v>
      </c>
      <c r="AA99" s="11">
        <f>VLOOKUP($I99,output!$A$9:$AI$2200,AA$1-$L$1+2)</f>
        <v>403.33100000000002</v>
      </c>
      <c r="AB99" s="11">
        <f>VLOOKUP($I99,output!$A$9:$AI$2200,AB$1-$L$1+2)</f>
        <v>369.005</v>
      </c>
      <c r="AC99" s="11">
        <f>VLOOKUP($I99,output!$A$9:$AI$2200,AC$1-$L$1+2)</f>
        <v>445.70100000000002</v>
      </c>
      <c r="AD99" s="11">
        <f>VLOOKUP($I99,output!$A$9:$AI$2200,AD$1-$L$1+2)</f>
        <v>417.923</v>
      </c>
      <c r="AE99" s="11">
        <f>VLOOKUP($I99,output!$A$9:$AI$2200,AE$1-$L$1+2)</f>
        <v>428.84500000000003</v>
      </c>
      <c r="AF99" s="11">
        <f>VLOOKUP($I99,output!$A$9:$AI$2200,AF$1-$L$1+2)</f>
        <v>399.779</v>
      </c>
      <c r="AG99" s="11">
        <f>VLOOKUP($I99,output!$A$9:$AI$2200,AG$1-$L$1+2)</f>
        <v>587.07899999999995</v>
      </c>
      <c r="AH99" s="11">
        <f>VLOOKUP($I99,output!$A$9:$AI$2200,AH$1-$L$1+2)</f>
        <v>490.90199999999999</v>
      </c>
      <c r="AI99" s="11">
        <f>VLOOKUP($I99,output!$A$9:$AI$2200,AI$1-$L$1+2)</f>
        <v>627.19399999999996</v>
      </c>
      <c r="AJ99" s="11">
        <f>VLOOKUP($I99,output!$A$9:$AI$2200,AJ$1-$L$1+2)</f>
        <v>568.553</v>
      </c>
      <c r="AK99" s="11">
        <f>VLOOKUP($I99,output!$A$9:$AI$2200,AK$1-$L$1+2)</f>
        <v>640.12699999999995</v>
      </c>
      <c r="AL99" s="11">
        <f>VLOOKUP($I99,output!$A$9:$AI$2200,AL$1-$L$1+2)</f>
        <v>722.024</v>
      </c>
      <c r="AM99" s="11">
        <f>VLOOKUP($I99,output!$A$9:$AI$2200,AM$1-$L$1+2)</f>
        <v>794.91099999999994</v>
      </c>
    </row>
    <row r="100" spans="9:39" x14ac:dyDescent="0.25">
      <c r="I100" t="s">
        <v>393</v>
      </c>
      <c r="J100" t="s">
        <v>112</v>
      </c>
      <c r="K100" t="s">
        <v>113</v>
      </c>
      <c r="L100" s="11">
        <f>VLOOKUP($I100,output!$A$9:$AI$2200,L$1-$L$1+2)</f>
        <v>0</v>
      </c>
      <c r="M100" s="11">
        <f>VLOOKUP($I100,output!$A$9:$AI$2200,M$1-$L$1+2)</f>
        <v>3.1960000000000002</v>
      </c>
      <c r="N100" s="11">
        <f>VLOOKUP($I100,output!$A$9:$AI$2200,N$1-$L$1+2)</f>
        <v>4.2210000000000001</v>
      </c>
      <c r="O100" s="11">
        <f>VLOOKUP($I100,output!$A$9:$AI$2200,O$1-$L$1+2)</f>
        <v>3.6760000000000002</v>
      </c>
      <c r="P100" s="11">
        <f>VLOOKUP($I100,output!$A$9:$AI$2200,P$1-$L$1+2)</f>
        <v>4.3029999999999999</v>
      </c>
      <c r="Q100" s="11">
        <f>VLOOKUP($I100,output!$A$9:$AI$2200,Q$1-$L$1+2)</f>
        <v>3.9409999999999998</v>
      </c>
      <c r="R100" s="11">
        <f>VLOOKUP($I100,output!$A$9:$AI$2200,R$1-$L$1+2)</f>
        <v>3.4660000000000002</v>
      </c>
      <c r="S100" s="11">
        <f>VLOOKUP($I100,output!$A$9:$AI$2200,S$1-$L$1+2)</f>
        <v>2.9769999999999999</v>
      </c>
      <c r="T100" s="11">
        <f>VLOOKUP($I100,output!$A$9:$AI$2200,T$1-$L$1+2)</f>
        <v>4.1230000000000002</v>
      </c>
      <c r="U100" s="11">
        <f>VLOOKUP($I100,output!$A$9:$AI$2200,U$1-$L$1+2)</f>
        <v>3.645</v>
      </c>
      <c r="V100" s="11">
        <f>VLOOKUP($I100,output!$A$9:$AI$2200,V$1-$L$1+2)</f>
        <v>4.1500000000000004</v>
      </c>
      <c r="W100" s="11">
        <f>VLOOKUP($I100,output!$A$9:$AI$2200,W$1-$L$1+2)</f>
        <v>4.7619999999999996</v>
      </c>
      <c r="X100" s="11">
        <f>VLOOKUP($I100,output!$A$9:$AI$2200,X$1-$L$1+2)</f>
        <v>5.4050000000000002</v>
      </c>
      <c r="Y100" s="11">
        <f>VLOOKUP($I100,output!$A$9:$AI$2200,Y$1-$L$1+2)</f>
        <v>5.9649999999999999</v>
      </c>
      <c r="Z100" s="11">
        <f>VLOOKUP($I100,output!$A$9:$AI$2200,Z$1-$L$1+2)</f>
        <v>6.8890000000000002</v>
      </c>
      <c r="AA100" s="11">
        <f>VLOOKUP($I100,output!$A$9:$AI$2200,AA$1-$L$1+2)</f>
        <v>7.7140000000000004</v>
      </c>
      <c r="AB100" s="11">
        <f>VLOOKUP($I100,output!$A$9:$AI$2200,AB$1-$L$1+2)</f>
        <v>6.665</v>
      </c>
      <c r="AC100" s="11">
        <f>VLOOKUP($I100,output!$A$9:$AI$2200,AC$1-$L$1+2)</f>
        <v>9.1039999999999992</v>
      </c>
      <c r="AD100" s="11">
        <f>VLOOKUP($I100,output!$A$9:$AI$2200,AD$1-$L$1+2)</f>
        <v>7.931</v>
      </c>
      <c r="AE100" s="11">
        <f>VLOOKUP($I100,output!$A$9:$AI$2200,AE$1-$L$1+2)</f>
        <v>8.125</v>
      </c>
      <c r="AF100" s="11">
        <f>VLOOKUP($I100,output!$A$9:$AI$2200,AF$1-$L$1+2)</f>
        <v>7.1020000000000003</v>
      </c>
      <c r="AG100" s="11">
        <f>VLOOKUP($I100,output!$A$9:$AI$2200,AG$1-$L$1+2)</f>
        <v>7.46</v>
      </c>
      <c r="AH100" s="11">
        <f>VLOOKUP($I100,output!$A$9:$AI$2200,AH$1-$L$1+2)</f>
        <v>5.0979999999999999</v>
      </c>
      <c r="AI100" s="11">
        <f>VLOOKUP($I100,output!$A$9:$AI$2200,AI$1-$L$1+2)</f>
        <v>6.774</v>
      </c>
      <c r="AJ100" s="11">
        <f>VLOOKUP($I100,output!$A$9:$AI$2200,AJ$1-$L$1+2)</f>
        <v>5.5220000000000002</v>
      </c>
      <c r="AK100" s="11">
        <f>VLOOKUP($I100,output!$A$9:$AI$2200,AK$1-$L$1+2)</f>
        <v>5.8760000000000003</v>
      </c>
      <c r="AL100" s="11">
        <f>VLOOKUP($I100,output!$A$9:$AI$2200,AL$1-$L$1+2)</f>
        <v>6.3369999999999997</v>
      </c>
      <c r="AM100" s="11">
        <f>VLOOKUP($I100,output!$A$9:$AI$2200,AM$1-$L$1+2)</f>
        <v>6.734</v>
      </c>
    </row>
    <row r="101" spans="9:39" x14ac:dyDescent="0.25">
      <c r="I101" t="s">
        <v>417</v>
      </c>
      <c r="J101" t="s">
        <v>112</v>
      </c>
      <c r="K101" t="s">
        <v>114</v>
      </c>
      <c r="L101" s="11">
        <f>VLOOKUP($I101,output!$A$9:$AI$2200,L$1-$L$1+2)</f>
        <v>0</v>
      </c>
      <c r="M101" s="11">
        <f>VLOOKUP($I101,output!$A$9:$AI$2200,M$1-$L$1+2)</f>
        <v>3.1960000000000002</v>
      </c>
      <c r="N101" s="11">
        <f>VLOOKUP($I101,output!$A$9:$AI$2200,N$1-$L$1+2)</f>
        <v>4.2210000000000001</v>
      </c>
      <c r="O101" s="11">
        <f>VLOOKUP($I101,output!$A$9:$AI$2200,O$1-$L$1+2)</f>
        <v>3.6760000000000002</v>
      </c>
      <c r="P101" s="11">
        <f>VLOOKUP($I101,output!$A$9:$AI$2200,P$1-$L$1+2)</f>
        <v>4.3029999999999999</v>
      </c>
      <c r="Q101" s="11">
        <f>VLOOKUP($I101,output!$A$9:$AI$2200,Q$1-$L$1+2)</f>
        <v>3.9409999999999998</v>
      </c>
      <c r="R101" s="11">
        <f>VLOOKUP($I101,output!$A$9:$AI$2200,R$1-$L$1+2)</f>
        <v>3.4660000000000002</v>
      </c>
      <c r="S101" s="11">
        <f>VLOOKUP($I101,output!$A$9:$AI$2200,S$1-$L$1+2)</f>
        <v>2.9769999999999999</v>
      </c>
      <c r="T101" s="11">
        <f>VLOOKUP($I101,output!$A$9:$AI$2200,T$1-$L$1+2)</f>
        <v>4.1230000000000002</v>
      </c>
      <c r="U101" s="11">
        <f>VLOOKUP($I101,output!$A$9:$AI$2200,U$1-$L$1+2)</f>
        <v>3.645</v>
      </c>
      <c r="V101" s="11">
        <f>VLOOKUP($I101,output!$A$9:$AI$2200,V$1-$L$1+2)</f>
        <v>4.1500000000000004</v>
      </c>
      <c r="W101" s="11">
        <f>VLOOKUP($I101,output!$A$9:$AI$2200,W$1-$L$1+2)</f>
        <v>4.7619999999999996</v>
      </c>
      <c r="X101" s="11">
        <f>VLOOKUP($I101,output!$A$9:$AI$2200,X$1-$L$1+2)</f>
        <v>5.4050000000000002</v>
      </c>
      <c r="Y101" s="11">
        <f>VLOOKUP($I101,output!$A$9:$AI$2200,Y$1-$L$1+2)</f>
        <v>5.9649999999999999</v>
      </c>
      <c r="Z101" s="11">
        <f>VLOOKUP($I101,output!$A$9:$AI$2200,Z$1-$L$1+2)</f>
        <v>6.8890000000000002</v>
      </c>
      <c r="AA101" s="11">
        <f>VLOOKUP($I101,output!$A$9:$AI$2200,AA$1-$L$1+2)</f>
        <v>7.7140000000000004</v>
      </c>
      <c r="AB101" s="11">
        <f>VLOOKUP($I101,output!$A$9:$AI$2200,AB$1-$L$1+2)</f>
        <v>6.665</v>
      </c>
      <c r="AC101" s="11">
        <f>VLOOKUP($I101,output!$A$9:$AI$2200,AC$1-$L$1+2)</f>
        <v>9.1039999999999992</v>
      </c>
      <c r="AD101" s="11">
        <f>VLOOKUP($I101,output!$A$9:$AI$2200,AD$1-$L$1+2)</f>
        <v>7.931</v>
      </c>
      <c r="AE101" s="11">
        <f>VLOOKUP($I101,output!$A$9:$AI$2200,AE$1-$L$1+2)</f>
        <v>8.125</v>
      </c>
      <c r="AF101" s="11">
        <f>VLOOKUP($I101,output!$A$9:$AI$2200,AF$1-$L$1+2)</f>
        <v>7.1020000000000003</v>
      </c>
      <c r="AG101" s="11">
        <f>VLOOKUP($I101,output!$A$9:$AI$2200,AG$1-$L$1+2)</f>
        <v>7.46</v>
      </c>
      <c r="AH101" s="11">
        <f>VLOOKUP($I101,output!$A$9:$AI$2200,AH$1-$L$1+2)</f>
        <v>5.0979999999999999</v>
      </c>
      <c r="AI101" s="11">
        <f>VLOOKUP($I101,output!$A$9:$AI$2200,AI$1-$L$1+2)</f>
        <v>6.774</v>
      </c>
      <c r="AJ101" s="11">
        <f>VLOOKUP($I101,output!$A$9:$AI$2200,AJ$1-$L$1+2)</f>
        <v>5.5220000000000002</v>
      </c>
      <c r="AK101" s="11">
        <f>VLOOKUP($I101,output!$A$9:$AI$2200,AK$1-$L$1+2)</f>
        <v>5.8760000000000003</v>
      </c>
      <c r="AL101" s="11">
        <f>VLOOKUP($I101,output!$A$9:$AI$2200,AL$1-$L$1+2)</f>
        <v>6.3369999999999997</v>
      </c>
      <c r="AM101" s="11">
        <f>VLOOKUP($I101,output!$A$9:$AI$2200,AM$1-$L$1+2)</f>
        <v>6.734</v>
      </c>
    </row>
    <row r="102" spans="9:39" x14ac:dyDescent="0.25">
      <c r="I102" t="s">
        <v>394</v>
      </c>
      <c r="J102" t="s">
        <v>113</v>
      </c>
      <c r="K102" t="s">
        <v>110</v>
      </c>
      <c r="L102" s="11">
        <f>VLOOKUP($I102,output!$A$9:$AI$2200,L$1-$L$1+2)</f>
        <v>0</v>
      </c>
      <c r="M102" s="11">
        <f>VLOOKUP($I102,output!$A$9:$AI$2200,M$1-$L$1+2)</f>
        <v>9.093</v>
      </c>
      <c r="N102" s="11">
        <f>VLOOKUP($I102,output!$A$9:$AI$2200,N$1-$L$1+2)</f>
        <v>5.5309999999999997</v>
      </c>
      <c r="O102" s="11">
        <f>VLOOKUP($I102,output!$A$9:$AI$2200,O$1-$L$1+2)</f>
        <v>4.3739999999999997</v>
      </c>
      <c r="P102" s="11">
        <f>VLOOKUP($I102,output!$A$9:$AI$2200,P$1-$L$1+2)</f>
        <v>5.1879999999999997</v>
      </c>
      <c r="Q102" s="11">
        <f>VLOOKUP($I102,output!$A$9:$AI$2200,Q$1-$L$1+2)</f>
        <v>4.407</v>
      </c>
      <c r="R102" s="11">
        <f>VLOOKUP($I102,output!$A$9:$AI$2200,R$1-$L$1+2)</f>
        <v>3.403</v>
      </c>
      <c r="S102" s="11">
        <f>VLOOKUP($I102,output!$A$9:$AI$2200,S$1-$L$1+2)</f>
        <v>2.4180000000000001</v>
      </c>
      <c r="T102" s="11">
        <f>VLOOKUP($I102,output!$A$9:$AI$2200,T$1-$L$1+2)</f>
        <v>4.6779999999999999</v>
      </c>
      <c r="U102" s="11">
        <f>VLOOKUP($I102,output!$A$9:$AI$2200,U$1-$L$1+2)</f>
        <v>3.8530000000000002</v>
      </c>
      <c r="V102" s="11">
        <f>VLOOKUP($I102,output!$A$9:$AI$2200,V$1-$L$1+2)</f>
        <v>4.9589999999999996</v>
      </c>
      <c r="W102" s="11">
        <f>VLOOKUP($I102,output!$A$9:$AI$2200,W$1-$L$1+2)</f>
        <v>6.1909999999999998</v>
      </c>
      <c r="X102" s="11">
        <f>VLOOKUP($I102,output!$A$9:$AI$2200,X$1-$L$1+2)</f>
        <v>7.383</v>
      </c>
      <c r="Y102" s="11">
        <f>VLOOKUP($I102,output!$A$9:$AI$2200,Y$1-$L$1+2)</f>
        <v>5.69</v>
      </c>
      <c r="Z102" s="11">
        <f>VLOOKUP($I102,output!$A$9:$AI$2200,Z$1-$L$1+2)</f>
        <v>6.8070000000000004</v>
      </c>
      <c r="AA102" s="11">
        <f>VLOOKUP($I102,output!$A$9:$AI$2200,AA$1-$L$1+2)</f>
        <v>7.4880000000000004</v>
      </c>
      <c r="AB102" s="11">
        <f>VLOOKUP($I102,output!$A$9:$AI$2200,AB$1-$L$1+2)</f>
        <v>8.1010000000000009</v>
      </c>
      <c r="AC102" s="11">
        <f>VLOOKUP($I102,output!$A$9:$AI$2200,AC$1-$L$1+2)</f>
        <v>8.8770000000000007</v>
      </c>
      <c r="AD102" s="11">
        <f>VLOOKUP($I102,output!$A$9:$AI$2200,AD$1-$L$1+2)</f>
        <v>8.9969999999999999</v>
      </c>
      <c r="AE102" s="11">
        <f>VLOOKUP($I102,output!$A$9:$AI$2200,AE$1-$L$1+2)</f>
        <v>9.3569999999999993</v>
      </c>
      <c r="AF102" s="11">
        <f>VLOOKUP($I102,output!$A$9:$AI$2200,AF$1-$L$1+2)</f>
        <v>10.041</v>
      </c>
      <c r="AG102" s="11">
        <f>VLOOKUP($I102,output!$A$9:$AI$2200,AG$1-$L$1+2)</f>
        <v>2.5750000000000002</v>
      </c>
      <c r="AH102" s="11">
        <f>VLOOKUP($I102,output!$A$9:$AI$2200,AH$1-$L$1+2)</f>
        <v>3.976</v>
      </c>
      <c r="AI102" s="11">
        <f>VLOOKUP($I102,output!$A$9:$AI$2200,AI$1-$L$1+2)</f>
        <v>3.4359999999999999</v>
      </c>
      <c r="AJ102" s="11">
        <f>VLOOKUP($I102,output!$A$9:$AI$2200,AJ$1-$L$1+2)</f>
        <v>3.738</v>
      </c>
      <c r="AK102" s="11">
        <f>VLOOKUP($I102,output!$A$9:$AI$2200,AK$1-$L$1+2)</f>
        <v>3.2850000000000001</v>
      </c>
      <c r="AL102" s="11">
        <f>VLOOKUP($I102,output!$A$9:$AI$2200,AL$1-$L$1+2)</f>
        <v>2.7309999999999999</v>
      </c>
      <c r="AM102" s="11">
        <f>VLOOKUP($I102,output!$A$9:$AI$2200,AM$1-$L$1+2)</f>
        <v>2.1930000000000001</v>
      </c>
    </row>
    <row r="103" spans="9:39" x14ac:dyDescent="0.25">
      <c r="I103" t="s">
        <v>395</v>
      </c>
      <c r="J103" t="s">
        <v>113</v>
      </c>
      <c r="K103" t="s">
        <v>111</v>
      </c>
      <c r="L103" s="11">
        <f>VLOOKUP($I103,output!$A$9:$AI$2200,L$1-$L$1+2)</f>
        <v>0</v>
      </c>
      <c r="M103" s="11">
        <f>VLOOKUP($I103,output!$A$9:$AI$2200,M$1-$L$1+2)</f>
        <v>151.12299999999999</v>
      </c>
      <c r="N103" s="11">
        <f>VLOOKUP($I103,output!$A$9:$AI$2200,N$1-$L$1+2)</f>
        <v>122.477</v>
      </c>
      <c r="O103" s="11">
        <f>VLOOKUP($I103,output!$A$9:$AI$2200,O$1-$L$1+2)</f>
        <v>117.504</v>
      </c>
      <c r="P103" s="11">
        <f>VLOOKUP($I103,output!$A$9:$AI$2200,P$1-$L$1+2)</f>
        <v>129.49600000000001</v>
      </c>
      <c r="Q103" s="11">
        <f>VLOOKUP($I103,output!$A$9:$AI$2200,Q$1-$L$1+2)</f>
        <v>128.261</v>
      </c>
      <c r="R103" s="11">
        <f>VLOOKUP($I103,output!$A$9:$AI$2200,R$1-$L$1+2)</f>
        <v>125.753</v>
      </c>
      <c r="S103" s="11">
        <f>VLOOKUP($I103,output!$A$9:$AI$2200,S$1-$L$1+2)</f>
        <v>123.41</v>
      </c>
      <c r="T103" s="11">
        <f>VLOOKUP($I103,output!$A$9:$AI$2200,T$1-$L$1+2)</f>
        <v>145.24</v>
      </c>
      <c r="U103" s="11">
        <f>VLOOKUP($I103,output!$A$9:$AI$2200,U$1-$L$1+2)</f>
        <v>145.49600000000001</v>
      </c>
      <c r="V103" s="11">
        <f>VLOOKUP($I103,output!$A$9:$AI$2200,V$1-$L$1+2)</f>
        <v>159.678</v>
      </c>
      <c r="W103" s="11">
        <f>VLOOKUP($I103,output!$A$9:$AI$2200,W$1-$L$1+2)</f>
        <v>174.017</v>
      </c>
      <c r="X103" s="11">
        <f>VLOOKUP($I103,output!$A$9:$AI$2200,X$1-$L$1+2)</f>
        <v>188.15299999999999</v>
      </c>
      <c r="Y103" s="11">
        <f>VLOOKUP($I103,output!$A$9:$AI$2200,Y$1-$L$1+2)</f>
        <v>156.70099999999999</v>
      </c>
      <c r="Z103" s="11">
        <f>VLOOKUP($I103,output!$A$9:$AI$2200,Z$1-$L$1+2)</f>
        <v>169.94399999999999</v>
      </c>
      <c r="AA103" s="11">
        <f>VLOOKUP($I103,output!$A$9:$AI$2200,AA$1-$L$1+2)</f>
        <v>177.989</v>
      </c>
      <c r="AB103" s="11">
        <f>VLOOKUP($I103,output!$A$9:$AI$2200,AB$1-$L$1+2)</f>
        <v>172.34200000000001</v>
      </c>
      <c r="AC103" s="11">
        <f>VLOOKUP($I103,output!$A$9:$AI$2200,AC$1-$L$1+2)</f>
        <v>190.10300000000001</v>
      </c>
      <c r="AD103" s="11">
        <f>VLOOKUP($I103,output!$A$9:$AI$2200,AD$1-$L$1+2)</f>
        <v>178</v>
      </c>
      <c r="AE103" s="11">
        <f>VLOOKUP($I103,output!$A$9:$AI$2200,AE$1-$L$1+2)</f>
        <v>176.74100000000001</v>
      </c>
      <c r="AF103" s="11">
        <f>VLOOKUP($I103,output!$A$9:$AI$2200,AF$1-$L$1+2)</f>
        <v>171.036</v>
      </c>
      <c r="AG103" s="11">
        <f>VLOOKUP($I103,output!$A$9:$AI$2200,AG$1-$L$1+2)</f>
        <v>62.764000000000003</v>
      </c>
      <c r="AH103" s="11">
        <f>VLOOKUP($I103,output!$A$9:$AI$2200,AH$1-$L$1+2)</f>
        <v>71.856999999999999</v>
      </c>
      <c r="AI103" s="11">
        <f>VLOOKUP($I103,output!$A$9:$AI$2200,AI$1-$L$1+2)</f>
        <v>72.983000000000004</v>
      </c>
      <c r="AJ103" s="11">
        <f>VLOOKUP($I103,output!$A$9:$AI$2200,AJ$1-$L$1+2)</f>
        <v>67.111999999999995</v>
      </c>
      <c r="AK103" s="11">
        <f>VLOOKUP($I103,output!$A$9:$AI$2200,AK$1-$L$1+2)</f>
        <v>62.466000000000001</v>
      </c>
      <c r="AL103" s="11">
        <f>VLOOKUP($I103,output!$A$9:$AI$2200,AL$1-$L$1+2)</f>
        <v>57.613999999999997</v>
      </c>
      <c r="AM103" s="11">
        <f>VLOOKUP($I103,output!$A$9:$AI$2200,AM$1-$L$1+2)</f>
        <v>52.738</v>
      </c>
    </row>
    <row r="104" spans="9:39" x14ac:dyDescent="0.25">
      <c r="I104" t="s">
        <v>396</v>
      </c>
      <c r="J104" t="s">
        <v>113</v>
      </c>
      <c r="K104" t="s">
        <v>112</v>
      </c>
      <c r="L104" s="11">
        <f>VLOOKUP($I104,output!$A$9:$AI$2200,L$1-$L$1+2)</f>
        <v>0</v>
      </c>
      <c r="M104" s="11">
        <f>VLOOKUP($I104,output!$A$9:$AI$2200,M$1-$L$1+2)</f>
        <v>159.768</v>
      </c>
      <c r="N104" s="11">
        <f>VLOOKUP($I104,output!$A$9:$AI$2200,N$1-$L$1+2)</f>
        <v>107.857</v>
      </c>
      <c r="O104" s="11">
        <f>VLOOKUP($I104,output!$A$9:$AI$2200,O$1-$L$1+2)</f>
        <v>178.48599999999999</v>
      </c>
      <c r="P104" s="11">
        <f>VLOOKUP($I104,output!$A$9:$AI$2200,P$1-$L$1+2)</f>
        <v>166.49600000000001</v>
      </c>
      <c r="Q104" s="11">
        <f>VLOOKUP($I104,output!$A$9:$AI$2200,Q$1-$L$1+2)</f>
        <v>219.86799999999999</v>
      </c>
      <c r="R104" s="11">
        <f>VLOOKUP($I104,output!$A$9:$AI$2200,R$1-$L$1+2)</f>
        <v>277.52499999999998</v>
      </c>
      <c r="S104" s="11">
        <f>VLOOKUP($I104,output!$A$9:$AI$2200,S$1-$L$1+2)</f>
        <v>328.084</v>
      </c>
      <c r="T104" s="11">
        <f>VLOOKUP($I104,output!$A$9:$AI$2200,T$1-$L$1+2)</f>
        <v>255.05500000000001</v>
      </c>
      <c r="U104" s="11">
        <f>VLOOKUP($I104,output!$A$9:$AI$2200,U$1-$L$1+2)</f>
        <v>314.47000000000003</v>
      </c>
      <c r="V104" s="11">
        <f>VLOOKUP($I104,output!$A$9:$AI$2200,V$1-$L$1+2)</f>
        <v>301.01499999999999</v>
      </c>
      <c r="W104" s="11">
        <f>VLOOKUP($I104,output!$A$9:$AI$2200,W$1-$L$1+2)</f>
        <v>280.54899999999998</v>
      </c>
      <c r="X104" s="11">
        <f>VLOOKUP($I104,output!$A$9:$AI$2200,X$1-$L$1+2)</f>
        <v>263.745</v>
      </c>
      <c r="Y104" s="11">
        <f>VLOOKUP($I104,output!$A$9:$AI$2200,Y$1-$L$1+2)</f>
        <v>222.52699999999999</v>
      </c>
      <c r="Z104" s="11">
        <f>VLOOKUP($I104,output!$A$9:$AI$2200,Z$1-$L$1+2)</f>
        <v>198.05600000000001</v>
      </c>
      <c r="AA104" s="11">
        <f>VLOOKUP($I104,output!$A$9:$AI$2200,AA$1-$L$1+2)</f>
        <v>179.459</v>
      </c>
      <c r="AB104" s="11">
        <f>VLOOKUP($I104,output!$A$9:$AI$2200,AB$1-$L$1+2)</f>
        <v>136.78700000000001</v>
      </c>
      <c r="AC104" s="11">
        <f>VLOOKUP($I104,output!$A$9:$AI$2200,AC$1-$L$1+2)</f>
        <v>144.792</v>
      </c>
      <c r="AD104" s="11">
        <f>VLOOKUP($I104,output!$A$9:$AI$2200,AD$1-$L$1+2)</f>
        <v>123.279</v>
      </c>
      <c r="AE104" s="11">
        <f>VLOOKUP($I104,output!$A$9:$AI$2200,AE$1-$L$1+2)</f>
        <v>116.867</v>
      </c>
      <c r="AF104" s="11">
        <f>VLOOKUP($I104,output!$A$9:$AI$2200,AF$1-$L$1+2)</f>
        <v>99.498999999999995</v>
      </c>
      <c r="AG104" s="11">
        <f>VLOOKUP($I104,output!$A$9:$AI$2200,AG$1-$L$1+2)</f>
        <v>63.860999999999997</v>
      </c>
      <c r="AH104" s="11">
        <f>VLOOKUP($I104,output!$A$9:$AI$2200,AH$1-$L$1+2)</f>
        <v>52.965000000000003</v>
      </c>
      <c r="AI104" s="11">
        <f>VLOOKUP($I104,output!$A$9:$AI$2200,AI$1-$L$1+2)</f>
        <v>64.881</v>
      </c>
      <c r="AJ104" s="11">
        <f>VLOOKUP($I104,output!$A$9:$AI$2200,AJ$1-$L$1+2)</f>
        <v>50.405999999999999</v>
      </c>
      <c r="AK104" s="11">
        <f>VLOOKUP($I104,output!$A$9:$AI$2200,AK$1-$L$1+2)</f>
        <v>50.506999999999998</v>
      </c>
      <c r="AL104" s="11">
        <f>VLOOKUP($I104,output!$A$9:$AI$2200,AL$1-$L$1+2)</f>
        <v>51.271000000000001</v>
      </c>
      <c r="AM104" s="11">
        <f>VLOOKUP($I104,output!$A$9:$AI$2200,AM$1-$L$1+2)</f>
        <v>51.093000000000004</v>
      </c>
    </row>
    <row r="105" spans="9:39" x14ac:dyDescent="0.25">
      <c r="I105" t="s">
        <v>397</v>
      </c>
      <c r="J105" t="s">
        <v>113</v>
      </c>
      <c r="K105" t="s">
        <v>113</v>
      </c>
      <c r="L105" s="11">
        <f>VLOOKUP($I105,output!$A$9:$AI$2200,L$1-$L$1+2)</f>
        <v>0</v>
      </c>
      <c r="M105" s="11">
        <f>VLOOKUP($I105,output!$A$9:$AI$2200,M$1-$L$1+2)</f>
        <v>427.90100000000001</v>
      </c>
      <c r="N105" s="11">
        <f>VLOOKUP($I105,output!$A$9:$AI$2200,N$1-$L$1+2)</f>
        <v>523.471</v>
      </c>
      <c r="O105" s="11">
        <f>VLOOKUP($I105,output!$A$9:$AI$2200,O$1-$L$1+2)</f>
        <v>459.23099999999999</v>
      </c>
      <c r="P105" s="11">
        <f>VLOOKUP($I105,output!$A$9:$AI$2200,P$1-$L$1+2)</f>
        <v>460.74099999999999</v>
      </c>
      <c r="Q105" s="11">
        <f>VLOOKUP($I105,output!$A$9:$AI$2200,Q$1-$L$1+2)</f>
        <v>413.39600000000002</v>
      </c>
      <c r="R105" s="11">
        <f>VLOOKUP($I105,output!$A$9:$AI$2200,R$1-$L$1+2)</f>
        <v>362.959</v>
      </c>
      <c r="S105" s="11">
        <f>VLOOKUP($I105,output!$A$9:$AI$2200,S$1-$L$1+2)</f>
        <v>318.74</v>
      </c>
      <c r="T105" s="11">
        <f>VLOOKUP($I105,output!$A$9:$AI$2200,T$1-$L$1+2)</f>
        <v>372.84100000000001</v>
      </c>
      <c r="U105" s="11">
        <f>VLOOKUP($I105,output!$A$9:$AI$2200,U$1-$L$1+2)</f>
        <v>330.46600000000001</v>
      </c>
      <c r="V105" s="11">
        <f>VLOOKUP($I105,output!$A$9:$AI$2200,V$1-$L$1+2)</f>
        <v>341.726</v>
      </c>
      <c r="W105" s="11">
        <f>VLOOKUP($I105,output!$A$9:$AI$2200,W$1-$L$1+2)</f>
        <v>350.85500000000002</v>
      </c>
      <c r="X105" s="11">
        <f>VLOOKUP($I105,output!$A$9:$AI$2200,X$1-$L$1+2)</f>
        <v>354.34500000000003</v>
      </c>
      <c r="Y105" s="11">
        <f>VLOOKUP($I105,output!$A$9:$AI$2200,Y$1-$L$1+2)</f>
        <v>329.92500000000001</v>
      </c>
      <c r="Z105" s="11">
        <f>VLOOKUP($I105,output!$A$9:$AI$2200,Z$1-$L$1+2)</f>
        <v>340.50299999999999</v>
      </c>
      <c r="AA105" s="11">
        <f>VLOOKUP($I105,output!$A$9:$AI$2200,AA$1-$L$1+2)</f>
        <v>332.87</v>
      </c>
      <c r="AB105" s="11">
        <f>VLOOKUP($I105,output!$A$9:$AI$2200,AB$1-$L$1+2)</f>
        <v>282.96199999999999</v>
      </c>
      <c r="AC105" s="11">
        <f>VLOOKUP($I105,output!$A$9:$AI$2200,AC$1-$L$1+2)</f>
        <v>311.447</v>
      </c>
      <c r="AD105" s="11">
        <f>VLOOKUP($I105,output!$A$9:$AI$2200,AD$1-$L$1+2)</f>
        <v>265.40300000000002</v>
      </c>
      <c r="AE105" s="11">
        <f>VLOOKUP($I105,output!$A$9:$AI$2200,AE$1-$L$1+2)</f>
        <v>252.54</v>
      </c>
      <c r="AF105" s="11">
        <f>VLOOKUP($I105,output!$A$9:$AI$2200,AF$1-$L$1+2)</f>
        <v>226.756</v>
      </c>
      <c r="AG105" s="11">
        <f>VLOOKUP($I105,output!$A$9:$AI$2200,AG$1-$L$1+2)</f>
        <v>207.15100000000001</v>
      </c>
      <c r="AH105" s="11">
        <f>VLOOKUP($I105,output!$A$9:$AI$2200,AH$1-$L$1+2)</f>
        <v>174.40299999999999</v>
      </c>
      <c r="AI105" s="11">
        <f>VLOOKUP($I105,output!$A$9:$AI$2200,AI$1-$L$1+2)</f>
        <v>200.251</v>
      </c>
      <c r="AJ105" s="11">
        <f>VLOOKUP($I105,output!$A$9:$AI$2200,AJ$1-$L$1+2)</f>
        <v>176.785</v>
      </c>
      <c r="AK105" s="11">
        <f>VLOOKUP($I105,output!$A$9:$AI$2200,AK$1-$L$1+2)</f>
        <v>184.255</v>
      </c>
      <c r="AL105" s="11">
        <f>VLOOKUP($I105,output!$A$9:$AI$2200,AL$1-$L$1+2)</f>
        <v>193.37</v>
      </c>
      <c r="AM105" s="11">
        <f>VLOOKUP($I105,output!$A$9:$AI$2200,AM$1-$L$1+2)</f>
        <v>200.05799999999999</v>
      </c>
    </row>
    <row r="106" spans="9:39" x14ac:dyDescent="0.25">
      <c r="I106" t="s">
        <v>398</v>
      </c>
      <c r="J106" t="s">
        <v>113</v>
      </c>
      <c r="K106" s="19" t="s">
        <v>114</v>
      </c>
      <c r="L106" s="11">
        <f>VLOOKUP($I106,output!$A$9:$AI$2200,L$1-$L$1+2)</f>
        <v>0</v>
      </c>
      <c r="M106" s="11">
        <f>VLOOKUP($I106,output!$A$9:$AI$2200,M$1-$L$1+2)</f>
        <v>1.8140000000000001</v>
      </c>
      <c r="N106" s="11">
        <f>VLOOKUP($I106,output!$A$9:$AI$2200,N$1-$L$1+2)</f>
        <v>2.274</v>
      </c>
      <c r="O106" s="11">
        <f>VLOOKUP($I106,output!$A$9:$AI$2200,O$1-$L$1+2)</f>
        <v>2.0329999999999999</v>
      </c>
      <c r="P106" s="11">
        <f>VLOOKUP($I106,output!$A$9:$AI$2200,P$1-$L$1+2)</f>
        <v>2.419</v>
      </c>
      <c r="Q106" s="11">
        <f>VLOOKUP($I106,output!$A$9:$AI$2200,Q$1-$L$1+2)</f>
        <v>2.2679999999999998</v>
      </c>
      <c r="R106" s="11">
        <f>VLOOKUP($I106,output!$A$9:$AI$2200,R$1-$L$1+2)</f>
        <v>2.093</v>
      </c>
      <c r="S106" s="11">
        <f>VLOOKUP($I106,output!$A$9:$AI$2200,S$1-$L$1+2)</f>
        <v>1.9319999999999999</v>
      </c>
      <c r="T106" s="11">
        <f>VLOOKUP($I106,output!$A$9:$AI$2200,T$1-$L$1+2)</f>
        <v>2.4159999999999999</v>
      </c>
      <c r="U106" s="11">
        <f>VLOOKUP($I106,output!$A$9:$AI$2200,U$1-$L$1+2)</f>
        <v>2.2789999999999999</v>
      </c>
      <c r="V106" s="11">
        <f>VLOOKUP($I106,output!$A$9:$AI$2200,V$1-$L$1+2)</f>
        <v>2.4990000000000001</v>
      </c>
      <c r="W106" s="11">
        <f>VLOOKUP($I106,output!$A$9:$AI$2200,W$1-$L$1+2)</f>
        <v>2.7160000000000002</v>
      </c>
      <c r="X106" s="11">
        <f>VLOOKUP($I106,output!$A$9:$AI$2200,X$1-$L$1+2)</f>
        <v>2.907</v>
      </c>
      <c r="Y106" s="11">
        <f>VLOOKUP($I106,output!$A$9:$AI$2200,Y$1-$L$1+2)</f>
        <v>2.4390000000000001</v>
      </c>
      <c r="Z106" s="11">
        <f>VLOOKUP($I106,output!$A$9:$AI$2200,Z$1-$L$1+2)</f>
        <v>2.6779999999999999</v>
      </c>
      <c r="AA106" s="11">
        <f>VLOOKUP($I106,output!$A$9:$AI$2200,AA$1-$L$1+2)</f>
        <v>2.7850000000000001</v>
      </c>
      <c r="AB106" s="11">
        <f>VLOOKUP($I106,output!$A$9:$AI$2200,AB$1-$L$1+2)</f>
        <v>2.2200000000000002</v>
      </c>
      <c r="AC106" s="11">
        <f>VLOOKUP($I106,output!$A$9:$AI$2200,AC$1-$L$1+2)</f>
        <v>2.8730000000000002</v>
      </c>
      <c r="AD106" s="11">
        <f>VLOOKUP($I106,output!$A$9:$AI$2200,AD$1-$L$1+2)</f>
        <v>2.2930000000000001</v>
      </c>
      <c r="AE106" s="11">
        <f>VLOOKUP($I106,output!$A$9:$AI$2200,AE$1-$L$1+2)</f>
        <v>2.2480000000000002</v>
      </c>
      <c r="AF106" s="11">
        <f>VLOOKUP($I106,output!$A$9:$AI$2200,AF$1-$L$1+2)</f>
        <v>1.899</v>
      </c>
      <c r="AG106" s="11">
        <f>VLOOKUP($I106,output!$A$9:$AI$2200,AG$1-$L$1+2)</f>
        <v>1.585</v>
      </c>
      <c r="AH106" s="11">
        <f>VLOOKUP($I106,output!$A$9:$AI$2200,AH$1-$L$1+2)</f>
        <v>1.139</v>
      </c>
      <c r="AI106" s="11">
        <f>VLOOKUP($I106,output!$A$9:$AI$2200,AI$1-$L$1+2)</f>
        <v>1.554</v>
      </c>
      <c r="AJ106" s="11">
        <f>VLOOKUP($I106,output!$A$9:$AI$2200,AJ$1-$L$1+2)</f>
        <v>1.1599999999999999</v>
      </c>
      <c r="AK106" s="11">
        <f>VLOOKUP($I106,output!$A$9:$AI$2200,AK$1-$L$1+2)</f>
        <v>1.2210000000000001</v>
      </c>
      <c r="AL106" s="11">
        <f>VLOOKUP($I106,output!$A$9:$AI$2200,AL$1-$L$1+2)</f>
        <v>1.3029999999999999</v>
      </c>
      <c r="AM106" s="11">
        <f>VLOOKUP($I106,output!$A$9:$AI$2200,AM$1-$L$1+2)</f>
        <v>1.3149999999999999</v>
      </c>
    </row>
    <row r="107" spans="9:39" x14ac:dyDescent="0.25">
      <c r="I107" t="s">
        <v>399</v>
      </c>
      <c r="J107" t="s">
        <v>113</v>
      </c>
      <c r="K107" s="19" t="s">
        <v>115</v>
      </c>
      <c r="L107" s="11">
        <f>VLOOKUP($I107,output!$A$9:$AI$2200,L$1-$L$1+2)</f>
        <v>0</v>
      </c>
      <c r="M107" s="11">
        <f>VLOOKUP($I107,output!$A$9:$AI$2200,M$1-$L$1+2)</f>
        <v>1.331</v>
      </c>
      <c r="N107" s="11">
        <f>VLOOKUP($I107,output!$A$9:$AI$2200,N$1-$L$1+2)</f>
        <v>1.752</v>
      </c>
      <c r="O107" s="11">
        <f>VLOOKUP($I107,output!$A$9:$AI$2200,O$1-$L$1+2)</f>
        <v>1.726</v>
      </c>
      <c r="P107" s="11">
        <f>VLOOKUP($I107,output!$A$9:$AI$2200,P$1-$L$1+2)</f>
        <v>2.2480000000000002</v>
      </c>
      <c r="Q107" s="11">
        <f>VLOOKUP($I107,output!$A$9:$AI$2200,Q$1-$L$1+2)</f>
        <v>2.2090000000000001</v>
      </c>
      <c r="R107" s="11">
        <f>VLOOKUP($I107,output!$A$9:$AI$2200,R$1-$L$1+2)</f>
        <v>2.181</v>
      </c>
      <c r="S107" s="11">
        <f>VLOOKUP($I107,output!$A$9:$AI$2200,S$1-$L$1+2)</f>
        <v>2.1619999999999999</v>
      </c>
      <c r="T107" s="11">
        <f>VLOOKUP($I107,output!$A$9:$AI$2200,T$1-$L$1+2)</f>
        <v>2.4049999999999998</v>
      </c>
      <c r="U107" s="11">
        <f>VLOOKUP($I107,output!$A$9:$AI$2200,U$1-$L$1+2)</f>
        <v>2.4239999999999999</v>
      </c>
      <c r="V107" s="11">
        <f>VLOOKUP($I107,output!$A$9:$AI$2200,V$1-$L$1+2)</f>
        <v>2.5819999999999999</v>
      </c>
      <c r="W107" s="11">
        <f>VLOOKUP($I107,output!$A$9:$AI$2200,W$1-$L$1+2)</f>
        <v>2.7330000000000001</v>
      </c>
      <c r="X107" s="11">
        <f>VLOOKUP($I107,output!$A$9:$AI$2200,X$1-$L$1+2)</f>
        <v>2.87</v>
      </c>
      <c r="Y107" s="11">
        <f>VLOOKUP($I107,output!$A$9:$AI$2200,Y$1-$L$1+2)</f>
        <v>2.9710000000000001</v>
      </c>
      <c r="Z107" s="11">
        <f>VLOOKUP($I107,output!$A$9:$AI$2200,Z$1-$L$1+2)</f>
        <v>3.09</v>
      </c>
      <c r="AA107" s="11">
        <f>VLOOKUP($I107,output!$A$9:$AI$2200,AA$1-$L$1+2)</f>
        <v>3.0960000000000001</v>
      </c>
      <c r="AB107" s="11">
        <f>VLOOKUP($I107,output!$A$9:$AI$2200,AB$1-$L$1+2)</f>
        <v>2.3839999999999999</v>
      </c>
      <c r="AC107" s="11">
        <f>VLOOKUP($I107,output!$A$9:$AI$2200,AC$1-$L$1+2)</f>
        <v>2.9510000000000001</v>
      </c>
      <c r="AD107" s="11">
        <f>VLOOKUP($I107,output!$A$9:$AI$2200,AD$1-$L$1+2)</f>
        <v>2.2559999999999998</v>
      </c>
      <c r="AE107" s="11">
        <f>VLOOKUP($I107,output!$A$9:$AI$2200,AE$1-$L$1+2)</f>
        <v>2.0430000000000001</v>
      </c>
      <c r="AF107" s="11">
        <f>VLOOKUP($I107,output!$A$9:$AI$2200,AF$1-$L$1+2)</f>
        <v>1.6359999999999999</v>
      </c>
      <c r="AG107" s="11">
        <f>VLOOKUP($I107,output!$A$9:$AI$2200,AG$1-$L$1+2)</f>
        <v>1.222</v>
      </c>
      <c r="AH107" s="11">
        <f>VLOOKUP($I107,output!$A$9:$AI$2200,AH$1-$L$1+2)</f>
        <v>0.86799999999999999</v>
      </c>
      <c r="AI107" s="11">
        <f>VLOOKUP($I107,output!$A$9:$AI$2200,AI$1-$L$1+2)</f>
        <v>1.1659999999999999</v>
      </c>
      <c r="AJ107" s="11">
        <f>VLOOKUP($I107,output!$A$9:$AI$2200,AJ$1-$L$1+2)</f>
        <v>0.80700000000000005</v>
      </c>
      <c r="AK107" s="11">
        <f>VLOOKUP($I107,output!$A$9:$AI$2200,AK$1-$L$1+2)</f>
        <v>0.83199999999999996</v>
      </c>
      <c r="AL107" s="11">
        <f>VLOOKUP($I107,output!$A$9:$AI$2200,AL$1-$L$1+2)</f>
        <v>0.872</v>
      </c>
      <c r="AM107" s="11">
        <f>VLOOKUP($I107,output!$A$9:$AI$2200,AM$1-$L$1+2)</f>
        <v>0.89200000000000002</v>
      </c>
    </row>
    <row r="108" spans="9:39" x14ac:dyDescent="0.25">
      <c r="I108" t="s">
        <v>400</v>
      </c>
      <c r="J108" t="s">
        <v>114</v>
      </c>
      <c r="K108" t="s">
        <v>111</v>
      </c>
      <c r="L108" s="11">
        <f>VLOOKUP($I108,output!$A$9:$AI$2200,L$1-$L$1+2)</f>
        <v>0</v>
      </c>
      <c r="M108" s="11">
        <f>VLOOKUP($I108,output!$A$9:$AI$2200,M$1-$L$1+2)</f>
        <v>31.809000000000001</v>
      </c>
      <c r="N108" s="11">
        <f>VLOOKUP($I108,output!$A$9:$AI$2200,N$1-$L$1+2)</f>
        <v>21.23</v>
      </c>
      <c r="O108" s="11">
        <f>VLOOKUP($I108,output!$A$9:$AI$2200,O$1-$L$1+2)</f>
        <v>20.216999999999999</v>
      </c>
      <c r="P108" s="11">
        <f>VLOOKUP($I108,output!$A$9:$AI$2200,P$1-$L$1+2)</f>
        <v>21.295999999999999</v>
      </c>
      <c r="Q108" s="11">
        <f>VLOOKUP($I108,output!$A$9:$AI$2200,Q$1-$L$1+2)</f>
        <v>20.553999999999998</v>
      </c>
      <c r="R108" s="11">
        <f>VLOOKUP($I108,output!$A$9:$AI$2200,R$1-$L$1+2)</f>
        <v>19.655999999999999</v>
      </c>
      <c r="S108" s="11">
        <f>VLOOKUP($I108,output!$A$9:$AI$2200,S$1-$L$1+2)</f>
        <v>18.815999999999999</v>
      </c>
      <c r="T108" s="11">
        <f>VLOOKUP($I108,output!$A$9:$AI$2200,T$1-$L$1+2)</f>
        <v>20.911999999999999</v>
      </c>
      <c r="U108" s="11">
        <f>VLOOKUP($I108,output!$A$9:$AI$2200,U$1-$L$1+2)</f>
        <v>19.183</v>
      </c>
      <c r="V108" s="11">
        <f>VLOOKUP($I108,output!$A$9:$AI$2200,V$1-$L$1+2)</f>
        <v>19.09</v>
      </c>
      <c r="W108" s="11">
        <f>VLOOKUP($I108,output!$A$9:$AI$2200,W$1-$L$1+2)</f>
        <v>19.225999999999999</v>
      </c>
      <c r="X108" s="11">
        <f>VLOOKUP($I108,output!$A$9:$AI$2200,X$1-$L$1+2)</f>
        <v>19.8</v>
      </c>
      <c r="Y108" s="11">
        <f>VLOOKUP($I108,output!$A$9:$AI$2200,Y$1-$L$1+2)</f>
        <v>14.714</v>
      </c>
      <c r="Z108" s="11">
        <f>VLOOKUP($I108,output!$A$9:$AI$2200,Z$1-$L$1+2)</f>
        <v>14.023999999999999</v>
      </c>
      <c r="AA108" s="11">
        <f>VLOOKUP($I108,output!$A$9:$AI$2200,AA$1-$L$1+2)</f>
        <v>13.116</v>
      </c>
      <c r="AB108" s="11">
        <f>VLOOKUP($I108,output!$A$9:$AI$2200,AB$1-$L$1+2)</f>
        <v>12.183</v>
      </c>
      <c r="AC108" s="11">
        <f>VLOOKUP($I108,output!$A$9:$AI$2200,AC$1-$L$1+2)</f>
        <v>11.173</v>
      </c>
      <c r="AD108" s="11">
        <f>VLOOKUP($I108,output!$A$9:$AI$2200,AD$1-$L$1+2)</f>
        <v>9.94</v>
      </c>
      <c r="AE108" s="11">
        <f>VLOOKUP($I108,output!$A$9:$AI$2200,AE$1-$L$1+2)</f>
        <v>8.83</v>
      </c>
      <c r="AF108" s="11">
        <f>VLOOKUP($I108,output!$A$9:$AI$2200,AF$1-$L$1+2)</f>
        <v>7.75</v>
      </c>
      <c r="AG108" s="11">
        <f>VLOOKUP($I108,output!$A$9:$AI$2200,AG$1-$L$1+2)</f>
        <v>1.6950000000000001</v>
      </c>
      <c r="AH108" s="11">
        <f>VLOOKUP($I108,output!$A$9:$AI$2200,AH$1-$L$1+2)</f>
        <v>2.2360000000000002</v>
      </c>
      <c r="AI108" s="11">
        <f>VLOOKUP($I108,output!$A$9:$AI$2200,AI$1-$L$1+2)</f>
        <v>1.6040000000000001</v>
      </c>
      <c r="AJ108" s="11">
        <f>VLOOKUP($I108,output!$A$9:$AI$2200,AJ$1-$L$1+2)</f>
        <v>1.454</v>
      </c>
      <c r="AK108" s="11">
        <f>VLOOKUP($I108,output!$A$9:$AI$2200,AK$1-$L$1+2)</f>
        <v>1.028</v>
      </c>
      <c r="AL108" s="11">
        <f>VLOOKUP($I108,output!$A$9:$AI$2200,AL$1-$L$1+2)</f>
        <v>0.66500000000000004</v>
      </c>
      <c r="AM108" s="11">
        <f>VLOOKUP($I108,output!$A$9:$AI$2200,AM$1-$L$1+2)</f>
        <v>0.379</v>
      </c>
    </row>
    <row r="109" spans="9:39" x14ac:dyDescent="0.25">
      <c r="I109" t="s">
        <v>401</v>
      </c>
      <c r="J109" t="s">
        <v>114</v>
      </c>
      <c r="K109" t="s">
        <v>112</v>
      </c>
      <c r="L109" s="11">
        <f>VLOOKUP($I109,output!$A$9:$AI$2200,L$1-$L$1+2)</f>
        <v>0</v>
      </c>
      <c r="M109" s="11">
        <f>VLOOKUP($I109,output!$A$9:$AI$2200,M$1-$L$1+2)</f>
        <v>98.590999999999994</v>
      </c>
      <c r="N109" s="11">
        <f>VLOOKUP($I109,output!$A$9:$AI$2200,N$1-$L$1+2)</f>
        <v>82.784999999999997</v>
      </c>
      <c r="O109" s="11">
        <f>VLOOKUP($I109,output!$A$9:$AI$2200,O$1-$L$1+2)</f>
        <v>84.09</v>
      </c>
      <c r="P109" s="11">
        <f>VLOOKUP($I109,output!$A$9:$AI$2200,P$1-$L$1+2)</f>
        <v>95.563999999999993</v>
      </c>
      <c r="Q109" s="11">
        <f>VLOOKUP($I109,output!$A$9:$AI$2200,Q$1-$L$1+2)</f>
        <v>95.753</v>
      </c>
      <c r="R109" s="11">
        <f>VLOOKUP($I109,output!$A$9:$AI$2200,R$1-$L$1+2)</f>
        <v>94.894000000000005</v>
      </c>
      <c r="S109" s="11">
        <f>VLOOKUP($I109,output!$A$9:$AI$2200,S$1-$L$1+2)</f>
        <v>93.116</v>
      </c>
      <c r="T109" s="11">
        <f>VLOOKUP($I109,output!$A$9:$AI$2200,T$1-$L$1+2)</f>
        <v>101.017</v>
      </c>
      <c r="U109" s="11">
        <f>VLOOKUP($I109,output!$A$9:$AI$2200,U$1-$L$1+2)</f>
        <v>93.927999999999997</v>
      </c>
      <c r="V109" s="11">
        <f>VLOOKUP($I109,output!$A$9:$AI$2200,V$1-$L$1+2)</f>
        <v>92.661000000000001</v>
      </c>
      <c r="W109" s="11">
        <f>VLOOKUP($I109,output!$A$9:$AI$2200,W$1-$L$1+2)</f>
        <v>92.915999999999997</v>
      </c>
      <c r="X109" s="11">
        <f>VLOOKUP($I109,output!$A$9:$AI$2200,X$1-$L$1+2)</f>
        <v>94.587000000000003</v>
      </c>
      <c r="Y109" s="11">
        <f>VLOOKUP($I109,output!$A$9:$AI$2200,Y$1-$L$1+2)</f>
        <v>31.599</v>
      </c>
      <c r="Z109" s="11">
        <f>VLOOKUP($I109,output!$A$9:$AI$2200,Z$1-$L$1+2)</f>
        <v>32.374000000000002</v>
      </c>
      <c r="AA109" s="11">
        <f>VLOOKUP($I109,output!$A$9:$AI$2200,AA$1-$L$1+2)</f>
        <v>31.423999999999999</v>
      </c>
      <c r="AB109" s="11">
        <f>VLOOKUP($I109,output!$A$9:$AI$2200,AB$1-$L$1+2)</f>
        <v>25.876999999999999</v>
      </c>
      <c r="AC109" s="11">
        <f>VLOOKUP($I109,output!$A$9:$AI$2200,AC$1-$L$1+2)</f>
        <v>28.411000000000001</v>
      </c>
      <c r="AD109" s="11">
        <f>VLOOKUP($I109,output!$A$9:$AI$2200,AD$1-$L$1+2)</f>
        <v>20.071000000000002</v>
      </c>
      <c r="AE109" s="11">
        <f>VLOOKUP($I109,output!$A$9:$AI$2200,AE$1-$L$1+2)</f>
        <v>17.7</v>
      </c>
      <c r="AF109" s="11">
        <f>VLOOKUP($I109,output!$A$9:$AI$2200,AF$1-$L$1+2)</f>
        <v>14.204000000000001</v>
      </c>
      <c r="AG109" s="11">
        <f>VLOOKUP($I109,output!$A$9:$AI$2200,AG$1-$L$1+2)</f>
        <v>5.9660000000000002</v>
      </c>
      <c r="AH109" s="11">
        <f>VLOOKUP($I109,output!$A$9:$AI$2200,AH$1-$L$1+2)</f>
        <v>4.9809999999999999</v>
      </c>
      <c r="AI109" s="11">
        <f>VLOOKUP($I109,output!$A$9:$AI$2200,AI$1-$L$1+2)</f>
        <v>4.8879999999999999</v>
      </c>
      <c r="AJ109" s="11">
        <f>VLOOKUP($I109,output!$A$9:$AI$2200,AJ$1-$L$1+2)</f>
        <v>3.448</v>
      </c>
      <c r="AK109" s="11">
        <f>VLOOKUP($I109,output!$A$9:$AI$2200,AK$1-$L$1+2)</f>
        <v>2.734</v>
      </c>
      <c r="AL109" s="11">
        <f>VLOOKUP($I109,output!$A$9:$AI$2200,AL$1-$L$1+2)</f>
        <v>2.0830000000000002</v>
      </c>
      <c r="AM109" s="11">
        <f>VLOOKUP($I109,output!$A$9:$AI$2200,AM$1-$L$1+2)</f>
        <v>1.417</v>
      </c>
    </row>
    <row r="110" spans="9:39" x14ac:dyDescent="0.25">
      <c r="I110" t="s">
        <v>402</v>
      </c>
      <c r="J110" t="s">
        <v>114</v>
      </c>
      <c r="K110" t="s">
        <v>113</v>
      </c>
      <c r="L110" s="11">
        <f>VLOOKUP($I110,output!$A$9:$AI$2200,L$1-$L$1+2)</f>
        <v>0</v>
      </c>
      <c r="M110" s="11">
        <f>VLOOKUP($I110,output!$A$9:$AI$2200,M$1-$L$1+2)</f>
        <v>55.283000000000001</v>
      </c>
      <c r="N110" s="11">
        <f>VLOOKUP($I110,output!$A$9:$AI$2200,N$1-$L$1+2)</f>
        <v>67.358999999999995</v>
      </c>
      <c r="O110" s="11">
        <f>VLOOKUP($I110,output!$A$9:$AI$2200,O$1-$L$1+2)</f>
        <v>69.367000000000004</v>
      </c>
      <c r="P110" s="11">
        <f>VLOOKUP($I110,output!$A$9:$AI$2200,P$1-$L$1+2)</f>
        <v>60.515000000000001</v>
      </c>
      <c r="Q110" s="11">
        <f>VLOOKUP($I110,output!$A$9:$AI$2200,Q$1-$L$1+2)</f>
        <v>60.936</v>
      </c>
      <c r="R110" s="11">
        <f>VLOOKUP($I110,output!$A$9:$AI$2200,R$1-$L$1+2)</f>
        <v>61.384</v>
      </c>
      <c r="S110" s="11">
        <f>VLOOKUP($I110,output!$A$9:$AI$2200,S$1-$L$1+2)</f>
        <v>61.304000000000002</v>
      </c>
      <c r="T110" s="11">
        <f>VLOOKUP($I110,output!$A$9:$AI$2200,T$1-$L$1+2)</f>
        <v>53.185000000000002</v>
      </c>
      <c r="U110" s="11">
        <f>VLOOKUP($I110,output!$A$9:$AI$2200,U$1-$L$1+2)</f>
        <v>49.540999999999997</v>
      </c>
      <c r="V110" s="11">
        <f>VLOOKUP($I110,output!$A$9:$AI$2200,V$1-$L$1+2)</f>
        <v>42.877000000000002</v>
      </c>
      <c r="W110" s="11">
        <f>VLOOKUP($I110,output!$A$9:$AI$2200,W$1-$L$1+2)</f>
        <v>37.752000000000002</v>
      </c>
      <c r="X110" s="11">
        <f>VLOOKUP($I110,output!$A$9:$AI$2200,X$1-$L$1+2)</f>
        <v>33.853000000000002</v>
      </c>
      <c r="Y110" s="11">
        <f>VLOOKUP($I110,output!$A$9:$AI$2200,Y$1-$L$1+2)</f>
        <v>7.7430000000000003</v>
      </c>
      <c r="Z110" s="11">
        <f>VLOOKUP($I110,output!$A$9:$AI$2200,Z$1-$L$1+2)</f>
        <v>6.1959999999999997</v>
      </c>
      <c r="AA110" s="11">
        <f>VLOOKUP($I110,output!$A$9:$AI$2200,AA$1-$L$1+2)</f>
        <v>5.25</v>
      </c>
      <c r="AB110" s="11">
        <f>VLOOKUP($I110,output!$A$9:$AI$2200,AB$1-$L$1+2)</f>
        <v>3.528</v>
      </c>
      <c r="AC110" s="11">
        <f>VLOOKUP($I110,output!$A$9:$AI$2200,AC$1-$L$1+2)</f>
        <v>3.5030000000000001</v>
      </c>
      <c r="AD110" s="11">
        <f>VLOOKUP($I110,output!$A$9:$AI$2200,AD$1-$L$1+2)</f>
        <v>2.2530000000000001</v>
      </c>
      <c r="AE110" s="11">
        <f>VLOOKUP($I110,output!$A$9:$AI$2200,AE$1-$L$1+2)</f>
        <v>1.94</v>
      </c>
      <c r="AF110" s="11">
        <f>VLOOKUP($I110,output!$A$9:$AI$2200,AF$1-$L$1+2)</f>
        <v>1.448</v>
      </c>
      <c r="AG110" s="11">
        <f>VLOOKUP($I110,output!$A$9:$AI$2200,AG$1-$L$1+2)</f>
        <v>0.95199999999999996</v>
      </c>
      <c r="AH110" s="11">
        <f>VLOOKUP($I110,output!$A$9:$AI$2200,AH$1-$L$1+2)</f>
        <v>0.67100000000000004</v>
      </c>
      <c r="AI110" s="11">
        <f>VLOOKUP($I110,output!$A$9:$AI$2200,AI$1-$L$1+2)</f>
        <v>0.70799999999999996</v>
      </c>
      <c r="AJ110" s="11">
        <f>VLOOKUP($I110,output!$A$9:$AI$2200,AJ$1-$L$1+2)</f>
        <v>0.46600000000000003</v>
      </c>
      <c r="AK110" s="11">
        <f>VLOOKUP($I110,output!$A$9:$AI$2200,AK$1-$L$1+2)</f>
        <v>0.38300000000000001</v>
      </c>
      <c r="AL110" s="11">
        <f>VLOOKUP($I110,output!$A$9:$AI$2200,AL$1-$L$1+2)</f>
        <v>0.30399999999999999</v>
      </c>
      <c r="AM110" s="11">
        <f>VLOOKUP($I110,output!$A$9:$AI$2200,AM$1-$L$1+2)</f>
        <v>0.21199999999999999</v>
      </c>
    </row>
    <row r="111" spans="9:39" x14ac:dyDescent="0.25">
      <c r="I111" t="s">
        <v>403</v>
      </c>
      <c r="J111" t="s">
        <v>114</v>
      </c>
      <c r="K111" t="s">
        <v>114</v>
      </c>
      <c r="L111" s="11">
        <f>VLOOKUP($I111,output!$A$9:$AI$2200,L$1-$L$1+2)</f>
        <v>0</v>
      </c>
      <c r="M111" s="11">
        <f>VLOOKUP($I111,output!$A$9:$AI$2200,M$1-$L$1+2)</f>
        <v>139.458</v>
      </c>
      <c r="N111" s="11">
        <f>VLOOKUP($I111,output!$A$9:$AI$2200,N$1-$L$1+2)</f>
        <v>150.68700000000001</v>
      </c>
      <c r="O111" s="11">
        <f>VLOOKUP($I111,output!$A$9:$AI$2200,O$1-$L$1+2)</f>
        <v>144.22</v>
      </c>
      <c r="P111" s="11">
        <f>VLOOKUP($I111,output!$A$9:$AI$2200,P$1-$L$1+2)</f>
        <v>134.81299999999999</v>
      </c>
      <c r="Q111" s="11">
        <f>VLOOKUP($I111,output!$A$9:$AI$2200,Q$1-$L$1+2)</f>
        <v>129.52099999999999</v>
      </c>
      <c r="R111" s="11">
        <f>VLOOKUP($I111,output!$A$9:$AI$2200,R$1-$L$1+2)</f>
        <v>124.866</v>
      </c>
      <c r="S111" s="11">
        <f>VLOOKUP($I111,output!$A$9:$AI$2200,S$1-$L$1+2)</f>
        <v>120.70399999999999</v>
      </c>
      <c r="T111" s="11">
        <f>VLOOKUP($I111,output!$A$9:$AI$2200,T$1-$L$1+2)</f>
        <v>110.733</v>
      </c>
      <c r="U111" s="11">
        <f>VLOOKUP($I111,output!$A$9:$AI$2200,U$1-$L$1+2)</f>
        <v>98.992000000000004</v>
      </c>
      <c r="V111" s="11">
        <f>VLOOKUP($I111,output!$A$9:$AI$2200,V$1-$L$1+2)</f>
        <v>85.02</v>
      </c>
      <c r="W111" s="11">
        <f>VLOOKUP($I111,output!$A$9:$AI$2200,W$1-$L$1+2)</f>
        <v>73.201999999999998</v>
      </c>
      <c r="X111" s="11">
        <f>VLOOKUP($I111,output!$A$9:$AI$2200,X$1-$L$1+2)</f>
        <v>63.344000000000001</v>
      </c>
      <c r="Y111" s="11">
        <f>VLOOKUP($I111,output!$A$9:$AI$2200,Y$1-$L$1+2)</f>
        <v>54.686999999999998</v>
      </c>
      <c r="Z111" s="11">
        <f>VLOOKUP($I111,output!$A$9:$AI$2200,Z$1-$L$1+2)</f>
        <v>44.597999999999999</v>
      </c>
      <c r="AA111" s="11">
        <f>VLOOKUP($I111,output!$A$9:$AI$2200,AA$1-$L$1+2)</f>
        <v>37.152999999999999</v>
      </c>
      <c r="AB111" s="11">
        <f>VLOOKUP($I111,output!$A$9:$AI$2200,AB$1-$L$1+2)</f>
        <v>26.503</v>
      </c>
      <c r="AC111" s="11">
        <f>VLOOKUP($I111,output!$A$9:$AI$2200,AC$1-$L$1+2)</f>
        <v>23.643000000000001</v>
      </c>
      <c r="AD111" s="11">
        <f>VLOOKUP($I111,output!$A$9:$AI$2200,AD$1-$L$1+2)</f>
        <v>18.675000000000001</v>
      </c>
      <c r="AE111" s="11">
        <f>VLOOKUP($I111,output!$A$9:$AI$2200,AE$1-$L$1+2)</f>
        <v>15.891999999999999</v>
      </c>
      <c r="AF111" s="11">
        <f>VLOOKUP($I111,output!$A$9:$AI$2200,AF$1-$L$1+2)</f>
        <v>12.430999999999999</v>
      </c>
      <c r="AG111" s="11">
        <f>VLOOKUP($I111,output!$A$9:$AI$2200,AG$1-$L$1+2)</f>
        <v>13.318</v>
      </c>
      <c r="AH111" s="11">
        <f>VLOOKUP($I111,output!$A$9:$AI$2200,AH$1-$L$1+2)</f>
        <v>7.0010000000000003</v>
      </c>
      <c r="AI111" s="11">
        <f>VLOOKUP($I111,output!$A$9:$AI$2200,AI$1-$L$1+2)</f>
        <v>11.475</v>
      </c>
      <c r="AJ111" s="11">
        <f>VLOOKUP($I111,output!$A$9:$AI$2200,AJ$1-$L$1+2)</f>
        <v>7.5259999999999998</v>
      </c>
      <c r="AK111" s="11">
        <f>VLOOKUP($I111,output!$A$9:$AI$2200,AK$1-$L$1+2)</f>
        <v>8.68</v>
      </c>
      <c r="AL111" s="11">
        <f>VLOOKUP($I111,output!$A$9:$AI$2200,AL$1-$L$1+2)</f>
        <v>9.0540000000000003</v>
      </c>
      <c r="AM111" s="11">
        <f>VLOOKUP($I111,output!$A$9:$AI$2200,AM$1-$L$1+2)</f>
        <v>7.84</v>
      </c>
    </row>
    <row r="112" spans="9:39" x14ac:dyDescent="0.25">
      <c r="I112" t="s">
        <v>404</v>
      </c>
      <c r="J112" t="s">
        <v>114</v>
      </c>
      <c r="K112" t="s">
        <v>115</v>
      </c>
      <c r="L112" s="11">
        <f>VLOOKUP($I112,output!$A$9:$AI$2200,L$1-$L$1+2)</f>
        <v>0</v>
      </c>
      <c r="M112" s="11">
        <f>VLOOKUP($I112,output!$A$9:$AI$2200,M$1-$L$1+2)</f>
        <v>1.97</v>
      </c>
      <c r="N112" s="11">
        <f>VLOOKUP($I112,output!$A$9:$AI$2200,N$1-$L$1+2)</f>
        <v>2.823</v>
      </c>
      <c r="O112" s="11">
        <f>VLOOKUP($I112,output!$A$9:$AI$2200,O$1-$L$1+2)</f>
        <v>2.6619999999999999</v>
      </c>
      <c r="P112" s="11">
        <f>VLOOKUP($I112,output!$A$9:$AI$2200,P$1-$L$1+2)</f>
        <v>2.9609999999999999</v>
      </c>
      <c r="Q112" s="11">
        <f>VLOOKUP($I112,output!$A$9:$AI$2200,Q$1-$L$1+2)</f>
        <v>2.867</v>
      </c>
      <c r="R112" s="11">
        <f>VLOOKUP($I112,output!$A$9:$AI$2200,R$1-$L$1+2)</f>
        <v>2.7160000000000002</v>
      </c>
      <c r="S112" s="11">
        <f>VLOOKUP($I112,output!$A$9:$AI$2200,S$1-$L$1+2)</f>
        <v>2.6139999999999999</v>
      </c>
      <c r="T112" s="11">
        <f>VLOOKUP($I112,output!$A$9:$AI$2200,T$1-$L$1+2)</f>
        <v>2.649</v>
      </c>
      <c r="U112" s="11">
        <f>VLOOKUP($I112,output!$A$9:$AI$2200,U$1-$L$1+2)</f>
        <v>2.504</v>
      </c>
      <c r="V112" s="11">
        <f>VLOOKUP($I112,output!$A$9:$AI$2200,V$1-$L$1+2)</f>
        <v>2.4169999999999998</v>
      </c>
      <c r="W112" s="11">
        <f>VLOOKUP($I112,output!$A$9:$AI$2200,W$1-$L$1+2)</f>
        <v>2.3050000000000002</v>
      </c>
      <c r="X112" s="11">
        <f>VLOOKUP($I112,output!$A$9:$AI$2200,X$1-$L$1+2)</f>
        <v>2.2290000000000001</v>
      </c>
      <c r="Y112" s="11">
        <f>VLOOKUP($I112,output!$A$9:$AI$2200,Y$1-$L$1+2)</f>
        <v>6.0999999999999999E-2</v>
      </c>
      <c r="Z112" s="11">
        <f>VLOOKUP($I112,output!$A$9:$AI$2200,Z$1-$L$1+2)</f>
        <v>6.6000000000000003E-2</v>
      </c>
      <c r="AA112" s="11">
        <f>VLOOKUP($I112,output!$A$9:$AI$2200,AA$1-$L$1+2)</f>
        <v>6.7000000000000004E-2</v>
      </c>
      <c r="AB112" s="11">
        <f>VLOOKUP($I112,output!$A$9:$AI$2200,AB$1-$L$1+2)</f>
        <v>5.0999999999999997E-2</v>
      </c>
      <c r="AC112" s="11">
        <f>VLOOKUP($I112,output!$A$9:$AI$2200,AC$1-$L$1+2)</f>
        <v>6.5000000000000002E-2</v>
      </c>
      <c r="AD112" s="11">
        <f>VLOOKUP($I112,output!$A$9:$AI$2200,AD$1-$L$1+2)</f>
        <v>4.7E-2</v>
      </c>
      <c r="AE112" s="11">
        <f>VLOOKUP($I112,output!$A$9:$AI$2200,AE$1-$L$1+2)</f>
        <v>4.2999999999999997E-2</v>
      </c>
      <c r="AF112" s="11">
        <f>VLOOKUP($I112,output!$A$9:$AI$2200,AF$1-$L$1+2)</f>
        <v>3.2000000000000001E-2</v>
      </c>
      <c r="AG112" s="11">
        <f>VLOOKUP($I112,output!$A$9:$AI$2200,AG$1-$L$1+2)</f>
        <v>2.1999999999999999E-2</v>
      </c>
      <c r="AH112" s="11">
        <f>VLOOKUP($I112,output!$A$9:$AI$2200,AH$1-$L$1+2)</f>
        <v>1.4E-2</v>
      </c>
      <c r="AI112" s="11">
        <f>VLOOKUP($I112,output!$A$9:$AI$2200,AI$1-$L$1+2)</f>
        <v>1.7999999999999999E-2</v>
      </c>
      <c r="AJ112" s="11">
        <f>VLOOKUP($I112,output!$A$9:$AI$2200,AJ$1-$L$1+2)</f>
        <v>1.0999999999999999E-2</v>
      </c>
      <c r="AK112" s="11">
        <f>VLOOKUP($I112,output!$A$9:$AI$2200,AK$1-$L$1+2)</f>
        <v>0.01</v>
      </c>
      <c r="AL112" s="11">
        <f>VLOOKUP($I112,output!$A$9:$AI$2200,AL$1-$L$1+2)</f>
        <v>8.9999999999999993E-3</v>
      </c>
      <c r="AM112" s="11">
        <f>VLOOKUP($I112,output!$A$9:$AI$2200,AM$1-$L$1+2)</f>
        <v>7.0000000000000001E-3</v>
      </c>
    </row>
    <row r="113" spans="9:39" x14ac:dyDescent="0.25">
      <c r="I113" t="s">
        <v>405</v>
      </c>
      <c r="J113" t="s">
        <v>114</v>
      </c>
      <c r="K113" t="s">
        <v>116</v>
      </c>
      <c r="L113" s="11">
        <f>VLOOKUP($I113,output!$A$9:$AI$2200,L$1-$L$1+2)</f>
        <v>0</v>
      </c>
      <c r="M113" s="11">
        <f>VLOOKUP($I113,output!$A$9:$AI$2200,M$1-$L$1+2)</f>
        <v>0.437</v>
      </c>
      <c r="N113" s="11">
        <f>VLOOKUP($I113,output!$A$9:$AI$2200,N$1-$L$1+2)</f>
        <v>0.57299999999999995</v>
      </c>
      <c r="O113" s="11">
        <f>VLOOKUP($I113,output!$A$9:$AI$2200,O$1-$L$1+2)</f>
        <v>0.41399999999999998</v>
      </c>
      <c r="P113" s="11">
        <f>VLOOKUP($I113,output!$A$9:$AI$2200,P$1-$L$1+2)</f>
        <v>0.73299999999999998</v>
      </c>
      <c r="Q113" s="11">
        <f>VLOOKUP($I113,output!$A$9:$AI$2200,Q$1-$L$1+2)</f>
        <v>0.54200000000000004</v>
      </c>
      <c r="R113" s="11">
        <f>VLOOKUP($I113,output!$A$9:$AI$2200,R$1-$L$1+2)</f>
        <v>0.32600000000000001</v>
      </c>
      <c r="S113" s="11">
        <f>VLOOKUP($I113,output!$A$9:$AI$2200,S$1-$L$1+2)</f>
        <v>0.11600000000000001</v>
      </c>
      <c r="T113" s="11">
        <f>VLOOKUP($I113,output!$A$9:$AI$2200,T$1-$L$1+2)</f>
        <v>0.45300000000000001</v>
      </c>
      <c r="U113" s="11">
        <f>VLOOKUP($I113,output!$A$9:$AI$2200,U$1-$L$1+2)</f>
        <v>0.183</v>
      </c>
      <c r="V113" s="11">
        <f>VLOOKUP($I113,output!$A$9:$AI$2200,V$1-$L$1+2)</f>
        <v>0.23400000000000001</v>
      </c>
      <c r="W113" s="11">
        <f>VLOOKUP($I113,output!$A$9:$AI$2200,W$1-$L$1+2)</f>
        <v>0.28599999999999998</v>
      </c>
      <c r="X113" s="11">
        <f>VLOOKUP($I113,output!$A$9:$AI$2200,X$1-$L$1+2)</f>
        <v>0.34899999999999998</v>
      </c>
      <c r="Y113" s="11">
        <f>VLOOKUP($I113,output!$A$9:$AI$2200,Y$1-$L$1+2)</f>
        <v>0.37</v>
      </c>
      <c r="Z113" s="11">
        <f>VLOOKUP($I113,output!$A$9:$AI$2200,Z$1-$L$1+2)</f>
        <v>0.42499999999999999</v>
      </c>
      <c r="AA113" s="11">
        <f>VLOOKUP($I113,output!$A$9:$AI$2200,AA$1-$L$1+2)</f>
        <v>0.42799999999999999</v>
      </c>
      <c r="AB113" s="11">
        <f>VLOOKUP($I113,output!$A$9:$AI$2200,AB$1-$L$1+2)</f>
        <v>0.32300000000000001</v>
      </c>
      <c r="AC113" s="11">
        <f>VLOOKUP($I113,output!$A$9:$AI$2200,AC$1-$L$1+2)</f>
        <v>0.40799999999999997</v>
      </c>
      <c r="AD113" s="11">
        <f>VLOOKUP($I113,output!$A$9:$AI$2200,AD$1-$L$1+2)</f>
        <v>0.26100000000000001</v>
      </c>
      <c r="AE113" s="11">
        <f>VLOOKUP($I113,output!$A$9:$AI$2200,AE$1-$L$1+2)</f>
        <v>0.21099999999999999</v>
      </c>
      <c r="AF113" s="11">
        <f>VLOOKUP($I113,output!$A$9:$AI$2200,AF$1-$L$1+2)</f>
        <v>0.155</v>
      </c>
      <c r="AG113" s="11">
        <f>VLOOKUP($I113,output!$A$9:$AI$2200,AG$1-$L$1+2)</f>
        <v>0.1</v>
      </c>
      <c r="AH113" s="11">
        <f>VLOOKUP($I113,output!$A$9:$AI$2200,AH$1-$L$1+2)</f>
        <v>6.2E-2</v>
      </c>
      <c r="AI113" s="11">
        <f>VLOOKUP($I113,output!$A$9:$AI$2200,AI$1-$L$1+2)</f>
        <v>7.5999999999999998E-2</v>
      </c>
      <c r="AJ113" s="11">
        <f>VLOOKUP($I113,output!$A$9:$AI$2200,AJ$1-$L$1+2)</f>
        <v>4.5999999999999999E-2</v>
      </c>
      <c r="AK113" s="11">
        <f>VLOOKUP($I113,output!$A$9:$AI$2200,AK$1-$L$1+2)</f>
        <v>0.04</v>
      </c>
      <c r="AL113" s="11">
        <f>VLOOKUP($I113,output!$A$9:$AI$2200,AL$1-$L$1+2)</f>
        <v>3.5000000000000003E-2</v>
      </c>
      <c r="AM113" s="11">
        <f>VLOOKUP($I113,output!$A$9:$AI$2200,AM$1-$L$1+2)</f>
        <v>2.5999999999999999E-2</v>
      </c>
    </row>
    <row r="114" spans="9:39" x14ac:dyDescent="0.25">
      <c r="I114" t="s">
        <v>406</v>
      </c>
      <c r="J114" t="s">
        <v>115</v>
      </c>
      <c r="K114" t="s">
        <v>111</v>
      </c>
      <c r="L114" s="11">
        <f>VLOOKUP($I114,output!$A$9:$AI$2200,L$1-$L$1+2)</f>
        <v>0</v>
      </c>
      <c r="M114" s="11">
        <f>VLOOKUP($I114,output!$A$9:$AI$2200,M$1-$L$1+2)</f>
        <v>0</v>
      </c>
      <c r="N114" s="11">
        <f>VLOOKUP($I114,output!$A$9:$AI$2200,N$1-$L$1+2)</f>
        <v>0</v>
      </c>
      <c r="O114" s="11">
        <f>VLOOKUP($I114,output!$A$9:$AI$2200,O$1-$L$1+2)</f>
        <v>0</v>
      </c>
      <c r="P114" s="11">
        <f>VLOOKUP($I114,output!$A$9:$AI$2200,P$1-$L$1+2)</f>
        <v>0</v>
      </c>
      <c r="Q114" s="11">
        <f>VLOOKUP($I114,output!$A$9:$AI$2200,Q$1-$L$1+2)</f>
        <v>0</v>
      </c>
      <c r="R114" s="11">
        <f>VLOOKUP($I114,output!$A$9:$AI$2200,R$1-$L$1+2)</f>
        <v>0</v>
      </c>
      <c r="S114" s="11">
        <f>VLOOKUP($I114,output!$A$9:$AI$2200,S$1-$L$1+2)</f>
        <v>0</v>
      </c>
      <c r="T114" s="11">
        <f>VLOOKUP($I114,output!$A$9:$AI$2200,T$1-$L$1+2)</f>
        <v>0</v>
      </c>
      <c r="U114" s="11">
        <f>VLOOKUP($I114,output!$A$9:$AI$2200,U$1-$L$1+2)</f>
        <v>0</v>
      </c>
      <c r="V114" s="11">
        <f>VLOOKUP($I114,output!$A$9:$AI$2200,V$1-$L$1+2)</f>
        <v>0</v>
      </c>
      <c r="W114" s="11">
        <f>VLOOKUP($I114,output!$A$9:$AI$2200,W$1-$L$1+2)</f>
        <v>0</v>
      </c>
      <c r="X114" s="11">
        <f>VLOOKUP($I114,output!$A$9:$AI$2200,X$1-$L$1+2)</f>
        <v>0</v>
      </c>
      <c r="Y114" s="11">
        <f>VLOOKUP($I114,output!$A$9:$AI$2200,Y$1-$L$1+2)</f>
        <v>0</v>
      </c>
      <c r="Z114" s="11">
        <f>VLOOKUP($I114,output!$A$9:$AI$2200,Z$1-$L$1+2)</f>
        <v>0</v>
      </c>
      <c r="AA114" s="11">
        <f>VLOOKUP($I114,output!$A$9:$AI$2200,AA$1-$L$1+2)</f>
        <v>0</v>
      </c>
      <c r="AB114" s="11">
        <f>VLOOKUP($I114,output!$A$9:$AI$2200,AB$1-$L$1+2)</f>
        <v>0</v>
      </c>
      <c r="AC114" s="11">
        <f>VLOOKUP($I114,output!$A$9:$AI$2200,AC$1-$L$1+2)</f>
        <v>0</v>
      </c>
      <c r="AD114" s="11">
        <f>VLOOKUP($I114,output!$A$9:$AI$2200,AD$1-$L$1+2)</f>
        <v>0</v>
      </c>
      <c r="AE114" s="11">
        <f>VLOOKUP($I114,output!$A$9:$AI$2200,AE$1-$L$1+2)</f>
        <v>0</v>
      </c>
      <c r="AF114" s="11">
        <f>VLOOKUP($I114,output!$A$9:$AI$2200,AF$1-$L$1+2)</f>
        <v>0</v>
      </c>
      <c r="AG114" s="11">
        <f>VLOOKUP($I114,output!$A$9:$AI$2200,AG$1-$L$1+2)</f>
        <v>0</v>
      </c>
      <c r="AH114" s="11">
        <f>VLOOKUP($I114,output!$A$9:$AI$2200,AH$1-$L$1+2)</f>
        <v>0</v>
      </c>
      <c r="AI114" s="11">
        <f>VLOOKUP($I114,output!$A$9:$AI$2200,AI$1-$L$1+2)</f>
        <v>0</v>
      </c>
      <c r="AJ114" s="11">
        <f>VLOOKUP($I114,output!$A$9:$AI$2200,AJ$1-$L$1+2)</f>
        <v>0</v>
      </c>
      <c r="AK114" s="11">
        <f>VLOOKUP($I114,output!$A$9:$AI$2200,AK$1-$L$1+2)</f>
        <v>0</v>
      </c>
      <c r="AL114" s="11">
        <f>VLOOKUP($I114,output!$A$9:$AI$2200,AL$1-$L$1+2)</f>
        <v>0</v>
      </c>
      <c r="AM114" s="11">
        <f>VLOOKUP($I114,output!$A$9:$AI$2200,AM$1-$L$1+2)</f>
        <v>0</v>
      </c>
    </row>
    <row r="115" spans="9:39" x14ac:dyDescent="0.25">
      <c r="I115" t="s">
        <v>407</v>
      </c>
      <c r="J115" t="s">
        <v>115</v>
      </c>
      <c r="K115" t="s">
        <v>112</v>
      </c>
      <c r="L115" s="11">
        <f>VLOOKUP($I115,output!$A$9:$AI$2200,L$1-$L$1+2)</f>
        <v>0</v>
      </c>
      <c r="M115" s="11">
        <f>VLOOKUP($I115,output!$A$9:$AI$2200,M$1-$L$1+2)</f>
        <v>76.981999999999999</v>
      </c>
      <c r="N115" s="11">
        <f>VLOOKUP($I115,output!$A$9:$AI$2200,N$1-$L$1+2)</f>
        <v>69.676000000000002</v>
      </c>
      <c r="O115" s="11">
        <f>VLOOKUP($I115,output!$A$9:$AI$2200,O$1-$L$1+2)</f>
        <v>65.052000000000007</v>
      </c>
      <c r="P115" s="11">
        <f>VLOOKUP($I115,output!$A$9:$AI$2200,P$1-$L$1+2)</f>
        <v>63.951999999999998</v>
      </c>
      <c r="Q115" s="11">
        <f>VLOOKUP($I115,output!$A$9:$AI$2200,Q$1-$L$1+2)</f>
        <v>58.610999999999997</v>
      </c>
      <c r="R115" s="11">
        <f>VLOOKUP($I115,output!$A$9:$AI$2200,R$1-$L$1+2)</f>
        <v>53.890999999999998</v>
      </c>
      <c r="S115" s="11">
        <f>VLOOKUP($I115,output!$A$9:$AI$2200,S$1-$L$1+2)</f>
        <v>49.813000000000002</v>
      </c>
      <c r="T115" s="11">
        <f>VLOOKUP($I115,output!$A$9:$AI$2200,T$1-$L$1+2)</f>
        <v>50.610999999999997</v>
      </c>
      <c r="U115" s="11">
        <f>VLOOKUP($I115,output!$A$9:$AI$2200,U$1-$L$1+2)</f>
        <v>44.999000000000002</v>
      </c>
      <c r="V115" s="11">
        <f>VLOOKUP($I115,output!$A$9:$AI$2200,V$1-$L$1+2)</f>
        <v>43.128999999999998</v>
      </c>
      <c r="W115" s="11">
        <f>VLOOKUP($I115,output!$A$9:$AI$2200,W$1-$L$1+2)</f>
        <v>41.456000000000003</v>
      </c>
      <c r="X115" s="11">
        <f>VLOOKUP($I115,output!$A$9:$AI$2200,X$1-$L$1+2)</f>
        <v>39.710999999999999</v>
      </c>
      <c r="Y115" s="11">
        <f>VLOOKUP($I115,output!$A$9:$AI$2200,Y$1-$L$1+2)</f>
        <v>31.016999999999999</v>
      </c>
      <c r="Z115" s="11">
        <f>VLOOKUP($I115,output!$A$9:$AI$2200,Z$1-$L$1+2)</f>
        <v>29.158000000000001</v>
      </c>
      <c r="AA115" s="11">
        <f>VLOOKUP($I115,output!$A$9:$AI$2200,AA$1-$L$1+2)</f>
        <v>27.035</v>
      </c>
      <c r="AB115" s="11">
        <f>VLOOKUP($I115,output!$A$9:$AI$2200,AB$1-$L$1+2)</f>
        <v>24.887</v>
      </c>
      <c r="AC115" s="11">
        <f>VLOOKUP($I115,output!$A$9:$AI$2200,AC$1-$L$1+2)</f>
        <v>22.611999999999998</v>
      </c>
      <c r="AD115" s="11">
        <f>VLOOKUP($I115,output!$A$9:$AI$2200,AD$1-$L$1+2)</f>
        <v>19.972000000000001</v>
      </c>
      <c r="AE115" s="11">
        <f>VLOOKUP($I115,output!$A$9:$AI$2200,AE$1-$L$1+2)</f>
        <v>17.600999999999999</v>
      </c>
      <c r="AF115" s="11">
        <f>VLOOKUP($I115,output!$A$9:$AI$2200,AF$1-$L$1+2)</f>
        <v>15.307</v>
      </c>
      <c r="AG115" s="11">
        <f>VLOOKUP($I115,output!$A$9:$AI$2200,AG$1-$L$1+2)</f>
        <v>3.323</v>
      </c>
      <c r="AH115" s="11">
        <f>VLOOKUP($I115,output!$A$9:$AI$2200,AH$1-$L$1+2)</f>
        <v>4.3499999999999996</v>
      </c>
      <c r="AI115" s="11">
        <f>VLOOKUP($I115,output!$A$9:$AI$2200,AI$1-$L$1+2)</f>
        <v>3.1</v>
      </c>
      <c r="AJ115" s="11">
        <f>VLOOKUP($I115,output!$A$9:$AI$2200,AJ$1-$L$1+2)</f>
        <v>2.786</v>
      </c>
      <c r="AK115" s="11">
        <f>VLOOKUP($I115,output!$A$9:$AI$2200,AK$1-$L$1+2)</f>
        <v>1.9550000000000001</v>
      </c>
      <c r="AL115" s="11">
        <f>VLOOKUP($I115,output!$A$9:$AI$2200,AL$1-$L$1+2)</f>
        <v>1.2549999999999999</v>
      </c>
      <c r="AM115" s="11">
        <f>VLOOKUP($I115,output!$A$9:$AI$2200,AM$1-$L$1+2)</f>
        <v>0.70799999999999996</v>
      </c>
    </row>
    <row r="116" spans="9:39" x14ac:dyDescent="0.25">
      <c r="I116" t="s">
        <v>408</v>
      </c>
      <c r="J116" t="s">
        <v>115</v>
      </c>
      <c r="K116" t="s">
        <v>113</v>
      </c>
      <c r="L116" s="11">
        <f>VLOOKUP($I116,output!$A$9:$AI$2200,L$1-$L$1+2)</f>
        <v>0</v>
      </c>
      <c r="M116" s="11">
        <f>VLOOKUP($I116,output!$A$9:$AI$2200,M$1-$L$1+2)</f>
        <v>43.173000000000002</v>
      </c>
      <c r="N116" s="11">
        <f>VLOOKUP($I116,output!$A$9:$AI$2200,N$1-$L$1+2)</f>
        <v>31.93</v>
      </c>
      <c r="O116" s="11">
        <f>VLOOKUP($I116,output!$A$9:$AI$2200,O$1-$L$1+2)</f>
        <v>35.764000000000003</v>
      </c>
      <c r="P116" s="11">
        <f>VLOOKUP($I116,output!$A$9:$AI$2200,P$1-$L$1+2)</f>
        <v>37.317</v>
      </c>
      <c r="Q116" s="11">
        <f>VLOOKUP($I116,output!$A$9:$AI$2200,Q$1-$L$1+2)</f>
        <v>38.173000000000002</v>
      </c>
      <c r="R116" s="11">
        <f>VLOOKUP($I116,output!$A$9:$AI$2200,R$1-$L$1+2)</f>
        <v>39.365000000000002</v>
      </c>
      <c r="S116" s="11">
        <f>VLOOKUP($I116,output!$A$9:$AI$2200,S$1-$L$1+2)</f>
        <v>40.051000000000002</v>
      </c>
      <c r="T116" s="11">
        <f>VLOOKUP($I116,output!$A$9:$AI$2200,T$1-$L$1+2)</f>
        <v>35.670999999999999</v>
      </c>
      <c r="U116" s="11">
        <f>VLOOKUP($I116,output!$A$9:$AI$2200,U$1-$L$1+2)</f>
        <v>35.006</v>
      </c>
      <c r="V116" s="11">
        <f>VLOOKUP($I116,output!$A$9:$AI$2200,V$1-$L$1+2)</f>
        <v>32.042999999999999</v>
      </c>
      <c r="W116" s="11">
        <f>VLOOKUP($I116,output!$A$9:$AI$2200,W$1-$L$1+2)</f>
        <v>28.914999999999999</v>
      </c>
      <c r="X116" s="11">
        <f>VLOOKUP($I116,output!$A$9:$AI$2200,X$1-$L$1+2)</f>
        <v>25.914000000000001</v>
      </c>
      <c r="Y116" s="11">
        <f>VLOOKUP($I116,output!$A$9:$AI$2200,Y$1-$L$1+2)</f>
        <v>20.818999999999999</v>
      </c>
      <c r="Z116" s="11">
        <f>VLOOKUP($I116,output!$A$9:$AI$2200,Z$1-$L$1+2)</f>
        <v>18.074999999999999</v>
      </c>
      <c r="AA116" s="11">
        <f>VLOOKUP($I116,output!$A$9:$AI$2200,AA$1-$L$1+2)</f>
        <v>15.705</v>
      </c>
      <c r="AB116" s="11">
        <f>VLOOKUP($I116,output!$A$9:$AI$2200,AB$1-$L$1+2)</f>
        <v>10.737</v>
      </c>
      <c r="AC116" s="11">
        <f>VLOOKUP($I116,output!$A$9:$AI$2200,AC$1-$L$1+2)</f>
        <v>11.276</v>
      </c>
      <c r="AD116" s="11">
        <f>VLOOKUP($I116,output!$A$9:$AI$2200,AD$1-$L$1+2)</f>
        <v>5.633</v>
      </c>
      <c r="AE116" s="11">
        <f>VLOOKUP($I116,output!$A$9:$AI$2200,AE$1-$L$1+2)</f>
        <v>4.9290000000000003</v>
      </c>
      <c r="AF116" s="11">
        <f>VLOOKUP($I116,output!$A$9:$AI$2200,AF$1-$L$1+2)</f>
        <v>3.7120000000000002</v>
      </c>
      <c r="AG116" s="11">
        <f>VLOOKUP($I116,output!$A$9:$AI$2200,AG$1-$L$1+2)</f>
        <v>2.2610000000000001</v>
      </c>
      <c r="AH116" s="11">
        <f>VLOOKUP($I116,output!$A$9:$AI$2200,AH$1-$L$1+2)</f>
        <v>1.58</v>
      </c>
      <c r="AI116" s="11">
        <f>VLOOKUP($I116,output!$A$9:$AI$2200,AI$1-$L$1+2)</f>
        <v>1.7749999999999999</v>
      </c>
      <c r="AJ116" s="11">
        <f>VLOOKUP($I116,output!$A$9:$AI$2200,AJ$1-$L$1+2)</f>
        <v>1.1419999999999999</v>
      </c>
      <c r="AK116" s="11">
        <f>VLOOKUP($I116,output!$A$9:$AI$2200,AK$1-$L$1+2)</f>
        <v>0.96799999999999997</v>
      </c>
      <c r="AL116" s="11">
        <f>VLOOKUP($I116,output!$A$9:$AI$2200,AL$1-$L$1+2)</f>
        <v>0.79700000000000004</v>
      </c>
      <c r="AM116" s="11">
        <f>VLOOKUP($I116,output!$A$9:$AI$2200,AM$1-$L$1+2)</f>
        <v>0.58099999999999996</v>
      </c>
    </row>
    <row r="117" spans="9:39" x14ac:dyDescent="0.25">
      <c r="I117" t="s">
        <v>409</v>
      </c>
      <c r="J117" t="s">
        <v>115</v>
      </c>
      <c r="K117" t="s">
        <v>114</v>
      </c>
      <c r="L117" s="11">
        <f>VLOOKUP($I117,output!$A$9:$AI$2200,L$1-$L$1+2)</f>
        <v>0</v>
      </c>
      <c r="M117" s="11">
        <f>VLOOKUP($I117,output!$A$9:$AI$2200,M$1-$L$1+2)</f>
        <v>13.519</v>
      </c>
      <c r="N117" s="11">
        <f>VLOOKUP($I117,output!$A$9:$AI$2200,N$1-$L$1+2)</f>
        <v>14.832000000000001</v>
      </c>
      <c r="O117" s="11">
        <f>VLOOKUP($I117,output!$A$9:$AI$2200,O$1-$L$1+2)</f>
        <v>15.215</v>
      </c>
      <c r="P117" s="11">
        <f>VLOOKUP($I117,output!$A$9:$AI$2200,P$1-$L$1+2)</f>
        <v>12.101000000000001</v>
      </c>
      <c r="Q117" s="11">
        <f>VLOOKUP($I117,output!$A$9:$AI$2200,Q$1-$L$1+2)</f>
        <v>11.775</v>
      </c>
      <c r="R117" s="11">
        <f>VLOOKUP($I117,output!$A$9:$AI$2200,R$1-$L$1+2)</f>
        <v>11.856</v>
      </c>
      <c r="S117" s="11">
        <f>VLOOKUP($I117,output!$A$9:$AI$2200,S$1-$L$1+2)</f>
        <v>12.068</v>
      </c>
      <c r="T117" s="11">
        <f>VLOOKUP($I117,output!$A$9:$AI$2200,T$1-$L$1+2)</f>
        <v>9.0739999999999998</v>
      </c>
      <c r="U117" s="11">
        <f>VLOOKUP($I117,output!$A$9:$AI$2200,U$1-$L$1+2)</f>
        <v>9.3330000000000002</v>
      </c>
      <c r="V117" s="11">
        <f>VLOOKUP($I117,output!$A$9:$AI$2200,V$1-$L$1+2)</f>
        <v>7.9320000000000004</v>
      </c>
      <c r="W117" s="11">
        <f>VLOOKUP($I117,output!$A$9:$AI$2200,W$1-$L$1+2)</f>
        <v>6.5380000000000003</v>
      </c>
      <c r="X117" s="11">
        <f>VLOOKUP($I117,output!$A$9:$AI$2200,X$1-$L$1+2)</f>
        <v>5.3209999999999997</v>
      </c>
      <c r="Y117" s="11">
        <f>VLOOKUP($I117,output!$A$9:$AI$2200,Y$1-$L$1+2)</f>
        <v>8.6999999999999994E-2</v>
      </c>
      <c r="Z117" s="11">
        <f>VLOOKUP($I117,output!$A$9:$AI$2200,Z$1-$L$1+2)</f>
        <v>8.4000000000000005E-2</v>
      </c>
      <c r="AA117" s="11">
        <f>VLOOKUP($I117,output!$A$9:$AI$2200,AA$1-$L$1+2)</f>
        <v>7.9000000000000001E-2</v>
      </c>
      <c r="AB117" s="11">
        <f>VLOOKUP($I117,output!$A$9:$AI$2200,AB$1-$L$1+2)</f>
        <v>5.6000000000000001E-2</v>
      </c>
      <c r="AC117" s="11">
        <f>VLOOKUP($I117,output!$A$9:$AI$2200,AC$1-$L$1+2)</f>
        <v>6.5000000000000002E-2</v>
      </c>
      <c r="AD117" s="11">
        <f>VLOOKUP($I117,output!$A$9:$AI$2200,AD$1-$L$1+2)</f>
        <v>3.4000000000000002E-2</v>
      </c>
      <c r="AE117" s="11">
        <f>VLOOKUP($I117,output!$A$9:$AI$2200,AE$1-$L$1+2)</f>
        <v>3.1E-2</v>
      </c>
      <c r="AF117" s="11">
        <f>VLOOKUP($I117,output!$A$9:$AI$2200,AF$1-$L$1+2)</f>
        <v>2.3E-2</v>
      </c>
      <c r="AG117" s="11">
        <f>VLOOKUP($I117,output!$A$9:$AI$2200,AG$1-$L$1+2)</f>
        <v>1.7000000000000001E-2</v>
      </c>
      <c r="AH117" s="11">
        <f>VLOOKUP($I117,output!$A$9:$AI$2200,AH$1-$L$1+2)</f>
        <v>1.0999999999999999E-2</v>
      </c>
      <c r="AI117" s="11">
        <f>VLOOKUP($I117,output!$A$9:$AI$2200,AI$1-$L$1+2)</f>
        <v>1.4E-2</v>
      </c>
      <c r="AJ117" s="11">
        <f>VLOOKUP($I117,output!$A$9:$AI$2200,AJ$1-$L$1+2)</f>
        <v>8.9999999999999993E-3</v>
      </c>
      <c r="AK117" s="11">
        <f>VLOOKUP($I117,output!$A$9:$AI$2200,AK$1-$L$1+2)</f>
        <v>8.0000000000000002E-3</v>
      </c>
      <c r="AL117" s="11">
        <f>VLOOKUP($I117,output!$A$9:$AI$2200,AL$1-$L$1+2)</f>
        <v>7.0000000000000001E-3</v>
      </c>
      <c r="AM117" s="11">
        <f>VLOOKUP($I117,output!$A$9:$AI$2200,AM$1-$L$1+2)</f>
        <v>5.0000000000000001E-3</v>
      </c>
    </row>
    <row r="118" spans="9:39" x14ac:dyDescent="0.25">
      <c r="I118" t="s">
        <v>410</v>
      </c>
      <c r="J118" t="s">
        <v>115</v>
      </c>
      <c r="K118" t="s">
        <v>115</v>
      </c>
      <c r="L118" s="11">
        <f>VLOOKUP($I118,output!$A$9:$AI$2200,L$1-$L$1+2)</f>
        <v>0</v>
      </c>
      <c r="M118" s="11">
        <f>VLOOKUP($I118,output!$A$9:$AI$2200,M$1-$L$1+2)</f>
        <v>32.359000000000002</v>
      </c>
      <c r="N118" s="11">
        <f>VLOOKUP($I118,output!$A$9:$AI$2200,N$1-$L$1+2)</f>
        <v>45.906999999999996</v>
      </c>
      <c r="O118" s="11">
        <f>VLOOKUP($I118,output!$A$9:$AI$2200,O$1-$L$1+2)</f>
        <v>42.408999999999999</v>
      </c>
      <c r="P118" s="11">
        <f>VLOOKUP($I118,output!$A$9:$AI$2200,P$1-$L$1+2)</f>
        <v>35.186</v>
      </c>
      <c r="Q118" s="11">
        <f>VLOOKUP($I118,output!$A$9:$AI$2200,Q$1-$L$1+2)</f>
        <v>31.728000000000002</v>
      </c>
      <c r="R118" s="11">
        <f>VLOOKUP($I118,output!$A$9:$AI$2200,R$1-$L$1+2)</f>
        <v>28.925000000000001</v>
      </c>
      <c r="S118" s="11">
        <f>VLOOKUP($I118,output!$A$9:$AI$2200,S$1-$L$1+2)</f>
        <v>26.652000000000001</v>
      </c>
      <c r="T118" s="11">
        <f>VLOOKUP($I118,output!$A$9:$AI$2200,T$1-$L$1+2)</f>
        <v>24.248000000000001</v>
      </c>
      <c r="U118" s="11">
        <f>VLOOKUP($I118,output!$A$9:$AI$2200,U$1-$L$1+2)</f>
        <v>21.309000000000001</v>
      </c>
      <c r="V118" s="11">
        <f>VLOOKUP($I118,output!$A$9:$AI$2200,V$1-$L$1+2)</f>
        <v>19.260999999999999</v>
      </c>
      <c r="W118" s="11">
        <f>VLOOKUP($I118,output!$A$9:$AI$2200,W$1-$L$1+2)</f>
        <v>17.475999999999999</v>
      </c>
      <c r="X118" s="11">
        <f>VLOOKUP($I118,output!$A$9:$AI$2200,X$1-$L$1+2)</f>
        <v>15.827999999999999</v>
      </c>
      <c r="Y118" s="11">
        <f>VLOOKUP($I118,output!$A$9:$AI$2200,Y$1-$L$1+2)</f>
        <v>14.351000000000001</v>
      </c>
      <c r="Z118" s="11">
        <f>VLOOKUP($I118,output!$A$9:$AI$2200,Z$1-$L$1+2)</f>
        <v>13.082000000000001</v>
      </c>
      <c r="AA118" s="11">
        <f>VLOOKUP($I118,output!$A$9:$AI$2200,AA$1-$L$1+2)</f>
        <v>11.878</v>
      </c>
      <c r="AB118" s="11">
        <f>VLOOKUP($I118,output!$A$9:$AI$2200,AB$1-$L$1+2)</f>
        <v>10.25</v>
      </c>
      <c r="AC118" s="11">
        <f>VLOOKUP($I118,output!$A$9:$AI$2200,AC$1-$L$1+2)</f>
        <v>9.5739999999999998</v>
      </c>
      <c r="AD118" s="11">
        <f>VLOOKUP($I118,output!$A$9:$AI$2200,AD$1-$L$1+2)</f>
        <v>8.2110000000000003</v>
      </c>
      <c r="AE118" s="11">
        <f>VLOOKUP($I118,output!$A$9:$AI$2200,AE$1-$L$1+2)</f>
        <v>7.2709999999999999</v>
      </c>
      <c r="AF118" s="11">
        <f>VLOOKUP($I118,output!$A$9:$AI$2200,AF$1-$L$1+2)</f>
        <v>6.2649999999999997</v>
      </c>
      <c r="AG118" s="11">
        <f>VLOOKUP($I118,output!$A$9:$AI$2200,AG$1-$L$1+2)</f>
        <v>4.2450000000000001</v>
      </c>
      <c r="AH118" s="11">
        <f>VLOOKUP($I118,output!$A$9:$AI$2200,AH$1-$L$1+2)</f>
        <v>3.6190000000000002</v>
      </c>
      <c r="AI118" s="11">
        <f>VLOOKUP($I118,output!$A$9:$AI$2200,AI$1-$L$1+2)</f>
        <v>3.085</v>
      </c>
      <c r="AJ118" s="11">
        <f>VLOOKUP($I118,output!$A$9:$AI$2200,AJ$1-$L$1+2)</f>
        <v>2.5819999999999999</v>
      </c>
      <c r="AK118" s="11">
        <f>VLOOKUP($I118,output!$A$9:$AI$2200,AK$1-$L$1+2)</f>
        <v>2.0739999999999998</v>
      </c>
      <c r="AL118" s="11">
        <f>VLOOKUP($I118,output!$A$9:$AI$2200,AL$1-$L$1+2)</f>
        <v>1.599</v>
      </c>
      <c r="AM118" s="11">
        <f>VLOOKUP($I118,output!$A$9:$AI$2200,AM$1-$L$1+2)</f>
        <v>1.113</v>
      </c>
    </row>
    <row r="119" spans="9:39" x14ac:dyDescent="0.25">
      <c r="I119" t="s">
        <v>411</v>
      </c>
      <c r="J119" t="s">
        <v>115</v>
      </c>
      <c r="K119" t="s">
        <v>116</v>
      </c>
      <c r="L119" s="11">
        <f>VLOOKUP($I119,output!$A$9:$AI$2200,L$1-$L$1+2)</f>
        <v>0</v>
      </c>
      <c r="M119" s="11">
        <f>VLOOKUP($I119,output!$A$9:$AI$2200,M$1-$L$1+2)</f>
        <v>0.314</v>
      </c>
      <c r="N119" s="11">
        <f>VLOOKUP($I119,output!$A$9:$AI$2200,N$1-$L$1+2)</f>
        <v>0.441</v>
      </c>
      <c r="O119" s="11">
        <f>VLOOKUP($I119,output!$A$9:$AI$2200,O$1-$L$1+2)</f>
        <v>0.35699999999999998</v>
      </c>
      <c r="P119" s="11">
        <f>VLOOKUP($I119,output!$A$9:$AI$2200,P$1-$L$1+2)</f>
        <v>0.40400000000000003</v>
      </c>
      <c r="Q119" s="11">
        <f>VLOOKUP($I119,output!$A$9:$AI$2200,Q$1-$L$1+2)</f>
        <v>0.32500000000000001</v>
      </c>
      <c r="R119" s="11">
        <f>VLOOKUP($I119,output!$A$9:$AI$2200,R$1-$L$1+2)</f>
        <v>0.25600000000000001</v>
      </c>
      <c r="S119" s="11">
        <f>VLOOKUP($I119,output!$A$9:$AI$2200,S$1-$L$1+2)</f>
        <v>0.20200000000000001</v>
      </c>
      <c r="T119" s="11">
        <f>VLOOKUP($I119,output!$A$9:$AI$2200,T$1-$L$1+2)</f>
        <v>0.26200000000000001</v>
      </c>
      <c r="U119" s="11">
        <f>VLOOKUP($I119,output!$A$9:$AI$2200,U$1-$L$1+2)</f>
        <v>0.20899999999999999</v>
      </c>
      <c r="V119" s="11">
        <f>VLOOKUP($I119,output!$A$9:$AI$2200,V$1-$L$1+2)</f>
        <v>0.216</v>
      </c>
      <c r="W119" s="11">
        <f>VLOOKUP($I119,output!$A$9:$AI$2200,W$1-$L$1+2)</f>
        <v>0.222</v>
      </c>
      <c r="X119" s="11">
        <f>VLOOKUP($I119,output!$A$9:$AI$2200,X$1-$L$1+2)</f>
        <v>0.224</v>
      </c>
      <c r="Y119" s="11">
        <f>VLOOKUP($I119,output!$A$9:$AI$2200,Y$1-$L$1+2)</f>
        <v>0.13200000000000001</v>
      </c>
      <c r="Z119" s="11">
        <f>VLOOKUP($I119,output!$A$9:$AI$2200,Z$1-$L$1+2)</f>
        <v>0.125</v>
      </c>
      <c r="AA119" s="11">
        <f>VLOOKUP($I119,output!$A$9:$AI$2200,AA$1-$L$1+2)</f>
        <v>0.11799999999999999</v>
      </c>
      <c r="AB119" s="11">
        <f>VLOOKUP($I119,output!$A$9:$AI$2200,AB$1-$L$1+2)</f>
        <v>8.5000000000000006E-2</v>
      </c>
      <c r="AC119" s="11">
        <f>VLOOKUP($I119,output!$A$9:$AI$2200,AC$1-$L$1+2)</f>
        <v>9.8000000000000004E-2</v>
      </c>
      <c r="AD119" s="11">
        <f>VLOOKUP($I119,output!$A$9:$AI$2200,AD$1-$L$1+2)</f>
        <v>7.0999999999999994E-2</v>
      </c>
      <c r="AE119" s="11">
        <f>VLOOKUP($I119,output!$A$9:$AI$2200,AE$1-$L$1+2)</f>
        <v>6.2E-2</v>
      </c>
      <c r="AF119" s="11">
        <f>VLOOKUP($I119,output!$A$9:$AI$2200,AF$1-$L$1+2)</f>
        <v>4.4999999999999998E-2</v>
      </c>
      <c r="AG119" s="11">
        <f>VLOOKUP($I119,output!$A$9:$AI$2200,AG$1-$L$1+2)</f>
        <v>0.03</v>
      </c>
      <c r="AH119" s="11">
        <f>VLOOKUP($I119,output!$A$9:$AI$2200,AH$1-$L$1+2)</f>
        <v>1.9E-2</v>
      </c>
      <c r="AI119" s="11">
        <f>VLOOKUP($I119,output!$A$9:$AI$2200,AI$1-$L$1+2)</f>
        <v>2.3E-2</v>
      </c>
      <c r="AJ119" s="11">
        <f>VLOOKUP($I119,output!$A$9:$AI$2200,AJ$1-$L$1+2)</f>
        <v>1.4E-2</v>
      </c>
      <c r="AK119" s="11">
        <f>VLOOKUP($I119,output!$A$9:$AI$2200,AK$1-$L$1+2)</f>
        <v>1.2E-2</v>
      </c>
      <c r="AL119" s="11">
        <f>VLOOKUP($I119,output!$A$9:$AI$2200,AL$1-$L$1+2)</f>
        <v>8.9999999999999993E-3</v>
      </c>
      <c r="AM119" s="11">
        <f>VLOOKUP($I119,output!$A$9:$AI$2200,AM$1-$L$1+2)</f>
        <v>7.0000000000000001E-3</v>
      </c>
    </row>
    <row r="120" spans="9:39" x14ac:dyDescent="0.25">
      <c r="I120" t="s">
        <v>412</v>
      </c>
      <c r="J120" t="s">
        <v>116</v>
      </c>
      <c r="K120" t="s">
        <v>112</v>
      </c>
      <c r="L120" s="11">
        <f>VLOOKUP($I120,output!$A$9:$AI$2200,L$1-$L$1+2)</f>
        <v>0</v>
      </c>
      <c r="M120" s="11">
        <f>VLOOKUP($I120,output!$A$9:$AI$2200,M$1-$L$1+2)</f>
        <v>12.967000000000001</v>
      </c>
      <c r="N120" s="11">
        <f>VLOOKUP($I120,output!$A$9:$AI$2200,N$1-$L$1+2)</f>
        <v>11.289</v>
      </c>
      <c r="O120" s="11">
        <f>VLOOKUP($I120,output!$A$9:$AI$2200,O$1-$L$1+2)</f>
        <v>7.5730000000000004</v>
      </c>
      <c r="P120" s="11">
        <f>VLOOKUP($I120,output!$A$9:$AI$2200,P$1-$L$1+2)</f>
        <v>7.4450000000000003</v>
      </c>
      <c r="Q120" s="11">
        <f>VLOOKUP($I120,output!$A$9:$AI$2200,Q$1-$L$1+2)</f>
        <v>5.1479999999999997</v>
      </c>
      <c r="R120" s="11">
        <f>VLOOKUP($I120,output!$A$9:$AI$2200,R$1-$L$1+2)</f>
        <v>3.1840000000000002</v>
      </c>
      <c r="S120" s="11">
        <f>VLOOKUP($I120,output!$A$9:$AI$2200,S$1-$L$1+2)</f>
        <v>1.7190000000000001</v>
      </c>
      <c r="T120" s="11">
        <f>VLOOKUP($I120,output!$A$9:$AI$2200,T$1-$L$1+2)</f>
        <v>3.016</v>
      </c>
      <c r="U120" s="11">
        <f>VLOOKUP($I120,output!$A$9:$AI$2200,U$1-$L$1+2)</f>
        <v>1.7390000000000001</v>
      </c>
      <c r="V120" s="11">
        <f>VLOOKUP($I120,output!$A$9:$AI$2200,V$1-$L$1+2)</f>
        <v>1.8320000000000001</v>
      </c>
      <c r="W120" s="11">
        <f>VLOOKUP($I120,output!$A$9:$AI$2200,W$1-$L$1+2)</f>
        <v>1.9450000000000001</v>
      </c>
      <c r="X120" s="11">
        <f>VLOOKUP($I120,output!$A$9:$AI$2200,X$1-$L$1+2)</f>
        <v>1.9770000000000001</v>
      </c>
      <c r="Y120" s="11">
        <f>VLOOKUP($I120,output!$A$9:$AI$2200,Y$1-$L$1+2)</f>
        <v>1.7649999999999999</v>
      </c>
      <c r="Z120" s="11">
        <f>VLOOKUP($I120,output!$A$9:$AI$2200,Z$1-$L$1+2)</f>
        <v>1.86</v>
      </c>
      <c r="AA120" s="11">
        <f>VLOOKUP($I120,output!$A$9:$AI$2200,AA$1-$L$1+2)</f>
        <v>1.7709999999999999</v>
      </c>
      <c r="AB120" s="11">
        <f>VLOOKUP($I120,output!$A$9:$AI$2200,AB$1-$L$1+2)</f>
        <v>1.651</v>
      </c>
      <c r="AC120" s="11">
        <f>VLOOKUP($I120,output!$A$9:$AI$2200,AC$1-$L$1+2)</f>
        <v>1.5509999999999999</v>
      </c>
      <c r="AD120" s="11">
        <f>VLOOKUP($I120,output!$A$9:$AI$2200,AD$1-$L$1+2)</f>
        <v>1.2769999999999999</v>
      </c>
      <c r="AE120" s="11">
        <f>VLOOKUP($I120,output!$A$9:$AI$2200,AE$1-$L$1+2)</f>
        <v>1.0880000000000001</v>
      </c>
      <c r="AF120" s="11">
        <f>VLOOKUP($I120,output!$A$9:$AI$2200,AF$1-$L$1+2)</f>
        <v>0.91100000000000003</v>
      </c>
      <c r="AG120" s="11">
        <f>VLOOKUP($I120,output!$A$9:$AI$2200,AG$1-$L$1+2)</f>
        <v>0.185</v>
      </c>
      <c r="AH120" s="11">
        <f>VLOOKUP($I120,output!$A$9:$AI$2200,AH$1-$L$1+2)</f>
        <v>0.23200000000000001</v>
      </c>
      <c r="AI120" s="11">
        <f>VLOOKUP($I120,output!$A$9:$AI$2200,AI$1-$L$1+2)</f>
        <v>0.16300000000000001</v>
      </c>
      <c r="AJ120" s="11">
        <f>VLOOKUP($I120,output!$A$9:$AI$2200,AJ$1-$L$1+2)</f>
        <v>0.14000000000000001</v>
      </c>
      <c r="AK120" s="11">
        <f>VLOOKUP($I120,output!$A$9:$AI$2200,AK$1-$L$1+2)</f>
        <v>9.5000000000000001E-2</v>
      </c>
      <c r="AL120" s="11">
        <f>VLOOKUP($I120,output!$A$9:$AI$2200,AL$1-$L$1+2)</f>
        <v>5.8999999999999997E-2</v>
      </c>
      <c r="AM120" s="11">
        <f>VLOOKUP($I120,output!$A$9:$AI$2200,AM$1-$L$1+2)</f>
        <v>3.3000000000000002E-2</v>
      </c>
    </row>
    <row r="121" spans="9:39" x14ac:dyDescent="0.25">
      <c r="I121" t="s">
        <v>413</v>
      </c>
      <c r="J121" t="s">
        <v>116</v>
      </c>
      <c r="K121" t="s">
        <v>113</v>
      </c>
      <c r="L121" s="11">
        <f>VLOOKUP($I121,output!$A$9:$AI$2200,L$1-$L$1+2)</f>
        <v>0</v>
      </c>
      <c r="M121" s="11">
        <f>VLOOKUP($I121,output!$A$9:$AI$2200,M$1-$L$1+2)</f>
        <v>44.783000000000001</v>
      </c>
      <c r="N121" s="11">
        <f>VLOOKUP($I121,output!$A$9:$AI$2200,N$1-$L$1+2)</f>
        <v>37.072000000000003</v>
      </c>
      <c r="O121" s="11">
        <f>VLOOKUP($I121,output!$A$9:$AI$2200,O$1-$L$1+2)</f>
        <v>35.924999999999997</v>
      </c>
      <c r="P121" s="11">
        <f>VLOOKUP($I121,output!$A$9:$AI$2200,P$1-$L$1+2)</f>
        <v>37.976999999999997</v>
      </c>
      <c r="Q121" s="11">
        <f>VLOOKUP($I121,output!$A$9:$AI$2200,Q$1-$L$1+2)</f>
        <v>35.883000000000003</v>
      </c>
      <c r="R121" s="11">
        <f>VLOOKUP($I121,output!$A$9:$AI$2200,R$1-$L$1+2)</f>
        <v>33.938000000000002</v>
      </c>
      <c r="S121" s="11">
        <f>VLOOKUP($I121,output!$A$9:$AI$2200,S$1-$L$1+2)</f>
        <v>32.085999999999999</v>
      </c>
      <c r="T121" s="11">
        <f>VLOOKUP($I121,output!$A$9:$AI$2200,T$1-$L$1+2)</f>
        <v>31.106999999999999</v>
      </c>
      <c r="U121" s="11">
        <f>VLOOKUP($I121,output!$A$9:$AI$2200,U$1-$L$1+2)</f>
        <v>29.474</v>
      </c>
      <c r="V121" s="11">
        <f>VLOOKUP($I121,output!$A$9:$AI$2200,V$1-$L$1+2)</f>
        <v>27.46</v>
      </c>
      <c r="W121" s="11">
        <f>VLOOKUP($I121,output!$A$9:$AI$2200,W$1-$L$1+2)</f>
        <v>25.378</v>
      </c>
      <c r="X121" s="11">
        <f>VLOOKUP($I121,output!$A$9:$AI$2200,X$1-$L$1+2)</f>
        <v>23.306999999999999</v>
      </c>
      <c r="Y121" s="11">
        <f>VLOOKUP($I121,output!$A$9:$AI$2200,Y$1-$L$1+2)</f>
        <v>2.0880000000000001</v>
      </c>
      <c r="Z121" s="11">
        <f>VLOOKUP($I121,output!$A$9:$AI$2200,Z$1-$L$1+2)</f>
        <v>1.92</v>
      </c>
      <c r="AA121" s="11">
        <f>VLOOKUP($I121,output!$A$9:$AI$2200,AA$1-$L$1+2)</f>
        <v>1.7310000000000001</v>
      </c>
      <c r="AB121" s="11">
        <f>VLOOKUP($I121,output!$A$9:$AI$2200,AB$1-$L$1+2)</f>
        <v>1.53</v>
      </c>
      <c r="AC121" s="11">
        <f>VLOOKUP($I121,output!$A$9:$AI$2200,AC$1-$L$1+2)</f>
        <v>1.3779999999999999</v>
      </c>
      <c r="AD121" s="11">
        <f>VLOOKUP($I121,output!$A$9:$AI$2200,AD$1-$L$1+2)</f>
        <v>1.163</v>
      </c>
      <c r="AE121" s="11">
        <f>VLOOKUP($I121,output!$A$9:$AI$2200,AE$1-$L$1+2)</f>
        <v>1.004</v>
      </c>
      <c r="AF121" s="11">
        <f>VLOOKUP($I121,output!$A$9:$AI$2200,AF$1-$L$1+2)</f>
        <v>0.85099999999999998</v>
      </c>
      <c r="AG121" s="11">
        <f>VLOOKUP($I121,output!$A$9:$AI$2200,AG$1-$L$1+2)</f>
        <v>0.191</v>
      </c>
      <c r="AH121" s="11">
        <f>VLOOKUP($I121,output!$A$9:$AI$2200,AH$1-$L$1+2)</f>
        <v>0.23799999999999999</v>
      </c>
      <c r="AI121" s="11">
        <f>VLOOKUP($I121,output!$A$9:$AI$2200,AI$1-$L$1+2)</f>
        <v>0.17199999999999999</v>
      </c>
      <c r="AJ121" s="11">
        <f>VLOOKUP($I121,output!$A$9:$AI$2200,AJ$1-$L$1+2)</f>
        <v>0.15</v>
      </c>
      <c r="AK121" s="11">
        <f>VLOOKUP($I121,output!$A$9:$AI$2200,AK$1-$L$1+2)</f>
        <v>0.105</v>
      </c>
      <c r="AL121" s="11">
        <f>VLOOKUP($I121,output!$A$9:$AI$2200,AL$1-$L$1+2)</f>
        <v>6.8000000000000005E-2</v>
      </c>
      <c r="AM121" s="11">
        <f>VLOOKUP($I121,output!$A$9:$AI$2200,AM$1-$L$1+2)</f>
        <v>3.7999999999999999E-2</v>
      </c>
    </row>
    <row r="122" spans="9:39" x14ac:dyDescent="0.25">
      <c r="I122" t="s">
        <v>414</v>
      </c>
      <c r="J122" t="s">
        <v>116</v>
      </c>
      <c r="K122" t="s">
        <v>114</v>
      </c>
      <c r="L122" s="11">
        <f>VLOOKUP($I122,output!$A$9:$AI$2200,L$1-$L$1+2)</f>
        <v>0</v>
      </c>
      <c r="M122" s="11">
        <f>VLOOKUP($I122,output!$A$9:$AI$2200,M$1-$L$1+2)</f>
        <v>17.585000000000001</v>
      </c>
      <c r="N122" s="11">
        <f>VLOOKUP($I122,output!$A$9:$AI$2200,N$1-$L$1+2)</f>
        <v>11.581</v>
      </c>
      <c r="O122" s="11">
        <f>VLOOKUP($I122,output!$A$9:$AI$2200,O$1-$L$1+2)</f>
        <v>13.96</v>
      </c>
      <c r="P122" s="11">
        <f>VLOOKUP($I122,output!$A$9:$AI$2200,P$1-$L$1+2)</f>
        <v>12.321</v>
      </c>
      <c r="Q122" s="11">
        <f>VLOOKUP($I122,output!$A$9:$AI$2200,Q$1-$L$1+2)</f>
        <v>12.614000000000001</v>
      </c>
      <c r="R122" s="11">
        <f>VLOOKUP($I122,output!$A$9:$AI$2200,R$1-$L$1+2)</f>
        <v>12.852</v>
      </c>
      <c r="S122" s="11">
        <f>VLOOKUP($I122,output!$A$9:$AI$2200,S$1-$L$1+2)</f>
        <v>12.73</v>
      </c>
      <c r="T122" s="11">
        <f>VLOOKUP($I122,output!$A$9:$AI$2200,T$1-$L$1+2)</f>
        <v>9.1219999999999999</v>
      </c>
      <c r="U122" s="11">
        <f>VLOOKUP($I122,output!$A$9:$AI$2200,U$1-$L$1+2)</f>
        <v>9.2639999999999993</v>
      </c>
      <c r="V122" s="11">
        <f>VLOOKUP($I122,output!$A$9:$AI$2200,V$1-$L$1+2)</f>
        <v>7.5039999999999996</v>
      </c>
      <c r="W122" s="11">
        <f>VLOOKUP($I122,output!$A$9:$AI$2200,W$1-$L$1+2)</f>
        <v>5.9749999999999996</v>
      </c>
      <c r="X122" s="11">
        <f>VLOOKUP($I122,output!$A$9:$AI$2200,X$1-$L$1+2)</f>
        <v>4.7759999999999998</v>
      </c>
      <c r="Y122" s="11">
        <f>VLOOKUP($I122,output!$A$9:$AI$2200,Y$1-$L$1+2)</f>
        <v>2.1779999999999999</v>
      </c>
      <c r="Z122" s="11">
        <f>VLOOKUP($I122,output!$A$9:$AI$2200,Z$1-$L$1+2)</f>
        <v>1.484</v>
      </c>
      <c r="AA122" s="11">
        <f>VLOOKUP($I122,output!$A$9:$AI$2200,AA$1-$L$1+2)</f>
        <v>1.1040000000000001</v>
      </c>
      <c r="AB122" s="11">
        <f>VLOOKUP($I122,output!$A$9:$AI$2200,AB$1-$L$1+2)</f>
        <v>0.68899999999999995</v>
      </c>
      <c r="AC122" s="11">
        <f>VLOOKUP($I122,output!$A$9:$AI$2200,AC$1-$L$1+2)</f>
        <v>0.52200000000000002</v>
      </c>
      <c r="AD122" s="11">
        <f>VLOOKUP($I122,output!$A$9:$AI$2200,AD$1-$L$1+2)</f>
        <v>0.40400000000000003</v>
      </c>
      <c r="AE122" s="11">
        <f>VLOOKUP($I122,output!$A$9:$AI$2200,AE$1-$L$1+2)</f>
        <v>0.33500000000000002</v>
      </c>
      <c r="AF122" s="11">
        <f>VLOOKUP($I122,output!$A$9:$AI$2200,AF$1-$L$1+2)</f>
        <v>0.251</v>
      </c>
      <c r="AG122" s="11">
        <f>VLOOKUP($I122,output!$A$9:$AI$2200,AG$1-$L$1+2)</f>
        <v>0.13300000000000001</v>
      </c>
      <c r="AH122" s="11">
        <f>VLOOKUP($I122,output!$A$9:$AI$2200,AH$1-$L$1+2)</f>
        <v>0.10299999999999999</v>
      </c>
      <c r="AI122" s="11">
        <f>VLOOKUP($I122,output!$A$9:$AI$2200,AI$1-$L$1+2)</f>
        <v>9.5000000000000001E-2</v>
      </c>
      <c r="AJ122" s="11">
        <f>VLOOKUP($I122,output!$A$9:$AI$2200,AJ$1-$L$1+2)</f>
        <v>6.5000000000000002E-2</v>
      </c>
      <c r="AK122" s="11">
        <f>VLOOKUP($I122,output!$A$9:$AI$2200,AK$1-$L$1+2)</f>
        <v>4.9000000000000002E-2</v>
      </c>
      <c r="AL122" s="11">
        <f>VLOOKUP($I122,output!$A$9:$AI$2200,AL$1-$L$1+2)</f>
        <v>3.5999999999999997E-2</v>
      </c>
      <c r="AM122" s="11">
        <f>VLOOKUP($I122,output!$A$9:$AI$2200,AM$1-$L$1+2)</f>
        <v>2.3E-2</v>
      </c>
    </row>
    <row r="123" spans="9:39" x14ac:dyDescent="0.25">
      <c r="I123" t="s">
        <v>415</v>
      </c>
      <c r="J123" t="s">
        <v>116</v>
      </c>
      <c r="K123" t="s">
        <v>115</v>
      </c>
      <c r="L123" s="11">
        <f>VLOOKUP($I123,output!$A$9:$AI$2200,L$1-$L$1+2)</f>
        <v>0</v>
      </c>
      <c r="M123" s="11">
        <f>VLOOKUP($I123,output!$A$9:$AI$2200,M$1-$L$1+2)</f>
        <v>8.3759999999999994</v>
      </c>
      <c r="N123" s="11">
        <f>VLOOKUP($I123,output!$A$9:$AI$2200,N$1-$L$1+2)</f>
        <v>13.169</v>
      </c>
      <c r="O123" s="11">
        <f>VLOOKUP($I123,output!$A$9:$AI$2200,O$1-$L$1+2)</f>
        <v>11.92</v>
      </c>
      <c r="P123" s="11">
        <f>VLOOKUP($I123,output!$A$9:$AI$2200,P$1-$L$1+2)</f>
        <v>8.58</v>
      </c>
      <c r="Q123" s="11">
        <f>VLOOKUP($I123,output!$A$9:$AI$2200,Q$1-$L$1+2)</f>
        <v>7.4059999999999997</v>
      </c>
      <c r="R123" s="11">
        <f>VLOOKUP($I123,output!$A$9:$AI$2200,R$1-$L$1+2)</f>
        <v>6.3529999999999998</v>
      </c>
      <c r="S123" s="11">
        <f>VLOOKUP($I123,output!$A$9:$AI$2200,S$1-$L$1+2)</f>
        <v>5.4779999999999998</v>
      </c>
      <c r="T123" s="11">
        <f>VLOOKUP($I123,output!$A$9:$AI$2200,T$1-$L$1+2)</f>
        <v>4.5519999999999996</v>
      </c>
      <c r="U123" s="11">
        <f>VLOOKUP($I123,output!$A$9:$AI$2200,U$1-$L$1+2)</f>
        <v>3.7669999999999999</v>
      </c>
      <c r="V123" s="11">
        <f>VLOOKUP($I123,output!$A$9:$AI$2200,V$1-$L$1+2)</f>
        <v>3.1309999999999998</v>
      </c>
      <c r="W123" s="11">
        <f>VLOOKUP($I123,output!$A$9:$AI$2200,W$1-$L$1+2)</f>
        <v>2.6179999999999999</v>
      </c>
      <c r="X123" s="11">
        <f>VLOOKUP($I123,output!$A$9:$AI$2200,X$1-$L$1+2)</f>
        <v>2.173</v>
      </c>
      <c r="Y123" s="11">
        <f>VLOOKUP($I123,output!$A$9:$AI$2200,Y$1-$L$1+2)</f>
        <v>0.04</v>
      </c>
      <c r="Z123" s="11">
        <f>VLOOKUP($I123,output!$A$9:$AI$2200,Z$1-$L$1+2)</f>
        <v>3.5999999999999997E-2</v>
      </c>
      <c r="AA123" s="11">
        <f>VLOOKUP($I123,output!$A$9:$AI$2200,AA$1-$L$1+2)</f>
        <v>3.2000000000000001E-2</v>
      </c>
      <c r="AB123" s="11">
        <f>VLOOKUP($I123,output!$A$9:$AI$2200,AB$1-$L$1+2)</f>
        <v>2.9000000000000001E-2</v>
      </c>
      <c r="AC123" s="11">
        <f>VLOOKUP($I123,output!$A$9:$AI$2200,AC$1-$L$1+2)</f>
        <v>2.5999999999999999E-2</v>
      </c>
      <c r="AD123" s="11">
        <f>VLOOKUP($I123,output!$A$9:$AI$2200,AD$1-$L$1+2)</f>
        <v>2.1999999999999999E-2</v>
      </c>
      <c r="AE123" s="11">
        <f>VLOOKUP($I123,output!$A$9:$AI$2200,AE$1-$L$1+2)</f>
        <v>0.02</v>
      </c>
      <c r="AF123" s="11">
        <f>VLOOKUP($I123,output!$A$9:$AI$2200,AF$1-$L$1+2)</f>
        <v>1.7000000000000001E-2</v>
      </c>
      <c r="AG123" s="11">
        <f>VLOOKUP($I123,output!$A$9:$AI$2200,AG$1-$L$1+2)</f>
        <v>4.0000000000000001E-3</v>
      </c>
      <c r="AH123" s="11">
        <f>VLOOKUP($I123,output!$A$9:$AI$2200,AH$1-$L$1+2)</f>
        <v>5.0000000000000001E-3</v>
      </c>
      <c r="AI123" s="11">
        <f>VLOOKUP($I123,output!$A$9:$AI$2200,AI$1-$L$1+2)</f>
        <v>3.0000000000000001E-3</v>
      </c>
      <c r="AJ123" s="11">
        <f>VLOOKUP($I123,output!$A$9:$AI$2200,AJ$1-$L$1+2)</f>
        <v>3.0000000000000001E-3</v>
      </c>
      <c r="AK123" s="11">
        <f>VLOOKUP($I123,output!$A$9:$AI$2200,AK$1-$L$1+2)</f>
        <v>2E-3</v>
      </c>
      <c r="AL123" s="11">
        <f>VLOOKUP($I123,output!$A$9:$AI$2200,AL$1-$L$1+2)</f>
        <v>1E-3</v>
      </c>
      <c r="AM123" s="11">
        <f>VLOOKUP($I123,output!$A$9:$AI$2200,AM$1-$L$1+2)</f>
        <v>1E-3</v>
      </c>
    </row>
    <row r="124" spans="9:39" x14ac:dyDescent="0.25">
      <c r="I124" t="s">
        <v>416</v>
      </c>
      <c r="J124" t="s">
        <v>116</v>
      </c>
      <c r="K124" t="s">
        <v>116</v>
      </c>
      <c r="L124" s="11">
        <f>VLOOKUP($I124,output!$A$9:$AI$2200,L$1-$L$1+2)</f>
        <v>0</v>
      </c>
      <c r="M124" s="11">
        <f>VLOOKUP($I124,output!$A$9:$AI$2200,M$1-$L$1+2)</f>
        <v>6.6440000000000001</v>
      </c>
      <c r="N124" s="11">
        <f>VLOOKUP($I124,output!$A$9:$AI$2200,N$1-$L$1+2)</f>
        <v>9.1660000000000004</v>
      </c>
      <c r="O124" s="11">
        <f>VLOOKUP($I124,output!$A$9:$AI$2200,O$1-$L$1+2)</f>
        <v>7.3440000000000003</v>
      </c>
      <c r="P124" s="11">
        <f>VLOOKUP($I124,output!$A$9:$AI$2200,P$1-$L$1+2)</f>
        <v>5.9409999999999998</v>
      </c>
      <c r="Q124" s="11">
        <f>VLOOKUP($I124,output!$A$9:$AI$2200,Q$1-$L$1+2)</f>
        <v>4.734</v>
      </c>
      <c r="R124" s="11">
        <f>VLOOKUP($I124,output!$A$9:$AI$2200,R$1-$L$1+2)</f>
        <v>3.754</v>
      </c>
      <c r="S124" s="11">
        <f>VLOOKUP($I124,output!$A$9:$AI$2200,S$1-$L$1+2)</f>
        <v>3.0059999999999998</v>
      </c>
      <c r="T124" s="11">
        <f>VLOOKUP($I124,output!$A$9:$AI$2200,T$1-$L$1+2)</f>
        <v>2.843</v>
      </c>
      <c r="U124" s="11">
        <f>VLOOKUP($I124,output!$A$9:$AI$2200,U$1-$L$1+2)</f>
        <v>2.246</v>
      </c>
      <c r="V124" s="11">
        <f>VLOOKUP($I124,output!$A$9:$AI$2200,V$1-$L$1+2)</f>
        <v>1.976</v>
      </c>
      <c r="W124" s="11">
        <f>VLOOKUP($I124,output!$A$9:$AI$2200,W$1-$L$1+2)</f>
        <v>1.754</v>
      </c>
      <c r="X124" s="11">
        <f>VLOOKUP($I124,output!$A$9:$AI$2200,X$1-$L$1+2)</f>
        <v>1.55</v>
      </c>
      <c r="Y124" s="11">
        <f>VLOOKUP($I124,output!$A$9:$AI$2200,Y$1-$L$1+2)</f>
        <v>1.095</v>
      </c>
      <c r="Z124" s="11">
        <f>VLOOKUP($I124,output!$A$9:$AI$2200,Z$1-$L$1+2)</f>
        <v>1.002</v>
      </c>
      <c r="AA124" s="11">
        <f>VLOOKUP($I124,output!$A$9:$AI$2200,AA$1-$L$1+2)</f>
        <v>0.89500000000000002</v>
      </c>
      <c r="AB124" s="11">
        <f>VLOOKUP($I124,output!$A$9:$AI$2200,AB$1-$L$1+2)</f>
        <v>0.77200000000000002</v>
      </c>
      <c r="AC124" s="11">
        <f>VLOOKUP($I124,output!$A$9:$AI$2200,AC$1-$L$1+2)</f>
        <v>0.70099999999999996</v>
      </c>
      <c r="AD124" s="11">
        <f>VLOOKUP($I124,output!$A$9:$AI$2200,AD$1-$L$1+2)</f>
        <v>0.58099999999999996</v>
      </c>
      <c r="AE124" s="11">
        <f>VLOOKUP($I124,output!$A$9:$AI$2200,AE$1-$L$1+2)</f>
        <v>0.49399999999999999</v>
      </c>
      <c r="AF124" s="11">
        <f>VLOOKUP($I124,output!$A$9:$AI$2200,AF$1-$L$1+2)</f>
        <v>0.41299999999999998</v>
      </c>
      <c r="AG124" s="11">
        <f>VLOOKUP($I124,output!$A$9:$AI$2200,AG$1-$L$1+2)</f>
        <v>0.255</v>
      </c>
      <c r="AH124" s="11">
        <f>VLOOKUP($I124,output!$A$9:$AI$2200,AH$1-$L$1+2)</f>
        <v>0.21299999999999999</v>
      </c>
      <c r="AI124" s="11">
        <f>VLOOKUP($I124,output!$A$9:$AI$2200,AI$1-$L$1+2)</f>
        <v>0.17100000000000001</v>
      </c>
      <c r="AJ124" s="11">
        <f>VLOOKUP($I124,output!$A$9:$AI$2200,AJ$1-$L$1+2)</f>
        <v>0.13900000000000001</v>
      </c>
      <c r="AK124" s="11">
        <f>VLOOKUP($I124,output!$A$9:$AI$2200,AK$1-$L$1+2)</f>
        <v>0.106</v>
      </c>
      <c r="AL124" s="11">
        <f>VLOOKUP($I124,output!$A$9:$AI$2200,AL$1-$L$1+2)</f>
        <v>7.6999999999999999E-2</v>
      </c>
      <c r="AM124" s="11">
        <f>VLOOKUP($I124,output!$A$9:$AI$2200,AM$1-$L$1+2)</f>
        <v>5.0999999999999997E-2</v>
      </c>
    </row>
    <row r="125" spans="9:39" x14ac:dyDescent="0.25">
      <c r="I125" s="19"/>
      <c r="L125" s="11"/>
    </row>
    <row r="126" spans="9:39" x14ac:dyDescent="0.25">
      <c r="K126" t="s">
        <v>442</v>
      </c>
      <c r="L126" s="11"/>
    </row>
    <row r="127" spans="9:39" x14ac:dyDescent="0.25">
      <c r="J127" t="s">
        <v>441</v>
      </c>
      <c r="K127" t="s">
        <v>110</v>
      </c>
      <c r="L127" s="11" t="s">
        <v>111</v>
      </c>
      <c r="M127" t="s">
        <v>112</v>
      </c>
      <c r="N127" t="s">
        <v>113</v>
      </c>
      <c r="O127" t="s">
        <v>114</v>
      </c>
      <c r="P127" t="s">
        <v>115</v>
      </c>
      <c r="Q127" t="s">
        <v>116</v>
      </c>
    </row>
    <row r="128" spans="9:39" x14ac:dyDescent="0.25">
      <c r="J128" t="s">
        <v>110</v>
      </c>
      <c r="L128" s="11"/>
    </row>
    <row r="129" spans="10:12" x14ac:dyDescent="0.25">
      <c r="J129" t="s">
        <v>111</v>
      </c>
      <c r="L129" s="11"/>
    </row>
    <row r="130" spans="10:12" x14ac:dyDescent="0.25">
      <c r="J130" s="8" t="s">
        <v>112</v>
      </c>
      <c r="L130" s="11"/>
    </row>
    <row r="131" spans="10:12" x14ac:dyDescent="0.25">
      <c r="J131" t="s">
        <v>113</v>
      </c>
      <c r="L131" s="11"/>
    </row>
    <row r="132" spans="10:12" x14ac:dyDescent="0.25">
      <c r="J132" t="s">
        <v>114</v>
      </c>
      <c r="L132" s="11"/>
    </row>
    <row r="133" spans="10:12" x14ac:dyDescent="0.25">
      <c r="J133" t="s">
        <v>115</v>
      </c>
      <c r="L133" s="11"/>
    </row>
    <row r="134" spans="10:12" x14ac:dyDescent="0.25">
      <c r="J134" t="s">
        <v>116</v>
      </c>
      <c r="L134" s="11"/>
    </row>
    <row r="135" spans="10:12" x14ac:dyDescent="0.25">
      <c r="L135" s="11"/>
    </row>
  </sheetData>
  <mergeCells count="1">
    <mergeCell ref="J90:K90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CC10-84D0-436D-A6C4-E55A959A1665}">
  <dimension ref="A1:AN264"/>
  <sheetViews>
    <sheetView topLeftCell="K1" zoomScale="90" zoomScaleNormal="90" workbookViewId="0">
      <pane ySplit="1" topLeftCell="A68" activePane="bottomLeft" state="frozen"/>
      <selection pane="bottomLeft" activeCell="M76" sqref="M76:S76"/>
    </sheetView>
  </sheetViews>
  <sheetFormatPr baseColWidth="10" defaultRowHeight="15" x14ac:dyDescent="0.25"/>
  <cols>
    <col min="1" max="8" width="11.42578125" style="115"/>
    <col min="9" max="9" width="53.85546875" style="115" customWidth="1"/>
    <col min="10" max="10" width="62" style="115" bestFit="1" customWidth="1"/>
    <col min="11" max="11" width="35.42578125" style="115" customWidth="1"/>
    <col min="12" max="12" width="11.42578125" style="115" customWidth="1"/>
    <col min="13" max="16384" width="11.42578125" style="115"/>
  </cols>
  <sheetData>
    <row r="1" spans="10:39" x14ac:dyDescent="0.25">
      <c r="L1" s="116">
        <v>2023</v>
      </c>
      <c r="M1" s="116">
        <v>2024</v>
      </c>
      <c r="N1" s="116">
        <v>2025</v>
      </c>
      <c r="O1" s="116">
        <v>2026</v>
      </c>
      <c r="P1" s="116">
        <v>2027</v>
      </c>
      <c r="Q1" s="116">
        <v>2028</v>
      </c>
      <c r="R1" s="116">
        <v>2029</v>
      </c>
      <c r="S1" s="116">
        <v>2030</v>
      </c>
      <c r="T1" s="116">
        <v>2031</v>
      </c>
      <c r="U1" s="116">
        <v>2032</v>
      </c>
      <c r="V1" s="116">
        <v>2033</v>
      </c>
      <c r="W1" s="116">
        <v>2034</v>
      </c>
      <c r="X1" s="116">
        <v>2035</v>
      </c>
      <c r="Y1" s="116">
        <v>2036</v>
      </c>
      <c r="Z1" s="116">
        <v>2037</v>
      </c>
      <c r="AA1" s="116">
        <v>2038</v>
      </c>
      <c r="AB1" s="116">
        <v>2039</v>
      </c>
      <c r="AC1" s="116">
        <v>2040</v>
      </c>
      <c r="AD1" s="116">
        <v>2041</v>
      </c>
      <c r="AE1" s="116">
        <v>2042</v>
      </c>
      <c r="AF1" s="116">
        <v>2043</v>
      </c>
      <c r="AG1" s="116">
        <v>2044</v>
      </c>
      <c r="AH1" s="116">
        <v>2045</v>
      </c>
      <c r="AI1" s="116">
        <v>2046</v>
      </c>
      <c r="AJ1" s="116">
        <v>2047</v>
      </c>
      <c r="AK1" s="116">
        <v>2048</v>
      </c>
      <c r="AL1" s="116">
        <v>2049</v>
      </c>
      <c r="AM1" s="116">
        <v>2050</v>
      </c>
    </row>
    <row r="2" spans="10:39" x14ac:dyDescent="0.25">
      <c r="J2" s="116" t="s">
        <v>189</v>
      </c>
    </row>
    <row r="3" spans="10:39" x14ac:dyDescent="0.25">
      <c r="J3" s="115" t="s">
        <v>24</v>
      </c>
      <c r="K3" s="115" t="s">
        <v>123</v>
      </c>
      <c r="L3" s="117">
        <f>VLOOKUP($J3,output!$A$9:$AI$2200,L$1-$L$1+2)</f>
        <v>0</v>
      </c>
      <c r="M3" s="117">
        <f>VLOOKUP($J3,output!$A$9:$AI$2200,M$1-$L$1+2)</f>
        <v>5.8999999999999997E-2</v>
      </c>
      <c r="N3" s="117">
        <f>VLOOKUP($J3,output!$A$9:$AI$2200,N$1-$L$1+2)</f>
        <v>1.4E-2</v>
      </c>
      <c r="O3" s="117">
        <f>VLOOKUP($J3,output!$A$9:$AI$2200,O$1-$L$1+2)</f>
        <v>6.0000000000000001E-3</v>
      </c>
      <c r="P3" s="117">
        <f>VLOOKUP($J3,output!$A$9:$AI$2200,P$1-$L$1+2)</f>
        <v>3.0000000000000001E-3</v>
      </c>
      <c r="Q3" s="117">
        <f>VLOOKUP($J3,output!$A$9:$AI$2200,Q$1-$L$1+2)</f>
        <v>2E-3</v>
      </c>
      <c r="R3" s="117">
        <f>VLOOKUP($J3,output!$A$9:$AI$2200,R$1-$L$1+2)</f>
        <v>2E-3</v>
      </c>
      <c r="S3" s="117">
        <f>VLOOKUP($J3,output!$A$9:$AI$2200,S$1-$L$1+2)</f>
        <v>1E-3</v>
      </c>
      <c r="T3" s="117">
        <f>VLOOKUP($J3,output!$A$9:$AI$2200,T$1-$L$1+2)</f>
        <v>2E-3</v>
      </c>
      <c r="U3" s="117">
        <f>VLOOKUP($J3,output!$A$9:$AI$2200,U$1-$L$1+2)</f>
        <v>2E-3</v>
      </c>
      <c r="V3" s="117">
        <f>VLOOKUP($J3,output!$A$9:$AI$2200,V$1-$L$1+2)</f>
        <v>2E-3</v>
      </c>
      <c r="W3" s="117">
        <f>VLOOKUP($J3,output!$A$9:$AI$2200,W$1-$L$1+2)</f>
        <v>1E-3</v>
      </c>
      <c r="X3" s="117">
        <f>VLOOKUP($J3,output!$A$9:$AI$2200,X$1-$L$1+2)</f>
        <v>1E-3</v>
      </c>
      <c r="Y3" s="117">
        <f>VLOOKUP($J3,output!$A$9:$AI$2200,Y$1-$L$1+2)</f>
        <v>1E-3</v>
      </c>
      <c r="Z3" s="117">
        <f>VLOOKUP($J3,output!$A$9:$AI$2200,Z$1-$L$1+2)</f>
        <v>1E-3</v>
      </c>
      <c r="AA3" s="117">
        <f>VLOOKUP($J3,output!$A$9:$AI$2200,AA$1-$L$1+2)</f>
        <v>1E-3</v>
      </c>
      <c r="AB3" s="117">
        <f>VLOOKUP($J3,output!$A$9:$AI$2200,AB$1-$L$1+2)</f>
        <v>1E-3</v>
      </c>
      <c r="AC3" s="117">
        <f>VLOOKUP($J3,output!$A$9:$AI$2200,AC$1-$L$1+2)</f>
        <v>1E-3</v>
      </c>
      <c r="AD3" s="117">
        <f>VLOOKUP($J3,output!$A$9:$AI$2200,AD$1-$L$1+2)</f>
        <v>0</v>
      </c>
      <c r="AE3" s="117">
        <f>VLOOKUP($J3,output!$A$9:$AI$2200,AE$1-$L$1+2)</f>
        <v>0</v>
      </c>
      <c r="AF3" s="117">
        <f>VLOOKUP($J3,output!$A$9:$AI$2200,AF$1-$L$1+2)</f>
        <v>0</v>
      </c>
      <c r="AG3" s="117">
        <f>VLOOKUP($J3,output!$A$9:$AI$2200,AG$1-$L$1+2)</f>
        <v>0</v>
      </c>
      <c r="AH3" s="117">
        <f>VLOOKUP($J3,output!$A$9:$AI$2200,AH$1-$L$1+2)</f>
        <v>0</v>
      </c>
      <c r="AI3" s="117">
        <f>VLOOKUP($J3,output!$A$9:$AI$2200,AI$1-$L$1+2)</f>
        <v>0</v>
      </c>
      <c r="AJ3" s="117">
        <f>VLOOKUP($J3,output!$A$9:$AI$2200,AJ$1-$L$1+2)</f>
        <v>0</v>
      </c>
      <c r="AK3" s="117">
        <f>VLOOKUP($J3,output!$A$9:$AI$2200,AK$1-$L$1+2)</f>
        <v>0</v>
      </c>
      <c r="AL3" s="117">
        <f>VLOOKUP($J3,output!$A$9:$AI$2200,AL$1-$L$1+2)</f>
        <v>0</v>
      </c>
      <c r="AM3" s="117">
        <f>VLOOKUP($J3,output!$A$9:$AI$2200,AM$1-$L$1+2)</f>
        <v>0</v>
      </c>
    </row>
    <row r="4" spans="10:39" x14ac:dyDescent="0.25">
      <c r="J4" s="115" t="s">
        <v>25</v>
      </c>
      <c r="K4" s="115" t="s">
        <v>124</v>
      </c>
      <c r="L4" s="117">
        <f>VLOOKUP($J4,output!$A$9:$AI$2200,L$1-$L$1+2)</f>
        <v>0</v>
      </c>
      <c r="M4" s="117">
        <f>VLOOKUP($J4,output!$A$9:$AI$2200,M$1-$L$1+2)</f>
        <v>0.77300000000000002</v>
      </c>
      <c r="N4" s="117">
        <f>VLOOKUP($J4,output!$A$9:$AI$2200,N$1-$L$1+2)</f>
        <v>0.31</v>
      </c>
      <c r="O4" s="117">
        <f>VLOOKUP($J4,output!$A$9:$AI$2200,O$1-$L$1+2)</f>
        <v>0.24099999999999999</v>
      </c>
      <c r="P4" s="117">
        <f>VLOOKUP($J4,output!$A$9:$AI$2200,P$1-$L$1+2)</f>
        <v>0.27900000000000003</v>
      </c>
      <c r="Q4" s="117">
        <f>VLOOKUP($J4,output!$A$9:$AI$2200,Q$1-$L$1+2)</f>
        <v>0.23</v>
      </c>
      <c r="R4" s="117">
        <f>VLOOKUP($J4,output!$A$9:$AI$2200,R$1-$L$1+2)</f>
        <v>0.182</v>
      </c>
      <c r="S4" s="117">
        <f>VLOOKUP($J4,output!$A$9:$AI$2200,S$1-$L$1+2)</f>
        <v>0.16</v>
      </c>
      <c r="T4" s="117">
        <f>VLOOKUP($J4,output!$A$9:$AI$2200,T$1-$L$1+2)</f>
        <v>0.14299999999999999</v>
      </c>
      <c r="U4" s="117">
        <f>VLOOKUP($J4,output!$A$9:$AI$2200,U$1-$L$1+2)</f>
        <v>0.14199999999999999</v>
      </c>
      <c r="V4" s="117">
        <f>VLOOKUP($J4,output!$A$9:$AI$2200,V$1-$L$1+2)</f>
        <v>0.125</v>
      </c>
      <c r="W4" s="117">
        <f>VLOOKUP($J4,output!$A$9:$AI$2200,W$1-$L$1+2)</f>
        <v>0.11</v>
      </c>
      <c r="X4" s="117">
        <f>VLOOKUP($J4,output!$A$9:$AI$2200,X$1-$L$1+2)</f>
        <v>9.7000000000000003E-2</v>
      </c>
      <c r="Y4" s="117">
        <f>VLOOKUP($J4,output!$A$9:$AI$2200,Y$1-$L$1+2)</f>
        <v>6.4000000000000001E-2</v>
      </c>
      <c r="Z4" s="117">
        <f>VLOOKUP($J4,output!$A$9:$AI$2200,Z$1-$L$1+2)</f>
        <v>5.7000000000000002E-2</v>
      </c>
      <c r="AA4" s="117">
        <f>VLOOKUP($J4,output!$A$9:$AI$2200,AA$1-$L$1+2)</f>
        <v>0.05</v>
      </c>
      <c r="AB4" s="117">
        <f>VLOOKUP($J4,output!$A$9:$AI$2200,AB$1-$L$1+2)</f>
        <v>4.3999999999999997E-2</v>
      </c>
      <c r="AC4" s="117">
        <f>VLOOKUP($J4,output!$A$9:$AI$2200,AC$1-$L$1+2)</f>
        <v>3.7999999999999999E-2</v>
      </c>
      <c r="AD4" s="117">
        <f>VLOOKUP($J4,output!$A$9:$AI$2200,AD$1-$L$1+2)</f>
        <v>3.3000000000000002E-2</v>
      </c>
      <c r="AE4" s="117">
        <f>VLOOKUP($J4,output!$A$9:$AI$2200,AE$1-$L$1+2)</f>
        <v>2.8000000000000001E-2</v>
      </c>
      <c r="AF4" s="117">
        <f>VLOOKUP($J4,output!$A$9:$AI$2200,AF$1-$L$1+2)</f>
        <v>2.4E-2</v>
      </c>
      <c r="AG4" s="117">
        <f>VLOOKUP($J4,output!$A$9:$AI$2200,AG$1-$L$1+2)</f>
        <v>1.9E-2</v>
      </c>
      <c r="AH4" s="117">
        <f>VLOOKUP($J4,output!$A$9:$AI$2200,AH$1-$L$1+2)</f>
        <v>1.6E-2</v>
      </c>
      <c r="AI4" s="117">
        <f>VLOOKUP($J4,output!$A$9:$AI$2200,AI$1-$L$1+2)</f>
        <v>1.2999999999999999E-2</v>
      </c>
      <c r="AJ4" s="117">
        <f>VLOOKUP($J4,output!$A$9:$AI$2200,AJ$1-$L$1+2)</f>
        <v>1.0999999999999999E-2</v>
      </c>
      <c r="AK4" s="117">
        <f>VLOOKUP($J4,output!$A$9:$AI$2200,AK$1-$L$1+2)</f>
        <v>8.0000000000000002E-3</v>
      </c>
      <c r="AL4" s="117">
        <f>VLOOKUP($J4,output!$A$9:$AI$2200,AL$1-$L$1+2)</f>
        <v>6.0000000000000001E-3</v>
      </c>
      <c r="AM4" s="117">
        <f>VLOOKUP($J4,output!$A$9:$AI$2200,AM$1-$L$1+2)</f>
        <v>4.0000000000000001E-3</v>
      </c>
    </row>
    <row r="5" spans="10:39" x14ac:dyDescent="0.25">
      <c r="J5" s="115" t="s">
        <v>26</v>
      </c>
      <c r="K5" s="115" t="s">
        <v>125</v>
      </c>
      <c r="L5" s="117">
        <f>VLOOKUP($J5,output!$A$9:$AI$2200,L$1-$L$1+2)</f>
        <v>0</v>
      </c>
      <c r="M5" s="117">
        <f>VLOOKUP($J5,output!$A$9:$AI$2200,M$1-$L$1+2)</f>
        <v>61.33</v>
      </c>
      <c r="N5" s="117">
        <f>VLOOKUP($J5,output!$A$9:$AI$2200,N$1-$L$1+2)</f>
        <v>40.121000000000002</v>
      </c>
      <c r="O5" s="117">
        <f>VLOOKUP($J5,output!$A$9:$AI$2200,O$1-$L$1+2)</f>
        <v>29.405000000000001</v>
      </c>
      <c r="P5" s="117">
        <f>VLOOKUP($J5,output!$A$9:$AI$2200,P$1-$L$1+2)</f>
        <v>29.236999999999998</v>
      </c>
      <c r="Q5" s="117">
        <f>VLOOKUP($J5,output!$A$9:$AI$2200,Q$1-$L$1+2)</f>
        <v>22.59</v>
      </c>
      <c r="R5" s="117">
        <f>VLOOKUP($J5,output!$A$9:$AI$2200,R$1-$L$1+2)</f>
        <v>17.082999999999998</v>
      </c>
      <c r="S5" s="117">
        <f>VLOOKUP($J5,output!$A$9:$AI$2200,S$1-$L$1+2)</f>
        <v>13.109</v>
      </c>
      <c r="T5" s="117">
        <f>VLOOKUP($J5,output!$A$9:$AI$2200,T$1-$L$1+2)</f>
        <v>12.311</v>
      </c>
      <c r="U5" s="117">
        <f>VLOOKUP($J5,output!$A$9:$AI$2200,U$1-$L$1+2)</f>
        <v>9.9390000000000001</v>
      </c>
      <c r="V5" s="117">
        <f>VLOOKUP($J5,output!$A$9:$AI$2200,V$1-$L$1+2)</f>
        <v>8.3919999999999995</v>
      </c>
      <c r="W5" s="117">
        <f>VLOOKUP($J5,output!$A$9:$AI$2200,W$1-$L$1+2)</f>
        <v>7.2089999999999996</v>
      </c>
      <c r="X5" s="117">
        <f>VLOOKUP($J5,output!$A$9:$AI$2200,X$1-$L$1+2)</f>
        <v>6.1890000000000001</v>
      </c>
      <c r="Y5" s="117">
        <f>VLOOKUP($J5,output!$A$9:$AI$2200,Y$1-$L$1+2)</f>
        <v>5.15</v>
      </c>
      <c r="Z5" s="117">
        <f>VLOOKUP($J5,output!$A$9:$AI$2200,Z$1-$L$1+2)</f>
        <v>4.6310000000000002</v>
      </c>
      <c r="AA5" s="117">
        <f>VLOOKUP($J5,output!$A$9:$AI$2200,AA$1-$L$1+2)</f>
        <v>4.04</v>
      </c>
      <c r="AB5" s="117">
        <f>VLOOKUP($J5,output!$A$9:$AI$2200,AB$1-$L$1+2)</f>
        <v>3.5059999999999998</v>
      </c>
      <c r="AC5" s="117">
        <f>VLOOKUP($J5,output!$A$9:$AI$2200,AC$1-$L$1+2)</f>
        <v>3.0739999999999998</v>
      </c>
      <c r="AD5" s="117">
        <f>VLOOKUP($J5,output!$A$9:$AI$2200,AD$1-$L$1+2)</f>
        <v>2.468</v>
      </c>
      <c r="AE5" s="117">
        <f>VLOOKUP($J5,output!$A$9:$AI$2200,AE$1-$L$1+2)</f>
        <v>2.0449999999999999</v>
      </c>
      <c r="AF5" s="117">
        <f>VLOOKUP($J5,output!$A$9:$AI$2200,AF$1-$L$1+2)</f>
        <v>1.6719999999999999</v>
      </c>
      <c r="AG5" s="117">
        <f>VLOOKUP($J5,output!$A$9:$AI$2200,AG$1-$L$1+2)</f>
        <v>0.78300000000000003</v>
      </c>
      <c r="AH5" s="117">
        <f>VLOOKUP($J5,output!$A$9:$AI$2200,AH$1-$L$1+2)</f>
        <v>0.72599999999999998</v>
      </c>
      <c r="AI5" s="117">
        <f>VLOOKUP($J5,output!$A$9:$AI$2200,AI$1-$L$1+2)</f>
        <v>0.56200000000000006</v>
      </c>
      <c r="AJ5" s="117">
        <f>VLOOKUP($J5,output!$A$9:$AI$2200,AJ$1-$L$1+2)</f>
        <v>0.45800000000000002</v>
      </c>
      <c r="AK5" s="117">
        <f>VLOOKUP($J5,output!$A$9:$AI$2200,AK$1-$L$1+2)</f>
        <v>0.34200000000000003</v>
      </c>
      <c r="AL5" s="117">
        <f>VLOOKUP($J5,output!$A$9:$AI$2200,AL$1-$L$1+2)</f>
        <v>0.245</v>
      </c>
      <c r="AM5" s="117">
        <f>VLOOKUP($J5,output!$A$9:$AI$2200,AM$1-$L$1+2)</f>
        <v>0.159</v>
      </c>
    </row>
    <row r="6" spans="10:39" x14ac:dyDescent="0.25">
      <c r="J6" s="115" t="s">
        <v>27</v>
      </c>
      <c r="K6" s="115" t="s">
        <v>126</v>
      </c>
      <c r="L6" s="117">
        <f>VLOOKUP($J6,output!$A$9:$AI$2200,L$1-$L$1+2)</f>
        <v>0</v>
      </c>
      <c r="M6" s="117">
        <f>VLOOKUP($J6,output!$A$9:$AI$2200,M$1-$L$1+2)</f>
        <v>251.61500000000001</v>
      </c>
      <c r="N6" s="117">
        <f>VLOOKUP($J6,output!$A$9:$AI$2200,N$1-$L$1+2)</f>
        <v>184.15899999999999</v>
      </c>
      <c r="O6" s="117">
        <f>VLOOKUP($J6,output!$A$9:$AI$2200,O$1-$L$1+2)</f>
        <v>210.072</v>
      </c>
      <c r="P6" s="117">
        <f>VLOOKUP($J6,output!$A$9:$AI$2200,P$1-$L$1+2)</f>
        <v>221.142</v>
      </c>
      <c r="Q6" s="117">
        <f>VLOOKUP($J6,output!$A$9:$AI$2200,Q$1-$L$1+2)</f>
        <v>192.73400000000001</v>
      </c>
      <c r="R6" s="117">
        <f>VLOOKUP($J6,output!$A$9:$AI$2200,R$1-$L$1+2)</f>
        <v>166.14699999999999</v>
      </c>
      <c r="S6" s="117">
        <f>VLOOKUP($J6,output!$A$9:$AI$2200,S$1-$L$1+2)</f>
        <v>168.64699999999999</v>
      </c>
      <c r="T6" s="117">
        <f>VLOOKUP($J6,output!$A$9:$AI$2200,T$1-$L$1+2)</f>
        <v>168.32599999999999</v>
      </c>
      <c r="U6" s="117">
        <f>VLOOKUP($J6,output!$A$9:$AI$2200,U$1-$L$1+2)</f>
        <v>156.03399999999999</v>
      </c>
      <c r="V6" s="117">
        <f>VLOOKUP($J6,output!$A$9:$AI$2200,V$1-$L$1+2)</f>
        <v>144.17099999999999</v>
      </c>
      <c r="W6" s="117">
        <f>VLOOKUP($J6,output!$A$9:$AI$2200,W$1-$L$1+2)</f>
        <v>132.35599999999999</v>
      </c>
      <c r="X6" s="117">
        <f>VLOOKUP($J6,output!$A$9:$AI$2200,X$1-$L$1+2)</f>
        <v>122.339</v>
      </c>
      <c r="Y6" s="117">
        <f>VLOOKUP($J6,output!$A$9:$AI$2200,Y$1-$L$1+2)</f>
        <v>83.052999999999997</v>
      </c>
      <c r="Z6" s="117">
        <f>VLOOKUP($J6,output!$A$9:$AI$2200,Z$1-$L$1+2)</f>
        <v>78.012</v>
      </c>
      <c r="AA6" s="117">
        <f>VLOOKUP($J6,output!$A$9:$AI$2200,AA$1-$L$1+2)</f>
        <v>72.119</v>
      </c>
      <c r="AB6" s="117">
        <f>VLOOKUP($J6,output!$A$9:$AI$2200,AB$1-$L$1+2)</f>
        <v>66.459999999999994</v>
      </c>
      <c r="AC6" s="117">
        <f>VLOOKUP($J6,output!$A$9:$AI$2200,AC$1-$L$1+2)</f>
        <v>75.507000000000005</v>
      </c>
      <c r="AD6" s="117">
        <f>VLOOKUP($J6,output!$A$9:$AI$2200,AD$1-$L$1+2)</f>
        <v>52.606999999999999</v>
      </c>
      <c r="AE6" s="117">
        <f>VLOOKUP($J6,output!$A$9:$AI$2200,AE$1-$L$1+2)</f>
        <v>47.72</v>
      </c>
      <c r="AF6" s="117">
        <f>VLOOKUP($J6,output!$A$9:$AI$2200,AF$1-$L$1+2)</f>
        <v>42.865000000000002</v>
      </c>
      <c r="AG6" s="117">
        <f>VLOOKUP($J6,output!$A$9:$AI$2200,AG$1-$L$1+2)</f>
        <v>15.28</v>
      </c>
      <c r="AH6" s="117">
        <f>VLOOKUP($J6,output!$A$9:$AI$2200,AH$1-$L$1+2)</f>
        <v>17.327999999999999</v>
      </c>
      <c r="AI6" s="117">
        <f>VLOOKUP($J6,output!$A$9:$AI$2200,AI$1-$L$1+2)</f>
        <v>13.885</v>
      </c>
      <c r="AJ6" s="117">
        <f>VLOOKUP($J6,output!$A$9:$AI$2200,AJ$1-$L$1+2)</f>
        <v>12.832000000000001</v>
      </c>
      <c r="AK6" s="117">
        <f>VLOOKUP($J6,output!$A$9:$AI$2200,AK$1-$L$1+2)</f>
        <v>10.260999999999999</v>
      </c>
      <c r="AL6" s="117">
        <f>VLOOKUP($J6,output!$A$9:$AI$2200,AL$1-$L$1+2)</f>
        <v>7.8470000000000004</v>
      </c>
      <c r="AM6" s="117">
        <f>VLOOKUP($J6,output!$A$9:$AI$2200,AM$1-$L$1+2)</f>
        <v>5.6710000000000003</v>
      </c>
    </row>
    <row r="7" spans="10:39" x14ac:dyDescent="0.25">
      <c r="J7" s="115" t="s">
        <v>28</v>
      </c>
      <c r="K7" s="115" t="s">
        <v>127</v>
      </c>
      <c r="L7" s="117">
        <f>VLOOKUP($J7,output!$A$9:$AI$2200,L$1-$L$1+2)</f>
        <v>0</v>
      </c>
      <c r="M7" s="117">
        <f>VLOOKUP($J7,output!$A$9:$AI$2200,M$1-$L$1+2)</f>
        <v>354.06599999999997</v>
      </c>
      <c r="N7" s="117">
        <f>VLOOKUP($J7,output!$A$9:$AI$2200,N$1-$L$1+2)</f>
        <v>275.01600000000002</v>
      </c>
      <c r="O7" s="117">
        <f>VLOOKUP($J7,output!$A$9:$AI$2200,O$1-$L$1+2)</f>
        <v>332.51100000000002</v>
      </c>
      <c r="P7" s="117">
        <f>VLOOKUP($J7,output!$A$9:$AI$2200,P$1-$L$1+2)</f>
        <v>348.66500000000002</v>
      </c>
      <c r="Q7" s="117">
        <f>VLOOKUP($J7,output!$A$9:$AI$2200,Q$1-$L$1+2)</f>
        <v>341.08800000000002</v>
      </c>
      <c r="R7" s="117">
        <f>VLOOKUP($J7,output!$A$9:$AI$2200,R$1-$L$1+2)</f>
        <v>331.27100000000002</v>
      </c>
      <c r="S7" s="117">
        <f>VLOOKUP($J7,output!$A$9:$AI$2200,S$1-$L$1+2)</f>
        <v>362.798</v>
      </c>
      <c r="T7" s="117">
        <f>VLOOKUP($J7,output!$A$9:$AI$2200,T$1-$L$1+2)</f>
        <v>439.12200000000001</v>
      </c>
      <c r="U7" s="117">
        <f>VLOOKUP($J7,output!$A$9:$AI$2200,U$1-$L$1+2)</f>
        <v>422.20699999999999</v>
      </c>
      <c r="V7" s="117">
        <f>VLOOKUP($J7,output!$A$9:$AI$2200,V$1-$L$1+2)</f>
        <v>417.22699999999998</v>
      </c>
      <c r="W7" s="117">
        <f>VLOOKUP($J7,output!$A$9:$AI$2200,W$1-$L$1+2)</f>
        <v>412.24</v>
      </c>
      <c r="X7" s="117">
        <f>VLOOKUP($J7,output!$A$9:$AI$2200,X$1-$L$1+2)</f>
        <v>408.51</v>
      </c>
      <c r="Y7" s="117">
        <f>VLOOKUP($J7,output!$A$9:$AI$2200,Y$1-$L$1+2)</f>
        <v>308.73700000000002</v>
      </c>
      <c r="Z7" s="117">
        <f>VLOOKUP($J7,output!$A$9:$AI$2200,Z$1-$L$1+2)</f>
        <v>326.73099999999999</v>
      </c>
      <c r="AA7" s="117">
        <f>VLOOKUP($J7,output!$A$9:$AI$2200,AA$1-$L$1+2)</f>
        <v>325.14</v>
      </c>
      <c r="AB7" s="117">
        <f>VLOOKUP($J7,output!$A$9:$AI$2200,AB$1-$L$1+2)</f>
        <v>301.05599999999998</v>
      </c>
      <c r="AC7" s="117">
        <f>VLOOKUP($J7,output!$A$9:$AI$2200,AC$1-$L$1+2)</f>
        <v>372.75299999999999</v>
      </c>
      <c r="AD7" s="117">
        <f>VLOOKUP($J7,output!$A$9:$AI$2200,AD$1-$L$1+2)</f>
        <v>289.50299999999999</v>
      </c>
      <c r="AE7" s="117">
        <f>VLOOKUP($J7,output!$A$9:$AI$2200,AE$1-$L$1+2)</f>
        <v>282.084</v>
      </c>
      <c r="AF7" s="117">
        <f>VLOOKUP($J7,output!$A$9:$AI$2200,AF$1-$L$1+2)</f>
        <v>255.803</v>
      </c>
      <c r="AG7" s="117">
        <f>VLOOKUP($J7,output!$A$9:$AI$2200,AG$1-$L$1+2)</f>
        <v>119.97</v>
      </c>
      <c r="AH7" s="117">
        <f>VLOOKUP($J7,output!$A$9:$AI$2200,AH$1-$L$1+2)</f>
        <v>125.964</v>
      </c>
      <c r="AI7" s="117">
        <f>VLOOKUP($J7,output!$A$9:$AI$2200,AI$1-$L$1+2)</f>
        <v>127.764</v>
      </c>
      <c r="AJ7" s="117">
        <f>VLOOKUP($J7,output!$A$9:$AI$2200,AJ$1-$L$1+2)</f>
        <v>116.226</v>
      </c>
      <c r="AK7" s="117">
        <f>VLOOKUP($J7,output!$A$9:$AI$2200,AK$1-$L$1+2)</f>
        <v>109.31</v>
      </c>
      <c r="AL7" s="117">
        <f>VLOOKUP($J7,output!$A$9:$AI$2200,AL$1-$L$1+2)</f>
        <v>102.51300000000001</v>
      </c>
      <c r="AM7" s="117">
        <f>VLOOKUP($J7,output!$A$9:$AI$2200,AM$1-$L$1+2)</f>
        <v>95.671999999999997</v>
      </c>
    </row>
    <row r="8" spans="10:39" x14ac:dyDescent="0.25">
      <c r="J8" s="115" t="s">
        <v>29</v>
      </c>
      <c r="K8" s="115" t="s">
        <v>128</v>
      </c>
      <c r="L8" s="117">
        <f>VLOOKUP($J8,output!$A$9:$AI$2200,L$1-$L$1+2)</f>
        <v>0</v>
      </c>
      <c r="M8" s="117">
        <f>VLOOKUP($J8,output!$A$9:$AI$2200,M$1-$L$1+2)</f>
        <v>385.95299999999997</v>
      </c>
      <c r="N8" s="117">
        <f>VLOOKUP($J8,output!$A$9:$AI$2200,N$1-$L$1+2)</f>
        <v>333.73599999999999</v>
      </c>
      <c r="O8" s="117">
        <f>VLOOKUP($J8,output!$A$9:$AI$2200,O$1-$L$1+2)</f>
        <v>470.83</v>
      </c>
      <c r="P8" s="117">
        <f>VLOOKUP($J8,output!$A$9:$AI$2200,P$1-$L$1+2)</f>
        <v>468.452</v>
      </c>
      <c r="Q8" s="117">
        <f>VLOOKUP($J8,output!$A$9:$AI$2200,Q$1-$L$1+2)</f>
        <v>549.61</v>
      </c>
      <c r="R8" s="117">
        <f>VLOOKUP($J8,output!$A$9:$AI$2200,R$1-$L$1+2)</f>
        <v>624.923</v>
      </c>
      <c r="S8" s="117">
        <f>VLOOKUP($J8,output!$A$9:$AI$2200,S$1-$L$1+2)</f>
        <v>694.25400000000002</v>
      </c>
      <c r="T8" s="117">
        <f>VLOOKUP($J8,output!$A$9:$AI$2200,T$1-$L$1+2)</f>
        <v>754.02700000000004</v>
      </c>
      <c r="U8" s="117">
        <f>VLOOKUP($J8,output!$A$9:$AI$2200,U$1-$L$1+2)</f>
        <v>801.86900000000003</v>
      </c>
      <c r="V8" s="117">
        <f>VLOOKUP($J8,output!$A$9:$AI$2200,V$1-$L$1+2)</f>
        <v>753.399</v>
      </c>
      <c r="W8" s="117">
        <f>VLOOKUP($J8,output!$A$9:$AI$2200,W$1-$L$1+2)</f>
        <v>713.75400000000002</v>
      </c>
      <c r="X8" s="117">
        <f>VLOOKUP($J8,output!$A$9:$AI$2200,X$1-$L$1+2)</f>
        <v>668.20299999999997</v>
      </c>
      <c r="Y8" s="117">
        <f>VLOOKUP($J8,output!$A$9:$AI$2200,Y$1-$L$1+2)</f>
        <v>599.50300000000004</v>
      </c>
      <c r="Z8" s="117">
        <f>VLOOKUP($J8,output!$A$9:$AI$2200,Z$1-$L$1+2)</f>
        <v>698.79</v>
      </c>
      <c r="AA8" s="117">
        <f>VLOOKUP($J8,output!$A$9:$AI$2200,AA$1-$L$1+2)</f>
        <v>634.58000000000004</v>
      </c>
      <c r="AB8" s="117">
        <f>VLOOKUP($J8,output!$A$9:$AI$2200,AB$1-$L$1+2)</f>
        <v>544.91300000000001</v>
      </c>
      <c r="AC8" s="117">
        <f>VLOOKUP($J8,output!$A$9:$AI$2200,AC$1-$L$1+2)</f>
        <v>621.20899999999995</v>
      </c>
      <c r="AD8" s="117">
        <f>VLOOKUP($J8,output!$A$9:$AI$2200,AD$1-$L$1+2)</f>
        <v>514.50800000000004</v>
      </c>
      <c r="AE8" s="117">
        <f>VLOOKUP($J8,output!$A$9:$AI$2200,AE$1-$L$1+2)</f>
        <v>489.74099999999999</v>
      </c>
      <c r="AF8" s="117">
        <f>VLOOKUP($J8,output!$A$9:$AI$2200,AF$1-$L$1+2)</f>
        <v>428.56200000000001</v>
      </c>
      <c r="AG8" s="117">
        <f>VLOOKUP($J8,output!$A$9:$AI$2200,AG$1-$L$1+2)</f>
        <v>358.36</v>
      </c>
      <c r="AH8" s="117">
        <f>VLOOKUP($J8,output!$A$9:$AI$2200,AH$1-$L$1+2)</f>
        <v>335.13400000000001</v>
      </c>
      <c r="AI8" s="117">
        <f>VLOOKUP($J8,output!$A$9:$AI$2200,AI$1-$L$1+2)</f>
        <v>345.25099999999998</v>
      </c>
      <c r="AJ8" s="117">
        <f>VLOOKUP($J8,output!$A$9:$AI$2200,AJ$1-$L$1+2)</f>
        <v>310.822</v>
      </c>
      <c r="AK8" s="117">
        <f>VLOOKUP($J8,output!$A$9:$AI$2200,AK$1-$L$1+2)</f>
        <v>301.54300000000001</v>
      </c>
      <c r="AL8" s="117">
        <f>VLOOKUP($J8,output!$A$9:$AI$2200,AL$1-$L$1+2)</f>
        <v>294.68299999999999</v>
      </c>
      <c r="AM8" s="117">
        <f>VLOOKUP($J8,output!$A$9:$AI$2200,AM$1-$L$1+2)</f>
        <v>287.11099999999999</v>
      </c>
    </row>
    <row r="9" spans="10:39" x14ac:dyDescent="0.25">
      <c r="J9" s="115" t="s">
        <v>22</v>
      </c>
      <c r="K9" s="115" t="s">
        <v>190</v>
      </c>
      <c r="L9" s="117">
        <f>VLOOKUP($J9,output!$A$9:$AI$2200,L$1-$L$1+2)</f>
        <v>0</v>
      </c>
      <c r="M9" s="117">
        <f>VLOOKUP($J9,output!$A$9:$AI$2200,M$1-$L$1+2)</f>
        <v>2381.4870000000001</v>
      </c>
      <c r="N9" s="117">
        <f>VLOOKUP($J9,output!$A$9:$AI$2200,N$1-$L$1+2)</f>
        <v>2217.3580000000002</v>
      </c>
      <c r="O9" s="117">
        <f>VLOOKUP($J9,output!$A$9:$AI$2200,O$1-$L$1+2)</f>
        <v>2395.3539999999998</v>
      </c>
      <c r="P9" s="117">
        <f>VLOOKUP($J9,output!$A$9:$AI$2200,P$1-$L$1+2)</f>
        <v>2436.6770000000001</v>
      </c>
      <c r="Q9" s="117">
        <f>VLOOKUP($J9,output!$A$9:$AI$2200,Q$1-$L$1+2)</f>
        <v>2442.248</v>
      </c>
      <c r="R9" s="117">
        <f>VLOOKUP($J9,output!$A$9:$AI$2200,R$1-$L$1+2)</f>
        <v>2416.5450000000001</v>
      </c>
      <c r="S9" s="117">
        <f>VLOOKUP($J9,output!$A$9:$AI$2200,S$1-$L$1+2)</f>
        <v>2458.2269999999999</v>
      </c>
      <c r="T9" s="117">
        <f>VLOOKUP($J9,output!$A$9:$AI$2200,T$1-$L$1+2)</f>
        <v>2677.377</v>
      </c>
      <c r="U9" s="117">
        <f>VLOOKUP($J9,output!$A$9:$AI$2200,U$1-$L$1+2)</f>
        <v>2620.5010000000002</v>
      </c>
      <c r="V9" s="117">
        <f>VLOOKUP($J9,output!$A$9:$AI$2200,V$1-$L$1+2)</f>
        <v>2587.3029999999999</v>
      </c>
      <c r="W9" s="117">
        <f>VLOOKUP($J9,output!$A$9:$AI$2200,W$1-$L$1+2)</f>
        <v>2593.4470000000001</v>
      </c>
      <c r="X9" s="117">
        <f>VLOOKUP($J9,output!$A$9:$AI$2200,X$1-$L$1+2)</f>
        <v>2555.9029999999998</v>
      </c>
      <c r="Y9" s="117">
        <f>VLOOKUP($J9,output!$A$9:$AI$2200,Y$1-$L$1+2)</f>
        <v>2312.1970000000001</v>
      </c>
      <c r="Z9" s="117">
        <f>VLOOKUP($J9,output!$A$9:$AI$2200,Z$1-$L$1+2)</f>
        <v>2736.3270000000002</v>
      </c>
      <c r="AA9" s="117">
        <f>VLOOKUP($J9,output!$A$9:$AI$2200,AA$1-$L$1+2)</f>
        <v>2671.7739999999999</v>
      </c>
      <c r="AB9" s="117">
        <f>VLOOKUP($J9,output!$A$9:$AI$2200,AB$1-$L$1+2)</f>
        <v>2475.6819999999998</v>
      </c>
      <c r="AC9" s="117">
        <f>VLOOKUP($J9,output!$A$9:$AI$2200,AC$1-$L$1+2)</f>
        <v>2869.4560000000001</v>
      </c>
      <c r="AD9" s="117">
        <f>VLOOKUP($J9,output!$A$9:$AI$2200,AD$1-$L$1+2)</f>
        <v>2571.547</v>
      </c>
      <c r="AE9" s="117">
        <f>VLOOKUP($J9,output!$A$9:$AI$2200,AE$1-$L$1+2)</f>
        <v>2509.4110000000001</v>
      </c>
      <c r="AF9" s="117">
        <f>VLOOKUP($J9,output!$A$9:$AI$2200,AF$1-$L$1+2)</f>
        <v>2286.3319999999999</v>
      </c>
      <c r="AG9" s="117">
        <f>VLOOKUP($J9,output!$A$9:$AI$2200,AG$1-$L$1+2)</f>
        <v>2613.8609999999999</v>
      </c>
      <c r="AH9" s="117">
        <f>VLOOKUP($J9,output!$A$9:$AI$2200,AH$1-$L$1+2)</f>
        <v>2307.3409999999999</v>
      </c>
      <c r="AI9" s="117">
        <f>VLOOKUP($J9,output!$A$9:$AI$2200,AI$1-$L$1+2)</f>
        <v>2492.645</v>
      </c>
      <c r="AJ9" s="117">
        <f>VLOOKUP($J9,output!$A$9:$AI$2200,AJ$1-$L$1+2)</f>
        <v>2347.4140000000002</v>
      </c>
      <c r="AK9" s="117">
        <f>VLOOKUP($J9,output!$A$9:$AI$2200,AK$1-$L$1+2)</f>
        <v>2416.0770000000002</v>
      </c>
      <c r="AL9" s="117">
        <f>VLOOKUP($J9,output!$A$9:$AI$2200,AL$1-$L$1+2)</f>
        <v>2505.509</v>
      </c>
      <c r="AM9" s="117">
        <f>VLOOKUP($J9,output!$A$9:$AI$2200,AM$1-$L$1+2)</f>
        <v>2582.9430000000002</v>
      </c>
    </row>
    <row r="10" spans="10:39" ht="30" x14ac:dyDescent="0.25">
      <c r="K10" s="19" t="s">
        <v>352</v>
      </c>
    </row>
    <row r="12" spans="10:39" x14ac:dyDescent="0.25">
      <c r="J12" s="115" t="s">
        <v>241</v>
      </c>
      <c r="K12" s="115" t="s">
        <v>191</v>
      </c>
      <c r="L12" s="117">
        <f>VLOOKUP($J12,output!$A$9:$AI$2200,L$1-$L$1+2)</f>
        <v>0</v>
      </c>
      <c r="M12" s="117">
        <f>VLOOKUP($J12,output!$A$9:$AI$2200,M$1-$L$1+2)</f>
        <v>1053.796</v>
      </c>
      <c r="N12" s="117">
        <f>VLOOKUP($J12,output!$A$9:$AI$2200,N$1-$L$1+2)</f>
        <v>833.35699999999997</v>
      </c>
      <c r="O12" s="117">
        <f>VLOOKUP($J12,output!$A$9:$AI$2200,O$1-$L$1+2)</f>
        <v>1043.0650000000001</v>
      </c>
      <c r="P12" s="117">
        <f>VLOOKUP($J12,output!$A$9:$AI$2200,P$1-$L$1+2)</f>
        <v>1067.777</v>
      </c>
      <c r="Q12" s="117">
        <f>VLOOKUP($J12,output!$A$9:$AI$2200,Q$1-$L$1+2)</f>
        <v>1106.2529999999999</v>
      </c>
      <c r="R12" s="117">
        <f>VLOOKUP($J12,output!$A$9:$AI$2200,R$1-$L$1+2)</f>
        <v>1139.6089999999999</v>
      </c>
      <c r="S12" s="117">
        <f>VLOOKUP($J12,output!$A$9:$AI$2200,S$1-$L$1+2)</f>
        <v>1238.97</v>
      </c>
      <c r="T12" s="117">
        <f>VLOOKUP($J12,output!$A$9:$AI$2200,T$1-$L$1+2)</f>
        <v>1373.93</v>
      </c>
      <c r="U12" s="117">
        <f>VLOOKUP($J12,output!$A$9:$AI$2200,U$1-$L$1+2)</f>
        <v>1390.194</v>
      </c>
      <c r="V12" s="117">
        <f>VLOOKUP($J12,output!$A$9:$AI$2200,V$1-$L$1+2)</f>
        <v>1323.316</v>
      </c>
      <c r="W12" s="117">
        <f>VLOOKUP($J12,output!$A$9:$AI$2200,W$1-$L$1+2)</f>
        <v>1265.67</v>
      </c>
      <c r="X12" s="117">
        <f>VLOOKUP($J12,output!$A$9:$AI$2200,X$1-$L$1+2)</f>
        <v>1205.3389999999999</v>
      </c>
      <c r="Y12" s="117">
        <f>VLOOKUP($J12,output!$A$9:$AI$2200,Y$1-$L$1+2)</f>
        <v>996.50800000000004</v>
      </c>
      <c r="Z12" s="117">
        <f>VLOOKUP($J12,output!$A$9:$AI$2200,Z$1-$L$1+2)</f>
        <v>1108.221</v>
      </c>
      <c r="AA12" s="117">
        <f>VLOOKUP($J12,output!$A$9:$AI$2200,AA$1-$L$1+2)</f>
        <v>1035.9290000000001</v>
      </c>
      <c r="AB12" s="117">
        <f>VLOOKUP($J12,output!$A$9:$AI$2200,AB$1-$L$1+2)</f>
        <v>915.98</v>
      </c>
      <c r="AC12" s="117">
        <f>VLOOKUP($J12,output!$A$9:$AI$2200,AC$1-$L$1+2)</f>
        <v>1072.5809999999999</v>
      </c>
      <c r="AD12" s="117">
        <f>VLOOKUP($J12,output!$A$9:$AI$2200,AD$1-$L$1+2)</f>
        <v>859.11900000000003</v>
      </c>
      <c r="AE12" s="117">
        <f>VLOOKUP($J12,output!$A$9:$AI$2200,AE$1-$L$1+2)</f>
        <v>821.61800000000005</v>
      </c>
      <c r="AF12" s="117">
        <f>VLOOKUP($J12,output!$A$9:$AI$2200,AF$1-$L$1+2)</f>
        <v>728.92700000000002</v>
      </c>
      <c r="AG12" s="117">
        <f>VLOOKUP($J12,output!$A$9:$AI$2200,AG$1-$L$1+2)</f>
        <v>494.41199999999998</v>
      </c>
      <c r="AH12" s="117">
        <f>VLOOKUP($J12,output!$A$9:$AI$2200,AH$1-$L$1+2)</f>
        <v>479.16800000000001</v>
      </c>
      <c r="AI12" s="117">
        <f>VLOOKUP($J12,output!$A$9:$AI$2200,AI$1-$L$1+2)</f>
        <v>487.47399999999999</v>
      </c>
      <c r="AJ12" s="117">
        <f>VLOOKUP($J12,output!$A$9:$AI$2200,AJ$1-$L$1+2)</f>
        <v>440.34899999999999</v>
      </c>
      <c r="AK12" s="117">
        <f>VLOOKUP($J12,output!$A$9:$AI$2200,AK$1-$L$1+2)</f>
        <v>421.464</v>
      </c>
      <c r="AL12" s="117">
        <f>VLOOKUP($J12,output!$A$9:$AI$2200,AL$1-$L$1+2)</f>
        <v>405.29399999999998</v>
      </c>
      <c r="AM12" s="117">
        <f>VLOOKUP($J12,output!$A$9:$AI$2200,AM$1-$L$1+2)</f>
        <v>388.61700000000002</v>
      </c>
    </row>
    <row r="13" spans="10:39" x14ac:dyDescent="0.25">
      <c r="J13" s="115" t="s">
        <v>242</v>
      </c>
      <c r="K13" s="115" t="s">
        <v>150</v>
      </c>
      <c r="L13" s="117">
        <f>VLOOKUP($J13,output!$A$9:$AI$2200,L$1-$L$1+2)</f>
        <v>0</v>
      </c>
      <c r="M13" s="117">
        <f>VLOOKUP($J13,output!$A$9:$AI$2200,M$1-$L$1+2)</f>
        <v>667.84299999999996</v>
      </c>
      <c r="N13" s="117">
        <f>VLOOKUP($J13,output!$A$9:$AI$2200,N$1-$L$1+2)</f>
        <v>499.62</v>
      </c>
      <c r="O13" s="117">
        <f>VLOOKUP($J13,output!$A$9:$AI$2200,O$1-$L$1+2)</f>
        <v>572.23500000000001</v>
      </c>
      <c r="P13" s="117">
        <f>VLOOKUP($J13,output!$A$9:$AI$2200,P$1-$L$1+2)</f>
        <v>599.32500000000005</v>
      </c>
      <c r="Q13" s="117">
        <f>VLOOKUP($J13,output!$A$9:$AI$2200,Q$1-$L$1+2)</f>
        <v>556.64300000000003</v>
      </c>
      <c r="R13" s="117">
        <f>VLOOKUP($J13,output!$A$9:$AI$2200,R$1-$L$1+2)</f>
        <v>514.68499999999995</v>
      </c>
      <c r="S13" s="117">
        <f>VLOOKUP($J13,output!$A$9:$AI$2200,S$1-$L$1+2)</f>
        <v>544.71500000000003</v>
      </c>
      <c r="T13" s="117">
        <f>VLOOKUP($J13,output!$A$9:$AI$2200,T$1-$L$1+2)</f>
        <v>619.90300000000002</v>
      </c>
      <c r="U13" s="117">
        <f>VLOOKUP($J13,output!$A$9:$AI$2200,U$1-$L$1+2)</f>
        <v>588.32500000000005</v>
      </c>
      <c r="V13" s="117">
        <f>VLOOKUP($J13,output!$A$9:$AI$2200,V$1-$L$1+2)</f>
        <v>569.91700000000003</v>
      </c>
      <c r="W13" s="117">
        <f>VLOOKUP($J13,output!$A$9:$AI$2200,W$1-$L$1+2)</f>
        <v>551.91600000000005</v>
      </c>
      <c r="X13" s="117">
        <f>VLOOKUP($J13,output!$A$9:$AI$2200,X$1-$L$1+2)</f>
        <v>537.13599999999997</v>
      </c>
      <c r="Y13" s="117">
        <f>VLOOKUP($J13,output!$A$9:$AI$2200,Y$1-$L$1+2)</f>
        <v>397.005</v>
      </c>
      <c r="Z13" s="117">
        <f>VLOOKUP($J13,output!$A$9:$AI$2200,Z$1-$L$1+2)</f>
        <v>409.43099999999998</v>
      </c>
      <c r="AA13" s="117">
        <f>VLOOKUP($J13,output!$A$9:$AI$2200,AA$1-$L$1+2)</f>
        <v>401.34899999999999</v>
      </c>
      <c r="AB13" s="117">
        <f>VLOOKUP($J13,output!$A$9:$AI$2200,AB$1-$L$1+2)</f>
        <v>371.06700000000001</v>
      </c>
      <c r="AC13" s="117">
        <f>VLOOKUP($J13,output!$A$9:$AI$2200,AC$1-$L$1+2)</f>
        <v>451.37200000000001</v>
      </c>
      <c r="AD13" s="117">
        <f>VLOOKUP($J13,output!$A$9:$AI$2200,AD$1-$L$1+2)</f>
        <v>344.61099999999999</v>
      </c>
      <c r="AE13" s="117">
        <f>VLOOKUP($J13,output!$A$9:$AI$2200,AE$1-$L$1+2)</f>
        <v>331.87700000000001</v>
      </c>
      <c r="AF13" s="117">
        <f>VLOOKUP($J13,output!$A$9:$AI$2200,AF$1-$L$1+2)</f>
        <v>300.36500000000001</v>
      </c>
      <c r="AG13" s="117">
        <f>VLOOKUP($J13,output!$A$9:$AI$2200,AG$1-$L$1+2)</f>
        <v>136.05199999999999</v>
      </c>
      <c r="AH13" s="117">
        <f>VLOOKUP($J13,output!$A$9:$AI$2200,AH$1-$L$1+2)</f>
        <v>144.03399999999999</v>
      </c>
      <c r="AI13" s="117">
        <f>VLOOKUP($J13,output!$A$9:$AI$2200,AI$1-$L$1+2)</f>
        <v>142.22399999999999</v>
      </c>
      <c r="AJ13" s="117">
        <f>VLOOKUP($J13,output!$A$9:$AI$2200,AJ$1-$L$1+2)</f>
        <v>129.52600000000001</v>
      </c>
      <c r="AK13" s="117">
        <f>VLOOKUP($J13,output!$A$9:$AI$2200,AK$1-$L$1+2)</f>
        <v>119.922</v>
      </c>
      <c r="AL13" s="117">
        <f>VLOOKUP($J13,output!$A$9:$AI$2200,AL$1-$L$1+2)</f>
        <v>110.611</v>
      </c>
      <c r="AM13" s="117">
        <f>VLOOKUP($J13,output!$A$9:$AI$2200,AM$1-$L$1+2)</f>
        <v>101.50700000000001</v>
      </c>
    </row>
    <row r="16" spans="10:39" x14ac:dyDescent="0.25">
      <c r="J16" s="30" t="s">
        <v>337</v>
      </c>
    </row>
    <row r="17" spans="10:39" ht="30" x14ac:dyDescent="0.25">
      <c r="J17" s="64" t="s">
        <v>319</v>
      </c>
      <c r="K17" s="88" t="s">
        <v>353</v>
      </c>
      <c r="L17" s="89">
        <f>VLOOKUP($J17,output!$A$9:$AI$2200,L$1-$L$1+2)</f>
        <v>0</v>
      </c>
      <c r="M17" s="89">
        <f>VLOOKUP($J17,output!$A$9:$AI$2200,M$1-$L$1+2)</f>
        <v>600.98400000000004</v>
      </c>
      <c r="N17" s="89">
        <f>VLOOKUP($J17,output!$A$9:$AI$2200,N$1-$L$1+2)</f>
        <v>435.21600000000001</v>
      </c>
      <c r="O17" s="89">
        <f>VLOOKUP($J17,output!$A$9:$AI$2200,O$1-$L$1+2)</f>
        <v>624.22199999999998</v>
      </c>
      <c r="P17" s="89">
        <f>VLOOKUP($J17,output!$A$9:$AI$2200,P$1-$L$1+2)</f>
        <v>673.15200000000004</v>
      </c>
      <c r="Q17" s="89">
        <f>VLOOKUP($J17,output!$A$9:$AI$2200,Q$1-$L$1+2)</f>
        <v>685.49099999999999</v>
      </c>
      <c r="R17" s="89">
        <f>VLOOKUP($J17,output!$A$9:$AI$2200,R$1-$L$1+2)</f>
        <v>664.053</v>
      </c>
      <c r="S17" s="89">
        <f>VLOOKUP($J17,output!$A$9:$AI$2200,S$1-$L$1+2)</f>
        <v>710.43600000000004</v>
      </c>
      <c r="T17" s="89">
        <f>VLOOKUP($J17,output!$A$9:$AI$2200,T$1-$L$1+2)</f>
        <v>934.53099999999995</v>
      </c>
      <c r="U17" s="89">
        <f>VLOOKUP($J17,output!$A$9:$AI$2200,U$1-$L$1+2)</f>
        <v>880.7</v>
      </c>
      <c r="V17" s="89">
        <f>VLOOKUP($J17,output!$A$9:$AI$2200,V$1-$L$1+2)</f>
        <v>852.71100000000001</v>
      </c>
      <c r="W17" s="89">
        <f>VLOOKUP($J17,output!$A$9:$AI$2200,W$1-$L$1+2)</f>
        <v>866.88699999999994</v>
      </c>
      <c r="X17" s="89">
        <f>VLOOKUP($J17,output!$A$9:$AI$2200,X$1-$L$1+2)</f>
        <v>831.27499999999998</v>
      </c>
      <c r="Y17" s="89">
        <f>VLOOKUP($J17,output!$A$9:$AI$2200,Y$1-$L$1+2)</f>
        <v>828.06100000000004</v>
      </c>
      <c r="Z17" s="89">
        <f>VLOOKUP($J17,output!$A$9:$AI$2200,Z$1-$L$1+2)</f>
        <v>1249.94</v>
      </c>
      <c r="AA17" s="89">
        <f>VLOOKUP($J17,output!$A$9:$AI$2200,AA$1-$L$1+2)</f>
        <v>1187.1849999999999</v>
      </c>
      <c r="AB17" s="89">
        <f>VLOOKUP($J17,output!$A$9:$AI$2200,AB$1-$L$1+2)</f>
        <v>1164.289</v>
      </c>
      <c r="AC17" s="89">
        <f>VLOOKUP($J17,output!$A$9:$AI$2200,AC$1-$L$1+2)</f>
        <v>1411.4090000000001</v>
      </c>
      <c r="AD17" s="89">
        <f>VLOOKUP($J17,output!$A$9:$AI$2200,AD$1-$L$1+2)</f>
        <v>1240.482</v>
      </c>
      <c r="AE17" s="89">
        <f>VLOOKUP($J17,output!$A$9:$AI$2200,AE$1-$L$1+2)</f>
        <v>1187.8009999999999</v>
      </c>
      <c r="AF17" s="89">
        <f>VLOOKUP($J17,output!$A$9:$AI$2200,AF$1-$L$1+2)</f>
        <v>1057.498</v>
      </c>
      <c r="AG17" s="89">
        <f>VLOOKUP($J17,output!$A$9:$AI$2200,AG$1-$L$1+2)</f>
        <v>1059.9280000000001</v>
      </c>
      <c r="AH17" s="89">
        <f>VLOOKUP($J17,output!$A$9:$AI$2200,AH$1-$L$1+2)</f>
        <v>1009.215</v>
      </c>
      <c r="AI17" s="89">
        <f>VLOOKUP($J17,output!$A$9:$AI$2200,AI$1-$L$1+2)</f>
        <v>962.01300000000003</v>
      </c>
      <c r="AJ17" s="89">
        <f>VLOOKUP($J17,output!$A$9:$AI$2200,AJ$1-$L$1+2)</f>
        <v>917.62599999999998</v>
      </c>
      <c r="AK17" s="89">
        <f>VLOOKUP($J17,output!$A$9:$AI$2200,AK$1-$L$1+2)</f>
        <v>876.84199999999998</v>
      </c>
      <c r="AL17" s="89">
        <f>VLOOKUP($J17,output!$A$9:$AI$2200,AL$1-$L$1+2)</f>
        <v>838.50099999999998</v>
      </c>
      <c r="AM17" s="89">
        <f>VLOOKUP($J17,output!$A$9:$AI$2200,AM$1-$L$1+2)</f>
        <v>803.86300000000006</v>
      </c>
    </row>
    <row r="18" spans="10:39" x14ac:dyDescent="0.25">
      <c r="J18" s="115" t="s">
        <v>328</v>
      </c>
      <c r="K18" s="115" t="s">
        <v>340</v>
      </c>
      <c r="L18" s="117">
        <f>VLOOKUP($J18,output!$A$9:$AI$2200,L$1-$L$1+2)</f>
        <v>0</v>
      </c>
      <c r="M18" s="117">
        <f>VLOOKUP($J18,output!$A$9:$AI$2200,M$1-$L$1+2)</f>
        <v>157.845</v>
      </c>
      <c r="N18" s="117">
        <f>VLOOKUP($J18,output!$A$9:$AI$2200,N$1-$L$1+2)</f>
        <v>173.30600000000001</v>
      </c>
      <c r="O18" s="117">
        <f>VLOOKUP($J18,output!$A$9:$AI$2200,O$1-$L$1+2)</f>
        <v>280.38</v>
      </c>
      <c r="P18" s="117">
        <f>VLOOKUP($J18,output!$A$9:$AI$2200,P$1-$L$1+2)</f>
        <v>312.40300000000002</v>
      </c>
      <c r="Q18" s="117">
        <f>VLOOKUP($J18,output!$A$9:$AI$2200,Q$1-$L$1+2)</f>
        <v>343.65300000000002</v>
      </c>
      <c r="R18" s="117">
        <f>VLOOKUP($J18,output!$A$9:$AI$2200,R$1-$L$1+2)</f>
        <v>344.43400000000003</v>
      </c>
      <c r="S18" s="117">
        <f>VLOOKUP($J18,output!$A$9:$AI$2200,S$1-$L$1+2)</f>
        <v>344.48599999999999</v>
      </c>
      <c r="T18" s="117">
        <f>VLOOKUP($J18,output!$A$9:$AI$2200,T$1-$L$1+2)</f>
        <v>545.66700000000003</v>
      </c>
      <c r="U18" s="117">
        <f>VLOOKUP($J18,output!$A$9:$AI$2200,U$1-$L$1+2)</f>
        <v>496.81900000000002</v>
      </c>
      <c r="V18" s="117">
        <f>VLOOKUP($J18,output!$A$9:$AI$2200,V$1-$L$1+2)</f>
        <v>478.94200000000001</v>
      </c>
      <c r="W18" s="117">
        <f>VLOOKUP($J18,output!$A$9:$AI$2200,W$1-$L$1+2)</f>
        <v>495.16800000000001</v>
      </c>
      <c r="X18" s="117">
        <f>VLOOKUP($J18,output!$A$9:$AI$2200,X$1-$L$1+2)</f>
        <v>485.15600000000001</v>
      </c>
      <c r="Y18" s="117">
        <f>VLOOKUP($J18,output!$A$9:$AI$2200,Y$1-$L$1+2)</f>
        <v>474.69799999999998</v>
      </c>
      <c r="Z18" s="117">
        <f>VLOOKUP($J18,output!$A$9:$AI$2200,Z$1-$L$1+2)</f>
        <v>754.30899999999997</v>
      </c>
      <c r="AA18" s="117">
        <f>VLOOKUP($J18,output!$A$9:$AI$2200,AA$1-$L$1+2)</f>
        <v>719.49599999999998</v>
      </c>
      <c r="AB18" s="117">
        <f>VLOOKUP($J18,output!$A$9:$AI$2200,AB$1-$L$1+2)</f>
        <v>719.62599999999998</v>
      </c>
      <c r="AC18" s="117">
        <f>VLOOKUP($J18,output!$A$9:$AI$2200,AC$1-$L$1+2)</f>
        <v>771.00699999999995</v>
      </c>
      <c r="AD18" s="117">
        <f>VLOOKUP($J18,output!$A$9:$AI$2200,AD$1-$L$1+2)</f>
        <v>685.86500000000001</v>
      </c>
      <c r="AE18" s="117">
        <f>VLOOKUP($J18,output!$A$9:$AI$2200,AE$1-$L$1+2)</f>
        <v>662.077</v>
      </c>
      <c r="AF18" s="117">
        <f>VLOOKUP($J18,output!$A$9:$AI$2200,AF$1-$L$1+2)</f>
        <v>595.36500000000001</v>
      </c>
      <c r="AG18" s="117">
        <f>VLOOKUP($J18,output!$A$9:$AI$2200,AG$1-$L$1+2)</f>
        <v>608.30999999999995</v>
      </c>
      <c r="AH18" s="117">
        <f>VLOOKUP($J18,output!$A$9:$AI$2200,AH$1-$L$1+2)</f>
        <v>572.58699999999999</v>
      </c>
      <c r="AI18" s="117">
        <f>VLOOKUP($J18,output!$A$9:$AI$2200,AI$1-$L$1+2)</f>
        <v>540.65099999999995</v>
      </c>
      <c r="AJ18" s="117">
        <f>VLOOKUP($J18,output!$A$9:$AI$2200,AJ$1-$L$1+2)</f>
        <v>510.57</v>
      </c>
      <c r="AK18" s="117">
        <f>VLOOKUP($J18,output!$A$9:$AI$2200,AK$1-$L$1+2)</f>
        <v>483.21600000000001</v>
      </c>
      <c r="AL18" s="117">
        <f>VLOOKUP($J18,output!$A$9:$AI$2200,AL$1-$L$1+2)</f>
        <v>457.79</v>
      </c>
      <c r="AM18" s="117">
        <f>VLOOKUP($J18,output!$A$9:$AI$2200,AM$1-$L$1+2)</f>
        <v>433.91</v>
      </c>
    </row>
    <row r="19" spans="10:39" x14ac:dyDescent="0.25">
      <c r="J19" s="115" t="s">
        <v>329</v>
      </c>
      <c r="K19" s="115" t="s">
        <v>341</v>
      </c>
      <c r="L19" s="117">
        <f>VLOOKUP($J19,output!$A$9:$AI$2200,L$1-$L$1+2)</f>
        <v>0</v>
      </c>
      <c r="M19" s="117">
        <f>VLOOKUP($J19,output!$A$9:$AI$2200,M$1-$L$1+2)</f>
        <v>443.13900000000001</v>
      </c>
      <c r="N19" s="117">
        <f>VLOOKUP($J19,output!$A$9:$AI$2200,N$1-$L$1+2)</f>
        <v>261.90899999999999</v>
      </c>
      <c r="O19" s="117">
        <f>VLOOKUP($J19,output!$A$9:$AI$2200,O$1-$L$1+2)</f>
        <v>343.84199999999998</v>
      </c>
      <c r="P19" s="117">
        <f>VLOOKUP($J19,output!$A$9:$AI$2200,P$1-$L$1+2)</f>
        <v>360.74900000000002</v>
      </c>
      <c r="Q19" s="117">
        <f>VLOOKUP($J19,output!$A$9:$AI$2200,Q$1-$L$1+2)</f>
        <v>341.83800000000002</v>
      </c>
      <c r="R19" s="117">
        <f>VLOOKUP($J19,output!$A$9:$AI$2200,R$1-$L$1+2)</f>
        <v>319.61900000000003</v>
      </c>
      <c r="S19" s="117">
        <f>VLOOKUP($J19,output!$A$9:$AI$2200,S$1-$L$1+2)</f>
        <v>365.95100000000002</v>
      </c>
      <c r="T19" s="117">
        <f>VLOOKUP($J19,output!$A$9:$AI$2200,T$1-$L$1+2)</f>
        <v>388.863</v>
      </c>
      <c r="U19" s="117">
        <f>VLOOKUP($J19,output!$A$9:$AI$2200,U$1-$L$1+2)</f>
        <v>383.88099999999997</v>
      </c>
      <c r="V19" s="117">
        <f>VLOOKUP($J19,output!$A$9:$AI$2200,V$1-$L$1+2)</f>
        <v>373.76900000000001</v>
      </c>
      <c r="W19" s="117">
        <f>VLOOKUP($J19,output!$A$9:$AI$2200,W$1-$L$1+2)</f>
        <v>371.71899999999999</v>
      </c>
      <c r="X19" s="117">
        <f>VLOOKUP($J19,output!$A$9:$AI$2200,X$1-$L$1+2)</f>
        <v>346.11900000000003</v>
      </c>
      <c r="Y19" s="117">
        <f>VLOOKUP($J19,output!$A$9:$AI$2200,Y$1-$L$1+2)</f>
        <v>353.363</v>
      </c>
      <c r="Z19" s="117">
        <f>VLOOKUP($J19,output!$A$9:$AI$2200,Z$1-$L$1+2)</f>
        <v>495.63099999999997</v>
      </c>
      <c r="AA19" s="117">
        <f>VLOOKUP($J19,output!$A$9:$AI$2200,AA$1-$L$1+2)</f>
        <v>467.68900000000002</v>
      </c>
      <c r="AB19" s="117">
        <f>VLOOKUP($J19,output!$A$9:$AI$2200,AB$1-$L$1+2)</f>
        <v>444.66300000000001</v>
      </c>
      <c r="AC19" s="117">
        <f>VLOOKUP($J19,output!$A$9:$AI$2200,AC$1-$L$1+2)</f>
        <v>640.40200000000004</v>
      </c>
      <c r="AD19" s="117">
        <f>VLOOKUP($J19,output!$A$9:$AI$2200,AD$1-$L$1+2)</f>
        <v>554.61699999999996</v>
      </c>
      <c r="AE19" s="117">
        <f>VLOOKUP($J19,output!$A$9:$AI$2200,AE$1-$L$1+2)</f>
        <v>525.72299999999996</v>
      </c>
      <c r="AF19" s="117">
        <f>VLOOKUP($J19,output!$A$9:$AI$2200,AF$1-$L$1+2)</f>
        <v>462.13400000000001</v>
      </c>
      <c r="AG19" s="117">
        <f>VLOOKUP($J19,output!$A$9:$AI$2200,AG$1-$L$1+2)</f>
        <v>451.61799999999999</v>
      </c>
      <c r="AH19" s="117">
        <f>VLOOKUP($J19,output!$A$9:$AI$2200,AH$1-$L$1+2)</f>
        <v>436.62900000000002</v>
      </c>
      <c r="AI19" s="117">
        <f>VLOOKUP($J19,output!$A$9:$AI$2200,AI$1-$L$1+2)</f>
        <v>421.36200000000002</v>
      </c>
      <c r="AJ19" s="117">
        <f>VLOOKUP($J19,output!$A$9:$AI$2200,AJ$1-$L$1+2)</f>
        <v>407.05599999999998</v>
      </c>
      <c r="AK19" s="117">
        <f>VLOOKUP($J19,output!$A$9:$AI$2200,AK$1-$L$1+2)</f>
        <v>393.62599999999998</v>
      </c>
      <c r="AL19" s="117">
        <f>VLOOKUP($J19,output!$A$9:$AI$2200,AL$1-$L$1+2)</f>
        <v>380.71100000000001</v>
      </c>
      <c r="AM19" s="117">
        <f>VLOOKUP($J19,output!$A$9:$AI$2200,AM$1-$L$1+2)</f>
        <v>369.95299999999997</v>
      </c>
    </row>
    <row r="20" spans="10:39" x14ac:dyDescent="0.25">
      <c r="J20" s="115" t="s">
        <v>48</v>
      </c>
      <c r="K20" s="115" t="s">
        <v>342</v>
      </c>
      <c r="L20" s="117">
        <f>VLOOKUP($J20,output!$A$9:$AI$2200,L$1-$L$1+2)</f>
        <v>0</v>
      </c>
      <c r="M20" s="117">
        <f>VLOOKUP($J20,output!$A$9:$AI$2200,M$1-$L$1+2)</f>
        <v>66.858999999999995</v>
      </c>
      <c r="N20" s="117">
        <f>VLOOKUP($J20,output!$A$9:$AI$2200,N$1-$L$1+2)</f>
        <v>51</v>
      </c>
      <c r="O20" s="117">
        <f>VLOOKUP($J20,output!$A$9:$AI$2200,O$1-$L$1+2)</f>
        <v>50.872</v>
      </c>
      <c r="P20" s="117">
        <f>VLOOKUP($J20,output!$A$9:$AI$2200,P$1-$L$1+2)</f>
        <v>55.295000000000002</v>
      </c>
      <c r="Q20" s="117">
        <f>VLOOKUP($J20,output!$A$9:$AI$2200,Q$1-$L$1+2)</f>
        <v>54.615000000000002</v>
      </c>
      <c r="R20" s="117">
        <f>VLOOKUP($J20,output!$A$9:$AI$2200,R$1-$L$1+2)</f>
        <v>53.884</v>
      </c>
      <c r="S20" s="117">
        <f>VLOOKUP($J20,output!$A$9:$AI$2200,S$1-$L$1+2)</f>
        <v>57.445999999999998</v>
      </c>
      <c r="T20" s="117">
        <f>VLOOKUP($J20,output!$A$9:$AI$2200,T$1-$L$1+2)</f>
        <v>56.115000000000002</v>
      </c>
      <c r="U20" s="117">
        <f>VLOOKUP($J20,output!$A$9:$AI$2200,U$1-$L$1+2)</f>
        <v>58.914000000000001</v>
      </c>
      <c r="V20" s="117">
        <f>VLOOKUP($J20,output!$A$9:$AI$2200,V$1-$L$1+2)</f>
        <v>57.405000000000001</v>
      </c>
      <c r="W20" s="117">
        <f>VLOOKUP($J20,output!$A$9:$AI$2200,W$1-$L$1+2)</f>
        <v>55.917999999999999</v>
      </c>
      <c r="X20" s="117">
        <f>VLOOKUP($J20,output!$A$9:$AI$2200,X$1-$L$1+2)</f>
        <v>54.484999999999999</v>
      </c>
      <c r="Y20" s="117">
        <f>VLOOKUP($J20,output!$A$9:$AI$2200,Y$1-$L$1+2)</f>
        <v>88.685000000000002</v>
      </c>
      <c r="Z20" s="117">
        <f>VLOOKUP($J20,output!$A$9:$AI$2200,Z$1-$L$1+2)</f>
        <v>84.069000000000003</v>
      </c>
      <c r="AA20" s="117">
        <f>VLOOKUP($J20,output!$A$9:$AI$2200,AA$1-$L$1+2)</f>
        <v>79.451999999999998</v>
      </c>
      <c r="AB20" s="117">
        <f>VLOOKUP($J20,output!$A$9:$AI$2200,AB$1-$L$1+2)</f>
        <v>75.293999999999997</v>
      </c>
      <c r="AC20" s="117">
        <f>VLOOKUP($J20,output!$A$9:$AI$2200,AC$1-$L$1+2)</f>
        <v>145.47200000000001</v>
      </c>
      <c r="AD20" s="117">
        <f>VLOOKUP($J20,output!$A$9:$AI$2200,AD$1-$L$1+2)</f>
        <v>98.551000000000002</v>
      </c>
      <c r="AE20" s="117">
        <f>VLOOKUP($J20,output!$A$9:$AI$2200,AE$1-$L$1+2)</f>
        <v>93.180999999999997</v>
      </c>
      <c r="AF20" s="117">
        <f>VLOOKUP($J20,output!$A$9:$AI$2200,AF$1-$L$1+2)</f>
        <v>88.131</v>
      </c>
      <c r="AG20" s="117">
        <f>VLOOKUP($J20,output!$A$9:$AI$2200,AG$1-$L$1+2)</f>
        <v>84.212999999999994</v>
      </c>
      <c r="AH20" s="117">
        <f>VLOOKUP($J20,output!$A$9:$AI$2200,AH$1-$L$1+2)</f>
        <v>80.578000000000003</v>
      </c>
      <c r="AI20" s="117">
        <f>VLOOKUP($J20,output!$A$9:$AI$2200,AI$1-$L$1+2)</f>
        <v>76.763000000000005</v>
      </c>
      <c r="AJ20" s="117">
        <f>VLOOKUP($J20,output!$A$9:$AI$2200,AJ$1-$L$1+2)</f>
        <v>73.182000000000002</v>
      </c>
      <c r="AK20" s="117">
        <f>VLOOKUP($J20,output!$A$9:$AI$2200,AK$1-$L$1+2)</f>
        <v>69.727999999999994</v>
      </c>
      <c r="AL20" s="117">
        <f>VLOOKUP($J20,output!$A$9:$AI$2200,AL$1-$L$1+2)</f>
        <v>66.388999999999996</v>
      </c>
      <c r="AM20" s="117">
        <f>VLOOKUP($J20,output!$A$9:$AI$2200,AM$1-$L$1+2)</f>
        <v>63.03</v>
      </c>
    </row>
    <row r="21" spans="10:39" x14ac:dyDescent="0.25">
      <c r="J21" s="115" t="s">
        <v>49</v>
      </c>
      <c r="K21" s="115" t="s">
        <v>343</v>
      </c>
      <c r="L21" s="117">
        <f>VLOOKUP($J21,output!$A$9:$AI$2200,L$1-$L$1+2)</f>
        <v>0</v>
      </c>
      <c r="M21" s="117">
        <f>VLOOKUP($J21,output!$A$9:$AI$2200,M$1-$L$1+2)</f>
        <v>75.745999999999995</v>
      </c>
      <c r="N21" s="117">
        <f>VLOOKUP($J21,output!$A$9:$AI$2200,N$1-$L$1+2)</f>
        <v>60.488</v>
      </c>
      <c r="O21" s="117">
        <f>VLOOKUP($J21,output!$A$9:$AI$2200,O$1-$L$1+2)</f>
        <v>89.875</v>
      </c>
      <c r="P21" s="117">
        <f>VLOOKUP($J21,output!$A$9:$AI$2200,P$1-$L$1+2)</f>
        <v>75.798000000000002</v>
      </c>
      <c r="Q21" s="117">
        <f>VLOOKUP($J21,output!$A$9:$AI$2200,Q$1-$L$1+2)</f>
        <v>64.471999999999994</v>
      </c>
      <c r="R21" s="117">
        <f>VLOOKUP($J21,output!$A$9:$AI$2200,R$1-$L$1+2)</f>
        <v>55.584000000000003</v>
      </c>
      <c r="S21" s="117">
        <f>VLOOKUP($J21,output!$A$9:$AI$2200,S$1-$L$1+2)</f>
        <v>48.606000000000002</v>
      </c>
      <c r="T21" s="117">
        <f>VLOOKUP($J21,output!$A$9:$AI$2200,T$1-$L$1+2)</f>
        <v>235.9</v>
      </c>
      <c r="U21" s="117">
        <f>VLOOKUP($J21,output!$A$9:$AI$2200,U$1-$L$1+2)</f>
        <v>192.02699999999999</v>
      </c>
      <c r="V21" s="117">
        <f>VLOOKUP($J21,output!$A$9:$AI$2200,V$1-$L$1+2)</f>
        <v>156.03399999999999</v>
      </c>
      <c r="W21" s="117">
        <f>VLOOKUP($J21,output!$A$9:$AI$2200,W$1-$L$1+2)</f>
        <v>127.49</v>
      </c>
      <c r="X21" s="117">
        <f>VLOOKUP($J21,output!$A$9:$AI$2200,X$1-$L$1+2)</f>
        <v>104.876</v>
      </c>
      <c r="Y21" s="117">
        <f>VLOOKUP($J21,output!$A$9:$AI$2200,Y$1-$L$1+2)</f>
        <v>87.415999999999997</v>
      </c>
      <c r="Z21" s="117">
        <f>VLOOKUP($J21,output!$A$9:$AI$2200,Z$1-$L$1+2)</f>
        <v>413.80099999999999</v>
      </c>
      <c r="AA21" s="117">
        <f>VLOOKUP($J21,output!$A$9:$AI$2200,AA$1-$L$1+2)</f>
        <v>364.35</v>
      </c>
      <c r="AB21" s="117">
        <f>VLOOKUP($J21,output!$A$9:$AI$2200,AB$1-$L$1+2)</f>
        <v>322.45999999999998</v>
      </c>
      <c r="AC21" s="117">
        <f>VLOOKUP($J21,output!$A$9:$AI$2200,AC$1-$L$1+2)</f>
        <v>289.77800000000002</v>
      </c>
      <c r="AD21" s="117">
        <f>VLOOKUP($J21,output!$A$9:$AI$2200,AD$1-$L$1+2)</f>
        <v>250.38</v>
      </c>
      <c r="AE21" s="117">
        <f>VLOOKUP($J21,output!$A$9:$AI$2200,AE$1-$L$1+2)</f>
        <v>222.02500000000001</v>
      </c>
      <c r="AF21" s="117">
        <f>VLOOKUP($J21,output!$A$9:$AI$2200,AF$1-$L$1+2)</f>
        <v>197.137</v>
      </c>
      <c r="AG21" s="117">
        <f>VLOOKUP($J21,output!$A$9:$AI$2200,AG$1-$L$1+2)</f>
        <v>180.06700000000001</v>
      </c>
      <c r="AH21" s="117">
        <f>VLOOKUP($J21,output!$A$9:$AI$2200,AH$1-$L$1+2)</f>
        <v>164.357</v>
      </c>
      <c r="AI21" s="117">
        <f>VLOOKUP($J21,output!$A$9:$AI$2200,AI$1-$L$1+2)</f>
        <v>150.423</v>
      </c>
      <c r="AJ21" s="117">
        <f>VLOOKUP($J21,output!$A$9:$AI$2200,AJ$1-$L$1+2)</f>
        <v>137.97</v>
      </c>
      <c r="AK21" s="117">
        <f>VLOOKUP($J21,output!$A$9:$AI$2200,AK$1-$L$1+2)</f>
        <v>127.006</v>
      </c>
      <c r="AL21" s="117">
        <f>VLOOKUP($J21,output!$A$9:$AI$2200,AL$1-$L$1+2)</f>
        <v>117.372</v>
      </c>
      <c r="AM21" s="117">
        <f>VLOOKUP($J21,output!$A$9:$AI$2200,AM$1-$L$1+2)</f>
        <v>108.896</v>
      </c>
    </row>
    <row r="22" spans="10:39" x14ac:dyDescent="0.25">
      <c r="J22" s="115" t="s">
        <v>50</v>
      </c>
      <c r="K22" s="115" t="s">
        <v>344</v>
      </c>
      <c r="L22" s="117">
        <f>VLOOKUP($J22,output!$A$9:$AI$2200,L$1-$L$1+2)</f>
        <v>0</v>
      </c>
      <c r="M22" s="117">
        <f>VLOOKUP($J22,output!$A$9:$AI$2200,M$1-$L$1+2)</f>
        <v>15.24</v>
      </c>
      <c r="N22" s="117">
        <f>VLOOKUP($J22,output!$A$9:$AI$2200,N$1-$L$1+2)</f>
        <v>61.817999999999998</v>
      </c>
      <c r="O22" s="117">
        <f>VLOOKUP($J22,output!$A$9:$AI$2200,O$1-$L$1+2)</f>
        <v>139.63300000000001</v>
      </c>
      <c r="P22" s="117">
        <f>VLOOKUP($J22,output!$A$9:$AI$2200,P$1-$L$1+2)</f>
        <v>181.31</v>
      </c>
      <c r="Q22" s="117">
        <f>VLOOKUP($J22,output!$A$9:$AI$2200,Q$1-$L$1+2)</f>
        <v>224.56700000000001</v>
      </c>
      <c r="R22" s="117">
        <f>VLOOKUP($J22,output!$A$9:$AI$2200,R$1-$L$1+2)</f>
        <v>234.96600000000001</v>
      </c>
      <c r="S22" s="117">
        <f>VLOOKUP($J22,output!$A$9:$AI$2200,S$1-$L$1+2)</f>
        <v>238.434</v>
      </c>
      <c r="T22" s="117">
        <f>VLOOKUP($J22,output!$A$9:$AI$2200,T$1-$L$1+2)</f>
        <v>253.65299999999999</v>
      </c>
      <c r="U22" s="117">
        <f>VLOOKUP($J22,output!$A$9:$AI$2200,U$1-$L$1+2)</f>
        <v>245.87799999999999</v>
      </c>
      <c r="V22" s="117">
        <f>VLOOKUP($J22,output!$A$9:$AI$2200,V$1-$L$1+2)</f>
        <v>265.50299999999999</v>
      </c>
      <c r="W22" s="117">
        <f>VLOOKUP($J22,output!$A$9:$AI$2200,W$1-$L$1+2)</f>
        <v>311.76100000000002</v>
      </c>
      <c r="X22" s="117">
        <f>VLOOKUP($J22,output!$A$9:$AI$2200,X$1-$L$1+2)</f>
        <v>325.79500000000002</v>
      </c>
      <c r="Y22" s="117">
        <f>VLOOKUP($J22,output!$A$9:$AI$2200,Y$1-$L$1+2)</f>
        <v>298.59800000000001</v>
      </c>
      <c r="Z22" s="117">
        <f>VLOOKUP($J22,output!$A$9:$AI$2200,Z$1-$L$1+2)</f>
        <v>256.43900000000002</v>
      </c>
      <c r="AA22" s="117">
        <f>VLOOKUP($J22,output!$A$9:$AI$2200,AA$1-$L$1+2)</f>
        <v>275.69400000000002</v>
      </c>
      <c r="AB22" s="117">
        <f>VLOOKUP($J22,output!$A$9:$AI$2200,AB$1-$L$1+2)</f>
        <v>321.87200000000001</v>
      </c>
      <c r="AC22" s="117">
        <f>VLOOKUP($J22,output!$A$9:$AI$2200,AC$1-$L$1+2)</f>
        <v>335.75700000000001</v>
      </c>
      <c r="AD22" s="117">
        <f>VLOOKUP($J22,output!$A$9:$AI$2200,AD$1-$L$1+2)</f>
        <v>336.935</v>
      </c>
      <c r="AE22" s="117">
        <f>VLOOKUP($J22,output!$A$9:$AI$2200,AE$1-$L$1+2)</f>
        <v>346.87099999999998</v>
      </c>
      <c r="AF22" s="117">
        <f>VLOOKUP($J22,output!$A$9:$AI$2200,AF$1-$L$1+2)</f>
        <v>310.096</v>
      </c>
      <c r="AG22" s="117">
        <f>VLOOKUP($J22,output!$A$9:$AI$2200,AG$1-$L$1+2)</f>
        <v>344.03</v>
      </c>
      <c r="AH22" s="117">
        <f>VLOOKUP($J22,output!$A$9:$AI$2200,AH$1-$L$1+2)</f>
        <v>327.65100000000001</v>
      </c>
      <c r="AI22" s="117">
        <f>VLOOKUP($J22,output!$A$9:$AI$2200,AI$1-$L$1+2)</f>
        <v>313.464</v>
      </c>
      <c r="AJ22" s="117">
        <f>VLOOKUP($J22,output!$A$9:$AI$2200,AJ$1-$L$1+2)</f>
        <v>299.41899999999998</v>
      </c>
      <c r="AK22" s="117">
        <f>VLOOKUP($J22,output!$A$9:$AI$2200,AK$1-$L$1+2)</f>
        <v>286.48099999999999</v>
      </c>
      <c r="AL22" s="117">
        <f>VLOOKUP($J22,output!$A$9:$AI$2200,AL$1-$L$1+2)</f>
        <v>274.02999999999997</v>
      </c>
      <c r="AM22" s="117">
        <f>VLOOKUP($J22,output!$A$9:$AI$2200,AM$1-$L$1+2)</f>
        <v>261.98399999999998</v>
      </c>
    </row>
    <row r="23" spans="10:39" x14ac:dyDescent="0.25">
      <c r="J23" s="115" t="s">
        <v>51</v>
      </c>
      <c r="K23" s="115" t="s">
        <v>345</v>
      </c>
      <c r="L23" s="117">
        <f>VLOOKUP($J23,output!$A$9:$AI$2200,L$1-$L$1+2)</f>
        <v>0</v>
      </c>
      <c r="M23" s="117">
        <f>VLOOKUP($J23,output!$A$9:$AI$2200,M$1-$L$1+2)</f>
        <v>373.90800000000002</v>
      </c>
      <c r="N23" s="117">
        <f>VLOOKUP($J23,output!$A$9:$AI$2200,N$1-$L$1+2)</f>
        <v>194.506</v>
      </c>
      <c r="O23" s="117">
        <f>VLOOKUP($J23,output!$A$9:$AI$2200,O$1-$L$1+2)</f>
        <v>207.952</v>
      </c>
      <c r="P23" s="117">
        <f>VLOOKUP($J23,output!$A$9:$AI$2200,P$1-$L$1+2)</f>
        <v>230.08699999999999</v>
      </c>
      <c r="Q23" s="117">
        <f>VLOOKUP($J23,output!$A$9:$AI$2200,Q$1-$L$1+2)</f>
        <v>222.751</v>
      </c>
      <c r="R23" s="117">
        <f>VLOOKUP($J23,output!$A$9:$AI$2200,R$1-$L$1+2)</f>
        <v>216.001</v>
      </c>
      <c r="S23" s="117">
        <f>VLOOKUP($J23,output!$A$9:$AI$2200,S$1-$L$1+2)</f>
        <v>266.178</v>
      </c>
      <c r="T23" s="117">
        <f>VLOOKUP($J23,output!$A$9:$AI$2200,T$1-$L$1+2)</f>
        <v>254.64</v>
      </c>
      <c r="U23" s="117">
        <f>VLOOKUP($J23,output!$A$9:$AI$2200,U$1-$L$1+2)</f>
        <v>255.42400000000001</v>
      </c>
      <c r="V23" s="117">
        <f>VLOOKUP($J23,output!$A$9:$AI$2200,V$1-$L$1+2)</f>
        <v>242.626</v>
      </c>
      <c r="W23" s="117">
        <f>VLOOKUP($J23,output!$A$9:$AI$2200,W$1-$L$1+2)</f>
        <v>230.38900000000001</v>
      </c>
      <c r="X23" s="117">
        <f>VLOOKUP($J23,output!$A$9:$AI$2200,X$1-$L$1+2)</f>
        <v>218.739</v>
      </c>
      <c r="Y23" s="117">
        <f>VLOOKUP($J23,output!$A$9:$AI$2200,Y$1-$L$1+2)</f>
        <v>225.44300000000001</v>
      </c>
      <c r="Z23" s="117">
        <f>VLOOKUP($J23,output!$A$9:$AI$2200,Z$1-$L$1+2)</f>
        <v>215.86500000000001</v>
      </c>
      <c r="AA23" s="117">
        <f>VLOOKUP($J23,output!$A$9:$AI$2200,AA$1-$L$1+2)</f>
        <v>206.59899999999999</v>
      </c>
      <c r="AB23" s="117">
        <f>VLOOKUP($J23,output!$A$9:$AI$2200,AB$1-$L$1+2)</f>
        <v>198.05600000000001</v>
      </c>
      <c r="AC23" s="117">
        <f>VLOOKUP($J23,output!$A$9:$AI$2200,AC$1-$L$1+2)</f>
        <v>409.33600000000001</v>
      </c>
      <c r="AD23" s="117">
        <f>VLOOKUP($J23,output!$A$9:$AI$2200,AD$1-$L$1+2)</f>
        <v>345.072</v>
      </c>
      <c r="AE23" s="117">
        <f>VLOOKUP($J23,output!$A$9:$AI$2200,AE$1-$L$1+2)</f>
        <v>330.66</v>
      </c>
      <c r="AF23" s="117">
        <f>VLOOKUP($J23,output!$A$9:$AI$2200,AF$1-$L$1+2)</f>
        <v>317.29500000000002</v>
      </c>
      <c r="AG23" s="117">
        <f>VLOOKUP($J23,output!$A$9:$AI$2200,AG$1-$L$1+2)</f>
        <v>308.51400000000001</v>
      </c>
      <c r="AH23" s="117">
        <f>VLOOKUP($J23,output!$A$9:$AI$2200,AH$1-$L$1+2)</f>
        <v>300.96300000000002</v>
      </c>
      <c r="AI23" s="117">
        <f>VLOOKUP($J23,output!$A$9:$AI$2200,AI$1-$L$1+2)</f>
        <v>292.709</v>
      </c>
      <c r="AJ23" s="117">
        <f>VLOOKUP($J23,output!$A$9:$AI$2200,AJ$1-$L$1+2)</f>
        <v>285.11500000000001</v>
      </c>
      <c r="AK23" s="117">
        <f>VLOOKUP($J23,output!$A$9:$AI$2200,AK$1-$L$1+2)</f>
        <v>277.81700000000001</v>
      </c>
      <c r="AL23" s="117">
        <f>VLOOKUP($J23,output!$A$9:$AI$2200,AL$1-$L$1+2)</f>
        <v>270.64800000000002</v>
      </c>
      <c r="AM23" s="117">
        <f>VLOOKUP($J23,output!$A$9:$AI$2200,AM$1-$L$1+2)</f>
        <v>265.262</v>
      </c>
    </row>
    <row r="24" spans="10:39" x14ac:dyDescent="0.25">
      <c r="J24" s="115" t="s">
        <v>52</v>
      </c>
      <c r="K24" s="115" t="s">
        <v>346</v>
      </c>
      <c r="L24" s="117">
        <f>VLOOKUP($J24,output!$A$9:$AI$2200,L$1-$L$1+2)</f>
        <v>0</v>
      </c>
      <c r="M24" s="117">
        <f>VLOOKUP($J24,output!$A$9:$AI$2200,M$1-$L$1+2)</f>
        <v>54.747</v>
      </c>
      <c r="N24" s="117">
        <f>VLOOKUP($J24,output!$A$9:$AI$2200,N$1-$L$1+2)</f>
        <v>37.575000000000003</v>
      </c>
      <c r="O24" s="117">
        <f>VLOOKUP($J24,output!$A$9:$AI$2200,O$1-$L$1+2)</f>
        <v>88.86</v>
      </c>
      <c r="P24" s="117">
        <f>VLOOKUP($J24,output!$A$9:$AI$2200,P$1-$L$1+2)</f>
        <v>71.555999999999997</v>
      </c>
      <c r="Q24" s="117">
        <f>VLOOKUP($J24,output!$A$9:$AI$2200,Q$1-$L$1+2)</f>
        <v>57.828000000000003</v>
      </c>
      <c r="R24" s="117">
        <f>VLOOKUP($J24,output!$A$9:$AI$2200,R$1-$L$1+2)</f>
        <v>47.110999999999997</v>
      </c>
      <c r="S24" s="117">
        <f>VLOOKUP($J24,output!$A$9:$AI$2200,S$1-$L$1+2)</f>
        <v>38.75</v>
      </c>
      <c r="T24" s="117">
        <f>VLOOKUP($J24,output!$A$9:$AI$2200,T$1-$L$1+2)</f>
        <v>66.132000000000005</v>
      </c>
      <c r="U24" s="117">
        <f>VLOOKUP($J24,output!$A$9:$AI$2200,U$1-$L$1+2)</f>
        <v>52.555999999999997</v>
      </c>
      <c r="V24" s="117">
        <f>VLOOKUP($J24,output!$A$9:$AI$2200,V$1-$L$1+2)</f>
        <v>41.511000000000003</v>
      </c>
      <c r="W24" s="117">
        <f>VLOOKUP($J24,output!$A$9:$AI$2200,W$1-$L$1+2)</f>
        <v>33.067</v>
      </c>
      <c r="X24" s="117">
        <f>VLOOKUP($J24,output!$A$9:$AI$2200,X$1-$L$1+2)</f>
        <v>26.641999999999999</v>
      </c>
      <c r="Y24" s="117">
        <f>VLOOKUP($J24,output!$A$9:$AI$2200,Y$1-$L$1+2)</f>
        <v>22.704000000000001</v>
      </c>
      <c r="Z24" s="117">
        <f>VLOOKUP($J24,output!$A$9:$AI$2200,Z$1-$L$1+2)</f>
        <v>184.874</v>
      </c>
      <c r="AA24" s="117">
        <f>VLOOKUP($J24,output!$A$9:$AI$2200,AA$1-$L$1+2)</f>
        <v>170.62299999999999</v>
      </c>
      <c r="AB24" s="117">
        <f>VLOOKUP($J24,output!$A$9:$AI$2200,AB$1-$L$1+2)</f>
        <v>157.56100000000001</v>
      </c>
      <c r="AC24" s="117">
        <f>VLOOKUP($J24,output!$A$9:$AI$2200,AC$1-$L$1+2)</f>
        <v>145.81800000000001</v>
      </c>
      <c r="AD24" s="117">
        <f>VLOOKUP($J24,output!$A$9:$AI$2200,AD$1-$L$1+2)</f>
        <v>131.06100000000001</v>
      </c>
      <c r="AE24" s="117">
        <f>VLOOKUP($J24,output!$A$9:$AI$2200,AE$1-$L$1+2)</f>
        <v>119.761</v>
      </c>
      <c r="AF24" s="117">
        <f>VLOOKUP($J24,output!$A$9:$AI$2200,AF$1-$L$1+2)</f>
        <v>109.343</v>
      </c>
      <c r="AG24" s="117">
        <f>VLOOKUP($J24,output!$A$9:$AI$2200,AG$1-$L$1+2)</f>
        <v>103.152</v>
      </c>
      <c r="AH24" s="117">
        <f>VLOOKUP($J24,output!$A$9:$AI$2200,AH$1-$L$1+2)</f>
        <v>97.028000000000006</v>
      </c>
      <c r="AI24" s="117">
        <f>VLOOKUP($J24,output!$A$9:$AI$2200,AI$1-$L$1+2)</f>
        <v>91.126999999999995</v>
      </c>
      <c r="AJ24" s="117">
        <f>VLOOKUP($J24,output!$A$9:$AI$2200,AJ$1-$L$1+2)</f>
        <v>85.679000000000002</v>
      </c>
      <c r="AK24" s="117">
        <f>VLOOKUP($J24,output!$A$9:$AI$2200,AK$1-$L$1+2)</f>
        <v>80.64</v>
      </c>
      <c r="AL24" s="117">
        <f>VLOOKUP($J24,output!$A$9:$AI$2200,AL$1-$L$1+2)</f>
        <v>76.004999999999995</v>
      </c>
      <c r="AM24" s="117">
        <f>VLOOKUP($J24,output!$A$9:$AI$2200,AM$1-$L$1+2)</f>
        <v>71.778999999999996</v>
      </c>
    </row>
    <row r="25" spans="10:39" x14ac:dyDescent="0.25">
      <c r="J25" s="115" t="s">
        <v>53</v>
      </c>
      <c r="K25" s="115" t="s">
        <v>347</v>
      </c>
      <c r="L25" s="117">
        <f>VLOOKUP($J25,output!$A$9:$AI$2200,L$1-$L$1+2)</f>
        <v>0</v>
      </c>
      <c r="M25" s="117">
        <f>VLOOKUP($J25,output!$A$9:$AI$2200,M$1-$L$1+2)</f>
        <v>14.484</v>
      </c>
      <c r="N25" s="117">
        <f>VLOOKUP($J25,output!$A$9:$AI$2200,N$1-$L$1+2)</f>
        <v>29.827999999999999</v>
      </c>
      <c r="O25" s="117">
        <f>VLOOKUP($J25,output!$A$9:$AI$2200,O$1-$L$1+2)</f>
        <v>47.03</v>
      </c>
      <c r="P25" s="117">
        <f>VLOOKUP($J25,output!$A$9:$AI$2200,P$1-$L$1+2)</f>
        <v>59.106000000000002</v>
      </c>
      <c r="Q25" s="117">
        <f>VLOOKUP($J25,output!$A$9:$AI$2200,Q$1-$L$1+2)</f>
        <v>61.26</v>
      </c>
      <c r="R25" s="117">
        <f>VLOOKUP($J25,output!$A$9:$AI$2200,R$1-$L$1+2)</f>
        <v>56.506999999999998</v>
      </c>
      <c r="S25" s="117">
        <f>VLOOKUP($J25,output!$A$9:$AI$2200,S$1-$L$1+2)</f>
        <v>61.023000000000003</v>
      </c>
      <c r="T25" s="117">
        <f>VLOOKUP($J25,output!$A$9:$AI$2200,T$1-$L$1+2)</f>
        <v>68.090999999999994</v>
      </c>
      <c r="U25" s="117">
        <f>VLOOKUP($J25,output!$A$9:$AI$2200,U$1-$L$1+2)</f>
        <v>75.900000000000006</v>
      </c>
      <c r="V25" s="117">
        <f>VLOOKUP($J25,output!$A$9:$AI$2200,V$1-$L$1+2)</f>
        <v>89.632999999999996</v>
      </c>
      <c r="W25" s="117">
        <f>VLOOKUP($J25,output!$A$9:$AI$2200,W$1-$L$1+2)</f>
        <v>108.262</v>
      </c>
      <c r="X25" s="117">
        <f>VLOOKUP($J25,output!$A$9:$AI$2200,X$1-$L$1+2)</f>
        <v>100.738</v>
      </c>
      <c r="Y25" s="117">
        <f>VLOOKUP($J25,output!$A$9:$AI$2200,Y$1-$L$1+2)</f>
        <v>105.217</v>
      </c>
      <c r="Z25" s="117">
        <f>VLOOKUP($J25,output!$A$9:$AI$2200,Z$1-$L$1+2)</f>
        <v>94.891999999999996</v>
      </c>
      <c r="AA25" s="117">
        <f>VLOOKUP($J25,output!$A$9:$AI$2200,AA$1-$L$1+2)</f>
        <v>90.465999999999994</v>
      </c>
      <c r="AB25" s="117">
        <f>VLOOKUP($J25,output!$A$9:$AI$2200,AB$1-$L$1+2)</f>
        <v>89.046000000000006</v>
      </c>
      <c r="AC25" s="117">
        <f>VLOOKUP($J25,output!$A$9:$AI$2200,AC$1-$L$1+2)</f>
        <v>85.248999999999995</v>
      </c>
      <c r="AD25" s="117">
        <f>VLOOKUP($J25,output!$A$9:$AI$2200,AD$1-$L$1+2)</f>
        <v>78.483999999999995</v>
      </c>
      <c r="AE25" s="117">
        <f>VLOOKUP($J25,output!$A$9:$AI$2200,AE$1-$L$1+2)</f>
        <v>75.302000000000007</v>
      </c>
      <c r="AF25" s="117">
        <f>VLOOKUP($J25,output!$A$9:$AI$2200,AF$1-$L$1+2)</f>
        <v>35.494999999999997</v>
      </c>
      <c r="AG25" s="117">
        <f>VLOOKUP($J25,output!$A$9:$AI$2200,AG$1-$L$1+2)</f>
        <v>39.951999999999998</v>
      </c>
      <c r="AH25" s="117">
        <f>VLOOKUP($J25,output!$A$9:$AI$2200,AH$1-$L$1+2)</f>
        <v>38.637</v>
      </c>
      <c r="AI25" s="117">
        <f>VLOOKUP($J25,output!$A$9:$AI$2200,AI$1-$L$1+2)</f>
        <v>37.526000000000003</v>
      </c>
      <c r="AJ25" s="117">
        <f>VLOOKUP($J25,output!$A$9:$AI$2200,AJ$1-$L$1+2)</f>
        <v>36.261000000000003</v>
      </c>
      <c r="AK25" s="117">
        <f>VLOOKUP($J25,output!$A$9:$AI$2200,AK$1-$L$1+2)</f>
        <v>35.168999999999997</v>
      </c>
      <c r="AL25" s="117">
        <f>VLOOKUP($J25,output!$A$9:$AI$2200,AL$1-$L$1+2)</f>
        <v>34.057000000000002</v>
      </c>
      <c r="AM25" s="117">
        <f>VLOOKUP($J25,output!$A$9:$AI$2200,AM$1-$L$1+2)</f>
        <v>32.911999999999999</v>
      </c>
    </row>
    <row r="26" spans="10:39" x14ac:dyDescent="0.25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0:39" x14ac:dyDescent="0.25">
      <c r="J27" s="115" t="s">
        <v>199</v>
      </c>
      <c r="L27" s="3"/>
      <c r="M27" s="3">
        <f t="shared" ref="M27:AM27" si="0">(M23+M24)/M17</f>
        <v>0.71325526137135098</v>
      </c>
      <c r="N27" s="3">
        <f t="shared" si="0"/>
        <v>0.53325475166354186</v>
      </c>
      <c r="O27" s="3">
        <f t="shared" si="0"/>
        <v>0.4754910913104633</v>
      </c>
      <c r="P27" s="3">
        <f t="shared" si="0"/>
        <v>0.44810533133675595</v>
      </c>
      <c r="Q27" s="3">
        <f t="shared" si="0"/>
        <v>0.40931099022452522</v>
      </c>
      <c r="R27" s="3">
        <f t="shared" si="0"/>
        <v>0.39622138594359191</v>
      </c>
      <c r="S27" s="3">
        <f t="shared" si="0"/>
        <v>0.42921248360161929</v>
      </c>
      <c r="T27" s="3">
        <f t="shared" si="0"/>
        <v>0.34324383032772587</v>
      </c>
      <c r="U27" s="3">
        <f t="shared" si="0"/>
        <v>0.34969910298626095</v>
      </c>
      <c r="V27" s="3">
        <f t="shared" si="0"/>
        <v>0.33321606030648132</v>
      </c>
      <c r="W27" s="3">
        <f t="shared" si="0"/>
        <v>0.30391042892556935</v>
      </c>
      <c r="X27" s="3">
        <f t="shared" si="0"/>
        <v>0.29518631018615982</v>
      </c>
      <c r="Y27" s="3">
        <f t="shared" si="0"/>
        <v>0.29967236713237311</v>
      </c>
      <c r="Z27" s="3">
        <f t="shared" si="0"/>
        <v>0.3206065891162776</v>
      </c>
      <c r="AA27" s="3">
        <f t="shared" si="0"/>
        <v>0.31774491759919471</v>
      </c>
      <c r="AB27" s="3">
        <f t="shared" si="0"/>
        <v>0.30543705214083444</v>
      </c>
      <c r="AC27" s="3">
        <f t="shared" si="0"/>
        <v>0.3933331869075512</v>
      </c>
      <c r="AD27" s="3">
        <f t="shared" si="0"/>
        <v>0.38382902774889122</v>
      </c>
      <c r="AE27" s="3">
        <f t="shared" si="0"/>
        <v>0.37920577605171241</v>
      </c>
      <c r="AF27" s="3">
        <f t="shared" si="0"/>
        <v>0.40344095213418846</v>
      </c>
      <c r="AG27" s="3">
        <f t="shared" si="0"/>
        <v>0.38839053218709191</v>
      </c>
      <c r="AH27" s="3">
        <f t="shared" si="0"/>
        <v>0.39435700024276299</v>
      </c>
      <c r="AI27" s="3">
        <f t="shared" si="0"/>
        <v>0.39899252920698575</v>
      </c>
      <c r="AJ27" s="3">
        <f t="shared" si="0"/>
        <v>0.40407965772547855</v>
      </c>
      <c r="AK27" s="3">
        <f t="shared" si="0"/>
        <v>0.40880455087689688</v>
      </c>
      <c r="AL27" s="3">
        <f t="shared" si="0"/>
        <v>0.4134199005129392</v>
      </c>
      <c r="AM27" s="3">
        <f t="shared" si="0"/>
        <v>0.41927666779040706</v>
      </c>
    </row>
    <row r="28" spans="10:39" x14ac:dyDescent="0.25">
      <c r="J28" s="115" t="s">
        <v>197</v>
      </c>
      <c r="L28" s="3"/>
      <c r="M28" s="3">
        <f t="shared" ref="M28:AM28" si="1">(M20+M21)/M17</f>
        <v>0.23728585120402537</v>
      </c>
      <c r="N28" s="3">
        <f t="shared" si="1"/>
        <v>0.25616705268188666</v>
      </c>
      <c r="O28" s="3">
        <f t="shared" si="1"/>
        <v>0.22547587236592112</v>
      </c>
      <c r="P28" s="3">
        <f t="shared" si="1"/>
        <v>0.19474502044114853</v>
      </c>
      <c r="Q28" s="3">
        <f t="shared" si="1"/>
        <v>0.17372511090590539</v>
      </c>
      <c r="R28" s="3">
        <f t="shared" si="1"/>
        <v>0.16484828771197479</v>
      </c>
      <c r="S28" s="3">
        <f t="shared" si="1"/>
        <v>0.14927734517957986</v>
      </c>
      <c r="T28" s="3">
        <f t="shared" si="1"/>
        <v>0.312472245436481</v>
      </c>
      <c r="U28" s="3">
        <f t="shared" si="1"/>
        <v>0.28493357556489152</v>
      </c>
      <c r="V28" s="3">
        <f t="shared" si="1"/>
        <v>0.25030637578265086</v>
      </c>
      <c r="W28" s="3">
        <f t="shared" si="1"/>
        <v>0.21157082757037537</v>
      </c>
      <c r="X28" s="3">
        <f t="shared" si="1"/>
        <v>0.19170671558750113</v>
      </c>
      <c r="Y28" s="3">
        <f t="shared" si="1"/>
        <v>0.212666699675507</v>
      </c>
      <c r="Z28" s="3">
        <f t="shared" si="1"/>
        <v>0.39831511912571804</v>
      </c>
      <c r="AA28" s="3">
        <f t="shared" si="1"/>
        <v>0.37382716257365117</v>
      </c>
      <c r="AB28" s="3">
        <f t="shared" si="1"/>
        <v>0.34162823834975675</v>
      </c>
      <c r="AC28" s="3">
        <f t="shared" si="1"/>
        <v>0.30837978218928741</v>
      </c>
      <c r="AD28" s="3">
        <f t="shared" si="1"/>
        <v>0.28128662890715062</v>
      </c>
      <c r="AE28" s="3">
        <f t="shared" si="1"/>
        <v>0.26536936742770889</v>
      </c>
      <c r="AF28" s="3">
        <f t="shared" si="1"/>
        <v>0.26975748417491097</v>
      </c>
      <c r="AG28" s="3">
        <f t="shared" si="1"/>
        <v>0.24933769086202076</v>
      </c>
      <c r="AH28" s="3">
        <f t="shared" si="1"/>
        <v>0.24269853301823693</v>
      </c>
      <c r="AI28" s="3">
        <f t="shared" si="1"/>
        <v>0.23615689185073382</v>
      </c>
      <c r="AJ28" s="3">
        <f t="shared" si="1"/>
        <v>0.23010681911802847</v>
      </c>
      <c r="AK28" s="3">
        <f t="shared" si="1"/>
        <v>0.22436653353739897</v>
      </c>
      <c r="AL28" s="3">
        <f t="shared" si="1"/>
        <v>0.21915418109221099</v>
      </c>
      <c r="AM28" s="3">
        <f t="shared" si="1"/>
        <v>0.2138747522898802</v>
      </c>
    </row>
    <row r="29" spans="10:39" x14ac:dyDescent="0.25">
      <c r="J29" s="115" t="s">
        <v>198</v>
      </c>
      <c r="L29" s="3"/>
      <c r="M29" s="3">
        <f t="shared" ref="M29:AM29" si="2">(M22+M25)/M17</f>
        <v>4.9458887424623614E-2</v>
      </c>
      <c r="N29" s="3">
        <f t="shared" si="2"/>
        <v>0.21057589794492848</v>
      </c>
      <c r="O29" s="3">
        <f t="shared" si="2"/>
        <v>0.29903303632361566</v>
      </c>
      <c r="P29" s="3">
        <f t="shared" si="2"/>
        <v>0.35714964822209544</v>
      </c>
      <c r="Q29" s="3">
        <f t="shared" si="2"/>
        <v>0.41696681648628503</v>
      </c>
      <c r="R29" s="3">
        <f t="shared" si="2"/>
        <v>0.43893032634443335</v>
      </c>
      <c r="S29" s="3">
        <f t="shared" si="2"/>
        <v>0.42151157880512807</v>
      </c>
      <c r="T29" s="3">
        <f t="shared" si="2"/>
        <v>0.34428392423579313</v>
      </c>
      <c r="U29" s="3">
        <f t="shared" si="2"/>
        <v>0.3653661859884183</v>
      </c>
      <c r="V29" s="3">
        <f t="shared" si="2"/>
        <v>0.41647873664113627</v>
      </c>
      <c r="W29" s="3">
        <f t="shared" si="2"/>
        <v>0.48451874350405538</v>
      </c>
      <c r="X29" s="3">
        <f t="shared" si="2"/>
        <v>0.51310697422633911</v>
      </c>
      <c r="Y29" s="3">
        <f t="shared" si="2"/>
        <v>0.48766334847311971</v>
      </c>
      <c r="Z29" s="3">
        <f t="shared" si="2"/>
        <v>0.28107829175800436</v>
      </c>
      <c r="AA29" s="3">
        <f t="shared" si="2"/>
        <v>0.30842707749845227</v>
      </c>
      <c r="AB29" s="3">
        <f t="shared" si="2"/>
        <v>0.35293470950940875</v>
      </c>
      <c r="AC29" s="3">
        <f t="shared" si="2"/>
        <v>0.29828773941501008</v>
      </c>
      <c r="AD29" s="3">
        <f t="shared" si="2"/>
        <v>0.33488514948221737</v>
      </c>
      <c r="AE29" s="3">
        <f t="shared" si="2"/>
        <v>0.35542401462871309</v>
      </c>
      <c r="AF29" s="3">
        <f t="shared" si="2"/>
        <v>0.32680061806263461</v>
      </c>
      <c r="AG29" s="3">
        <f t="shared" si="2"/>
        <v>0.36227177695088719</v>
      </c>
      <c r="AH29" s="3">
        <f t="shared" si="2"/>
        <v>0.36294347586985926</v>
      </c>
      <c r="AI29" s="3">
        <f t="shared" si="2"/>
        <v>0.36484953945528803</v>
      </c>
      <c r="AJ29" s="3">
        <f t="shared" si="2"/>
        <v>0.36581352315649296</v>
      </c>
      <c r="AK29" s="3">
        <f t="shared" si="2"/>
        <v>0.36682777512938475</v>
      </c>
      <c r="AL29" s="3">
        <f t="shared" si="2"/>
        <v>0.36742591839484984</v>
      </c>
      <c r="AM29" s="3">
        <f t="shared" si="2"/>
        <v>0.36684857991971259</v>
      </c>
    </row>
    <row r="32" spans="10:39" x14ac:dyDescent="0.25">
      <c r="J32" s="116" t="s">
        <v>338</v>
      </c>
      <c r="L32" s="117"/>
    </row>
    <row r="33" spans="9:40" ht="45" x14ac:dyDescent="0.25">
      <c r="I33" s="115" t="s">
        <v>354</v>
      </c>
      <c r="J33" s="115" t="s">
        <v>320</v>
      </c>
      <c r="K33" s="19" t="s">
        <v>355</v>
      </c>
      <c r="L33" s="117">
        <f>VLOOKUP($J33,output!$A$9:$AI$2200,L$1-$L$1+2)</f>
        <v>0</v>
      </c>
      <c r="M33" s="117">
        <f>VLOOKUP($J33,output!$A$9:$AI$2200,M$1-$L$1+2)</f>
        <v>2719.8719999999998</v>
      </c>
      <c r="N33" s="117">
        <f>VLOOKUP($J33,output!$A$9:$AI$2200,N$1-$L$1+2)</f>
        <v>2421.893</v>
      </c>
      <c r="O33" s="117">
        <f>VLOOKUP($J33,output!$A$9:$AI$2200,O$1-$L$1+2)</f>
        <v>2720.08</v>
      </c>
      <c r="P33" s="117">
        <f>VLOOKUP($J33,output!$A$9:$AI$2200,P$1-$L$1+2)</f>
        <v>2780.1880000000001</v>
      </c>
      <c r="Q33" s="117">
        <f>VLOOKUP($J33,output!$A$9:$AI$2200,Q$1-$L$1+2)</f>
        <v>2770.962</v>
      </c>
      <c r="R33" s="117">
        <f>VLOOKUP($J33,output!$A$9:$AI$2200,R$1-$L$1+2)</f>
        <v>2719.1930000000002</v>
      </c>
      <c r="S33" s="117">
        <f>VLOOKUP($J33,output!$A$9:$AI$2200,S$1-$L$1+2)</f>
        <v>2785.4859999999999</v>
      </c>
      <c r="T33" s="117">
        <f>VLOOKUP($J33,output!$A$9:$AI$2200,T$1-$L$1+2)</f>
        <v>3154.3809999999999</v>
      </c>
      <c r="U33" s="117">
        <f>VLOOKUP($J33,output!$A$9:$AI$2200,U$1-$L$1+2)</f>
        <v>3075.105</v>
      </c>
      <c r="V33" s="117">
        <f>VLOOKUP($J33,output!$A$9:$AI$2200,V$1-$L$1+2)</f>
        <v>3012.2429999999999</v>
      </c>
      <c r="W33" s="117">
        <f>VLOOKUP($J33,output!$A$9:$AI$2200,W$1-$L$1+2)</f>
        <v>3008.1030000000001</v>
      </c>
      <c r="X33" s="117">
        <f>VLOOKUP($J33,output!$A$9:$AI$2200,X$1-$L$1+2)</f>
        <v>2941.2539999999999</v>
      </c>
      <c r="Y33" s="117">
        <f>VLOOKUP($J33,output!$A$9:$AI$2200,Y$1-$L$1+2)</f>
        <v>2690.6759999999999</v>
      </c>
      <c r="Z33" s="117">
        <f>VLOOKUP($J33,output!$A$9:$AI$2200,Z$1-$L$1+2)</f>
        <v>3275.2049999999999</v>
      </c>
      <c r="AA33" s="117">
        <f>VLOOKUP($J33,output!$A$9:$AI$2200,AA$1-$L$1+2)</f>
        <v>3175.8069999999998</v>
      </c>
      <c r="AB33" s="117">
        <f>VLOOKUP($J33,output!$A$9:$AI$2200,AB$1-$L$1+2)</f>
        <v>2957.739</v>
      </c>
      <c r="AC33" s="117">
        <f>VLOOKUP($J33,output!$A$9:$AI$2200,AC$1-$L$1+2)</f>
        <v>3524.2660000000001</v>
      </c>
      <c r="AD33" s="117">
        <f>VLOOKUP($J33,output!$A$9:$AI$2200,AD$1-$L$1+2)</f>
        <v>3033.3420000000001</v>
      </c>
      <c r="AE33" s="117">
        <f>VLOOKUP($J33,output!$A$9:$AI$2200,AE$1-$L$1+2)</f>
        <v>2948.9349999999999</v>
      </c>
      <c r="AF33" s="117">
        <f>VLOOKUP($J33,output!$A$9:$AI$2200,AF$1-$L$1+2)</f>
        <v>2661.1010000000001</v>
      </c>
      <c r="AG33" s="117">
        <f>VLOOKUP($J33,output!$A$9:$AI$2200,AG$1-$L$1+2)</f>
        <v>2990.9870000000001</v>
      </c>
      <c r="AH33" s="117">
        <f>VLOOKUP($J33,output!$A$9:$AI$2200,AH$1-$L$1+2)</f>
        <v>2657.886</v>
      </c>
      <c r="AI33" s="117">
        <f>VLOOKUP($J33,output!$A$9:$AI$2200,AI$1-$L$1+2)</f>
        <v>2834.1320000000001</v>
      </c>
      <c r="AJ33" s="117">
        <f>VLOOKUP($J33,output!$A$9:$AI$2200,AJ$1-$L$1+2)</f>
        <v>2666.1390000000001</v>
      </c>
      <c r="AK33" s="117">
        <f>VLOOKUP($J33,output!$A$9:$AI$2200,AK$1-$L$1+2)</f>
        <v>2723.33</v>
      </c>
      <c r="AL33" s="117">
        <f>VLOOKUP($J33,output!$A$9:$AI$2200,AL$1-$L$1+2)</f>
        <v>2802.7860000000001</v>
      </c>
      <c r="AM33" s="117">
        <f>VLOOKUP($J33,output!$A$9:$AI$2200,AM$1-$L$1+2)</f>
        <v>2872.3069999999998</v>
      </c>
    </row>
    <row r="34" spans="9:40" ht="60" x14ac:dyDescent="0.25">
      <c r="J34" s="75" t="s">
        <v>321</v>
      </c>
      <c r="K34" s="88" t="s">
        <v>548</v>
      </c>
      <c r="L34" s="89">
        <f>VLOOKUP($J34,output!$A$9:$AI$2200,L$1-$L$1+2)</f>
        <v>0</v>
      </c>
      <c r="M34" s="89">
        <f>VLOOKUP($J34,output!$A$9:$AI$2200,M$1-$L$1+2)</f>
        <v>939.37</v>
      </c>
      <c r="N34" s="89">
        <f>VLOOKUP($J34,output!$A$9:$AI$2200,N$1-$L$1+2)</f>
        <v>639.75</v>
      </c>
      <c r="O34" s="89">
        <f>VLOOKUP($J34,output!$A$9:$AI$2200,O$1-$L$1+2)</f>
        <v>948.94799999999998</v>
      </c>
      <c r="P34" s="89">
        <f>VLOOKUP($J34,output!$A$9:$AI$2200,P$1-$L$1+2)</f>
        <v>1016.663</v>
      </c>
      <c r="Q34" s="89">
        <f>VLOOKUP($J34,output!$A$9:$AI$2200,Q$1-$L$1+2)</f>
        <v>1014.205</v>
      </c>
      <c r="R34" s="89">
        <f>VLOOKUP($J34,output!$A$9:$AI$2200,R$1-$L$1+2)</f>
        <v>966.7</v>
      </c>
      <c r="S34" s="89">
        <f>VLOOKUP($J34,output!$A$9:$AI$2200,S$1-$L$1+2)</f>
        <v>1037.6959999999999</v>
      </c>
      <c r="T34" s="89">
        <f>VLOOKUP($J34,output!$A$9:$AI$2200,T$1-$L$1+2)</f>
        <v>1411.5350000000001</v>
      </c>
      <c r="U34" s="89">
        <f>VLOOKUP($J34,output!$A$9:$AI$2200,U$1-$L$1+2)</f>
        <v>1335.3040000000001</v>
      </c>
      <c r="V34" s="89">
        <f>VLOOKUP($J34,output!$A$9:$AI$2200,V$1-$L$1+2)</f>
        <v>1277.6500000000001</v>
      </c>
      <c r="W34" s="89">
        <f>VLOOKUP($J34,output!$A$9:$AI$2200,W$1-$L$1+2)</f>
        <v>1281.5419999999999</v>
      </c>
      <c r="X34" s="89">
        <f>VLOOKUP($J34,output!$A$9:$AI$2200,X$1-$L$1+2)</f>
        <v>1216.626</v>
      </c>
      <c r="Y34" s="89">
        <f>VLOOKUP($J34,output!$A$9:$AI$2200,Y$1-$L$1+2)</f>
        <v>1206.5409999999999</v>
      </c>
      <c r="Z34" s="89">
        <f>VLOOKUP($J34,output!$A$9:$AI$2200,Z$1-$L$1+2)</f>
        <v>1788.818</v>
      </c>
      <c r="AA34" s="89">
        <f>VLOOKUP($J34,output!$A$9:$AI$2200,AA$1-$L$1+2)</f>
        <v>1691.2180000000001</v>
      </c>
      <c r="AB34" s="89">
        <f>VLOOKUP($J34,output!$A$9:$AI$2200,AB$1-$L$1+2)</f>
        <v>1646.345</v>
      </c>
      <c r="AC34" s="89">
        <f>VLOOKUP($J34,output!$A$9:$AI$2200,AC$1-$L$1+2)</f>
        <v>2066.2199999999998</v>
      </c>
      <c r="AD34" s="89">
        <f>VLOOKUP($J34,output!$A$9:$AI$2200,AD$1-$L$1+2)</f>
        <v>1702.277</v>
      </c>
      <c r="AE34" s="89">
        <f>VLOOKUP($J34,output!$A$9:$AI$2200,AE$1-$L$1+2)</f>
        <v>1627.3240000000001</v>
      </c>
      <c r="AF34" s="89">
        <f>VLOOKUP($J34,output!$A$9:$AI$2200,AF$1-$L$1+2)</f>
        <v>1432.268</v>
      </c>
      <c r="AG34" s="89">
        <f>VLOOKUP($J34,output!$A$9:$AI$2200,AG$1-$L$1+2)</f>
        <v>1437.0540000000001</v>
      </c>
      <c r="AH34" s="89">
        <f>VLOOKUP($J34,output!$A$9:$AI$2200,AH$1-$L$1+2)</f>
        <v>1359.76</v>
      </c>
      <c r="AI34" s="89">
        <f>VLOOKUP($J34,output!$A$9:$AI$2200,AI$1-$L$1+2)</f>
        <v>1303.501</v>
      </c>
      <c r="AJ34" s="89">
        <f>VLOOKUP($J34,output!$A$9:$AI$2200,AJ$1-$L$1+2)</f>
        <v>1236.3510000000001</v>
      </c>
      <c r="AK34" s="89">
        <f>VLOOKUP($J34,output!$A$9:$AI$2200,AK$1-$L$1+2)</f>
        <v>1184.095</v>
      </c>
      <c r="AL34" s="89">
        <f>VLOOKUP($J34,output!$A$9:$AI$2200,AL$1-$L$1+2)</f>
        <v>1135.778</v>
      </c>
      <c r="AM34" s="89">
        <f>VLOOKUP($J34,output!$A$9:$AI$2200,AM$1-$L$1+2)</f>
        <v>1093.2270000000001</v>
      </c>
      <c r="AN34" s="117"/>
    </row>
    <row r="35" spans="9:40" x14ac:dyDescent="0.25">
      <c r="AN35" s="117"/>
    </row>
    <row r="36" spans="9:40" x14ac:dyDescent="0.25">
      <c r="J36" s="116" t="s">
        <v>349</v>
      </c>
      <c r="AN36" s="117"/>
    </row>
    <row r="37" spans="9:40" x14ac:dyDescent="0.25">
      <c r="J37" s="115" t="s">
        <v>330</v>
      </c>
      <c r="K37" s="115" t="s">
        <v>348</v>
      </c>
      <c r="L37" s="117">
        <f>VLOOKUP($J37,output!$A$9:$AI$2200,L$1-$L$1+2)</f>
        <v>0</v>
      </c>
      <c r="M37" s="117">
        <f>VLOOKUP($J37,output!$A$9:$AI$2200,M$1-$L$1+2)</f>
        <v>912.09100000000001</v>
      </c>
      <c r="N37" s="117">
        <f>VLOOKUP($J37,output!$A$9:$AI$2200,N$1-$L$1+2)</f>
        <v>617.90800000000002</v>
      </c>
      <c r="O37" s="117">
        <f>VLOOKUP($J37,output!$A$9:$AI$2200,O$1-$L$1+2)</f>
        <v>919.89499999999998</v>
      </c>
      <c r="P37" s="117">
        <f>VLOOKUP($J37,output!$A$9:$AI$2200,P$1-$L$1+2)</f>
        <v>983.82500000000005</v>
      </c>
      <c r="Q37" s="117">
        <f>VLOOKUP($J37,output!$A$9:$AI$2200,Q$1-$L$1+2)</f>
        <v>978.43</v>
      </c>
      <c r="R37" s="117">
        <f>VLOOKUP($J37,output!$A$9:$AI$2200,R$1-$L$1+2)</f>
        <v>930.49900000000002</v>
      </c>
      <c r="S37" s="117">
        <f>VLOOKUP($J37,output!$A$9:$AI$2200,S$1-$L$1+2)</f>
        <v>1000.628</v>
      </c>
      <c r="T37" s="117">
        <f>VLOOKUP($J37,output!$A$9:$AI$2200,T$1-$L$1+2)</f>
        <v>1372.337</v>
      </c>
      <c r="U37" s="117">
        <f>VLOOKUP($J37,output!$A$9:$AI$2200,U$1-$L$1+2)</f>
        <v>1294.7560000000001</v>
      </c>
      <c r="V37" s="117">
        <f>VLOOKUP($J37,output!$A$9:$AI$2200,V$1-$L$1+2)</f>
        <v>1233.846</v>
      </c>
      <c r="W37" s="117">
        <f>VLOOKUP($J37,output!$A$9:$AI$2200,W$1-$L$1+2)</f>
        <v>1231.886</v>
      </c>
      <c r="X37" s="117">
        <f>VLOOKUP($J37,output!$A$9:$AI$2200,X$1-$L$1+2)</f>
        <v>1166.3979999999999</v>
      </c>
      <c r="Y37" s="117">
        <f>VLOOKUP($J37,output!$A$9:$AI$2200,Y$1-$L$1+2)</f>
        <v>1163.037</v>
      </c>
      <c r="Z37" s="117">
        <f>VLOOKUP($J37,output!$A$9:$AI$2200,Z$1-$L$1+2)</f>
        <v>1748.6469999999999</v>
      </c>
      <c r="AA37" s="117">
        <f>VLOOKUP($J37,output!$A$9:$AI$2200,AA$1-$L$1+2)</f>
        <v>1650.4559999999999</v>
      </c>
      <c r="AB37" s="117">
        <f>VLOOKUP($J37,output!$A$9:$AI$2200,AB$1-$L$1+2)</f>
        <v>1609.2159999999999</v>
      </c>
      <c r="AC37" s="117">
        <f>VLOOKUP($J37,output!$A$9:$AI$2200,AC$1-$L$1+2)</f>
        <v>2020.3779999999999</v>
      </c>
      <c r="AD37" s="117">
        <f>VLOOKUP($J37,output!$A$9:$AI$2200,AD$1-$L$1+2)</f>
        <v>1663.67</v>
      </c>
      <c r="AE37" s="117">
        <f>VLOOKUP($J37,output!$A$9:$AI$2200,AE$1-$L$1+2)</f>
        <v>1588.105</v>
      </c>
      <c r="AF37" s="117">
        <f>VLOOKUP($J37,output!$A$9:$AI$2200,AF$1-$L$1+2)</f>
        <v>1403.558</v>
      </c>
      <c r="AG37" s="117">
        <f>VLOOKUP($J37,output!$A$9:$AI$2200,AG$1-$L$1+2)</f>
        <v>1406.2750000000001</v>
      </c>
      <c r="AH37" s="117">
        <f>VLOOKUP($J37,output!$A$9:$AI$2200,AH$1-$L$1+2)</f>
        <v>1336.306</v>
      </c>
      <c r="AI37" s="117">
        <f>VLOOKUP($J37,output!$A$9:$AI$2200,AI$1-$L$1+2)</f>
        <v>1270.905</v>
      </c>
      <c r="AJ37" s="117">
        <f>VLOOKUP($J37,output!$A$9:$AI$2200,AJ$1-$L$1+2)</f>
        <v>1209.7940000000001</v>
      </c>
      <c r="AK37" s="117">
        <f>VLOOKUP($J37,output!$A$9:$AI$2200,AK$1-$L$1+2)</f>
        <v>1153.701</v>
      </c>
      <c r="AL37" s="117">
        <f>VLOOKUP($J37,output!$A$9:$AI$2200,AL$1-$L$1+2)</f>
        <v>1101.08</v>
      </c>
      <c r="AM37" s="117">
        <f>VLOOKUP($J37,output!$A$9:$AI$2200,AM$1-$L$1+2)</f>
        <v>1054.9480000000001</v>
      </c>
      <c r="AN37" s="117"/>
    </row>
    <row r="38" spans="9:40" x14ac:dyDescent="0.25">
      <c r="J38" s="115" t="s">
        <v>57</v>
      </c>
      <c r="L38" s="117">
        <f>VLOOKUP($J38,output!$A$9:$AI$2200,L$1-$L$1+2)</f>
        <v>0</v>
      </c>
      <c r="M38" s="117">
        <f>VLOOKUP($J38,output!$A$9:$AI$2200,M$1-$L$1+2)</f>
        <v>113.52800000000001</v>
      </c>
      <c r="N38" s="117">
        <f>VLOOKUP($J38,output!$A$9:$AI$2200,N$1-$L$1+2)</f>
        <v>70.798000000000002</v>
      </c>
      <c r="O38" s="117">
        <f>VLOOKUP($J38,output!$A$9:$AI$2200,O$1-$L$1+2)</f>
        <v>109.062</v>
      </c>
      <c r="P38" s="117">
        <f>VLOOKUP($J38,output!$A$9:$AI$2200,P$1-$L$1+2)</f>
        <v>116.565</v>
      </c>
      <c r="Q38" s="117">
        <f>VLOOKUP($J38,output!$A$9:$AI$2200,Q$1-$L$1+2)</f>
        <v>114.67100000000001</v>
      </c>
      <c r="R38" s="117">
        <f>VLOOKUP($J38,output!$A$9:$AI$2200,R$1-$L$1+2)</f>
        <v>107.732</v>
      </c>
      <c r="S38" s="117">
        <f>VLOOKUP($J38,output!$A$9:$AI$2200,S$1-$L$1+2)</f>
        <v>113.806</v>
      </c>
      <c r="T38" s="117">
        <f>VLOOKUP($J38,output!$A$9:$AI$2200,T$1-$L$1+2)</f>
        <v>168.60400000000001</v>
      </c>
      <c r="U38" s="117">
        <f>VLOOKUP($J38,output!$A$9:$AI$2200,U$1-$L$1+2)</f>
        <v>159.72900000000001</v>
      </c>
      <c r="V38" s="117">
        <f>VLOOKUP($J38,output!$A$9:$AI$2200,V$1-$L$1+2)</f>
        <v>150.84299999999999</v>
      </c>
      <c r="W38" s="117">
        <f>VLOOKUP($J38,output!$A$9:$AI$2200,W$1-$L$1+2)</f>
        <v>149.56200000000001</v>
      </c>
      <c r="X38" s="117">
        <f>VLOOKUP($J38,output!$A$9:$AI$2200,X$1-$L$1+2)</f>
        <v>140.471</v>
      </c>
      <c r="Y38" s="117">
        <f>VLOOKUP($J38,output!$A$9:$AI$2200,Y$1-$L$1+2)</f>
        <v>140.654</v>
      </c>
      <c r="Z38" s="117">
        <f>VLOOKUP($J38,output!$A$9:$AI$2200,Z$1-$L$1+2)</f>
        <v>217.66399999999999</v>
      </c>
      <c r="AA38" s="117">
        <f>VLOOKUP($J38,output!$A$9:$AI$2200,AA$1-$L$1+2)</f>
        <v>204.13499999999999</v>
      </c>
      <c r="AB38" s="117">
        <f>VLOOKUP($J38,output!$A$9:$AI$2200,AB$1-$L$1+2)</f>
        <v>198.04300000000001</v>
      </c>
      <c r="AC38" s="117">
        <f>VLOOKUP($J38,output!$A$9:$AI$2200,AC$1-$L$1+2)</f>
        <v>255.07300000000001</v>
      </c>
      <c r="AD38" s="117">
        <f>VLOOKUP($J38,output!$A$9:$AI$2200,AD$1-$L$1+2)</f>
        <v>197.636</v>
      </c>
      <c r="AE38" s="117">
        <f>VLOOKUP($J38,output!$A$9:$AI$2200,AE$1-$L$1+2)</f>
        <v>187.953</v>
      </c>
      <c r="AF38" s="117">
        <f>VLOOKUP($J38,output!$A$9:$AI$2200,AF$1-$L$1+2)</f>
        <v>164.27799999999999</v>
      </c>
      <c r="AG38" s="117">
        <f>VLOOKUP($J38,output!$A$9:$AI$2200,AG$1-$L$1+2)</f>
        <v>164.98699999999999</v>
      </c>
      <c r="AH38" s="117">
        <f>VLOOKUP($J38,output!$A$9:$AI$2200,AH$1-$L$1+2)</f>
        <v>156.369</v>
      </c>
      <c r="AI38" s="117">
        <f>VLOOKUP($J38,output!$A$9:$AI$2200,AI$1-$L$1+2)</f>
        <v>148.261</v>
      </c>
      <c r="AJ38" s="117">
        <f>VLOOKUP($J38,output!$A$9:$AI$2200,AJ$1-$L$1+2)</f>
        <v>140.73400000000001</v>
      </c>
      <c r="AK38" s="117">
        <f>VLOOKUP($J38,output!$A$9:$AI$2200,AK$1-$L$1+2)</f>
        <v>133.83799999999999</v>
      </c>
      <c r="AL38" s="117">
        <f>VLOOKUP($J38,output!$A$9:$AI$2200,AL$1-$L$1+2)</f>
        <v>127.375</v>
      </c>
      <c r="AM38" s="117">
        <f>VLOOKUP($J38,output!$A$9:$AI$2200,AM$1-$L$1+2)</f>
        <v>122.995</v>
      </c>
    </row>
    <row r="39" spans="9:40" x14ac:dyDescent="0.25">
      <c r="J39" s="115" t="s">
        <v>56</v>
      </c>
      <c r="L39" s="117">
        <f>VLOOKUP($J39,output!$A$9:$AI$2200,L$1-$L$1+2)</f>
        <v>0</v>
      </c>
      <c r="M39" s="117">
        <f>VLOOKUP($J39,output!$A$9:$AI$2200,M$1-$L$1+2)</f>
        <v>495.41500000000002</v>
      </c>
      <c r="N39" s="117">
        <f>VLOOKUP($J39,output!$A$9:$AI$2200,N$1-$L$1+2)</f>
        <v>352.84800000000001</v>
      </c>
      <c r="O39" s="117">
        <f>VLOOKUP($J39,output!$A$9:$AI$2200,O$1-$L$1+2)</f>
        <v>484.40600000000001</v>
      </c>
      <c r="P39" s="117">
        <f>VLOOKUP($J39,output!$A$9:$AI$2200,P$1-$L$1+2)</f>
        <v>523.27800000000002</v>
      </c>
      <c r="Q39" s="117">
        <f>VLOOKUP($J39,output!$A$9:$AI$2200,Q$1-$L$1+2)</f>
        <v>540.44399999999996</v>
      </c>
      <c r="R39" s="117">
        <f>VLOOKUP($J39,output!$A$9:$AI$2200,R$1-$L$1+2)</f>
        <v>529.28599999999994</v>
      </c>
      <c r="S39" s="117">
        <f>VLOOKUP($J39,output!$A$9:$AI$2200,S$1-$L$1+2)</f>
        <v>544.101</v>
      </c>
      <c r="T39" s="117">
        <f>VLOOKUP($J39,output!$A$9:$AI$2200,T$1-$L$1+2)</f>
        <v>724.91200000000003</v>
      </c>
      <c r="U39" s="117">
        <f>VLOOKUP($J39,output!$A$9:$AI$2200,U$1-$L$1+2)</f>
        <v>681.30100000000004</v>
      </c>
      <c r="V39" s="117">
        <f>VLOOKUP($J39,output!$A$9:$AI$2200,V$1-$L$1+2)</f>
        <v>662.89800000000002</v>
      </c>
      <c r="W39" s="117">
        <f>VLOOKUP($J39,output!$A$9:$AI$2200,W$1-$L$1+2)</f>
        <v>677.99599999999998</v>
      </c>
      <c r="X39" s="117">
        <f>VLOOKUP($J39,output!$A$9:$AI$2200,X$1-$L$1+2)</f>
        <v>654.73400000000004</v>
      </c>
      <c r="Y39" s="117">
        <f>VLOOKUP($J39,output!$A$9:$AI$2200,Y$1-$L$1+2)</f>
        <v>651.35400000000004</v>
      </c>
      <c r="Z39" s="117">
        <f>VLOOKUP($J39,output!$A$9:$AI$2200,Z$1-$L$1+2)</f>
        <v>992.11599999999999</v>
      </c>
      <c r="AA39" s="117">
        <f>VLOOKUP($J39,output!$A$9:$AI$2200,AA$1-$L$1+2)</f>
        <v>943.976</v>
      </c>
      <c r="AB39" s="117">
        <f>VLOOKUP($J39,output!$A$9:$AI$2200,AB$1-$L$1+2)</f>
        <v>928.11099999999999</v>
      </c>
      <c r="AC39" s="117">
        <f>VLOOKUP($J39,output!$A$9:$AI$2200,AC$1-$L$1+2)</f>
        <v>1094.348</v>
      </c>
      <c r="AD39" s="117">
        <f>VLOOKUP($J39,output!$A$9:$AI$2200,AD$1-$L$1+2)</f>
        <v>998.11300000000006</v>
      </c>
      <c r="AE39" s="117">
        <f>VLOOKUP($J39,output!$A$9:$AI$2200,AE$1-$L$1+2)</f>
        <v>956.62800000000004</v>
      </c>
      <c r="AF39" s="117">
        <f>VLOOKUP($J39,output!$A$9:$AI$2200,AF$1-$L$1+2)</f>
        <v>855.53499999999997</v>
      </c>
      <c r="AG39" s="117">
        <f>VLOOKUP($J39,output!$A$9:$AI$2200,AG$1-$L$1+2)</f>
        <v>857.31500000000005</v>
      </c>
      <c r="AH39" s="117">
        <f>VLOOKUP($J39,output!$A$9:$AI$2200,AH$1-$L$1+2)</f>
        <v>815.952</v>
      </c>
      <c r="AI39" s="117">
        <f>VLOOKUP($J39,output!$A$9:$AI$2200,AI$1-$L$1+2)</f>
        <v>777.71</v>
      </c>
      <c r="AJ39" s="117">
        <f>VLOOKUP($J39,output!$A$9:$AI$2200,AJ$1-$L$1+2)</f>
        <v>741.70500000000004</v>
      </c>
      <c r="AK39" s="117">
        <f>VLOOKUP($J39,output!$A$9:$AI$2200,AK$1-$L$1+2)</f>
        <v>708.66099999999994</v>
      </c>
      <c r="AL39" s="117">
        <f>VLOOKUP($J39,output!$A$9:$AI$2200,AL$1-$L$1+2)</f>
        <v>677.64700000000005</v>
      </c>
      <c r="AM39" s="117">
        <f>VLOOKUP($J39,output!$A$9:$AI$2200,AM$1-$L$1+2)</f>
        <v>648.36</v>
      </c>
    </row>
    <row r="40" spans="9:40" x14ac:dyDescent="0.25">
      <c r="J40" s="115" t="s">
        <v>55</v>
      </c>
      <c r="L40" s="117">
        <f>VLOOKUP($J40,output!$A$9:$AI$2200,L$1-$L$1+2)</f>
        <v>0</v>
      </c>
      <c r="M40" s="117">
        <f>VLOOKUP($J40,output!$A$9:$AI$2200,M$1-$L$1+2)</f>
        <v>189.63399999999999</v>
      </c>
      <c r="N40" s="117">
        <f>VLOOKUP($J40,output!$A$9:$AI$2200,N$1-$L$1+2)</f>
        <v>112.911</v>
      </c>
      <c r="O40" s="117">
        <f>VLOOKUP($J40,output!$A$9:$AI$2200,O$1-$L$1+2)</f>
        <v>207.964</v>
      </c>
      <c r="P40" s="117">
        <f>VLOOKUP($J40,output!$A$9:$AI$2200,P$1-$L$1+2)</f>
        <v>216.44399999999999</v>
      </c>
      <c r="Q40" s="117">
        <f>VLOOKUP($J40,output!$A$9:$AI$2200,Q$1-$L$1+2)</f>
        <v>193.78800000000001</v>
      </c>
      <c r="R40" s="117">
        <f>VLOOKUP($J40,output!$A$9:$AI$2200,R$1-$L$1+2)</f>
        <v>168.732</v>
      </c>
      <c r="S40" s="117">
        <f>VLOOKUP($J40,output!$A$9:$AI$2200,S$1-$L$1+2)</f>
        <v>213.649</v>
      </c>
      <c r="T40" s="117">
        <f>VLOOKUP($J40,output!$A$9:$AI$2200,T$1-$L$1+2)</f>
        <v>293.786</v>
      </c>
      <c r="U40" s="117">
        <f>VLOOKUP($J40,output!$A$9:$AI$2200,U$1-$L$1+2)</f>
        <v>277.25</v>
      </c>
      <c r="V40" s="117">
        <f>VLOOKUP($J40,output!$A$9:$AI$2200,V$1-$L$1+2)</f>
        <v>249.87899999999999</v>
      </c>
      <c r="W40" s="117">
        <f>VLOOKUP($J40,output!$A$9:$AI$2200,W$1-$L$1+2)</f>
        <v>230.98599999999999</v>
      </c>
      <c r="X40" s="117">
        <f>VLOOKUP($J40,output!$A$9:$AI$2200,X$1-$L$1+2)</f>
        <v>205.53899999999999</v>
      </c>
      <c r="Y40" s="117">
        <f>VLOOKUP($J40,output!$A$9:$AI$2200,Y$1-$L$1+2)</f>
        <v>205.59100000000001</v>
      </c>
      <c r="Z40" s="117">
        <f>VLOOKUP($J40,output!$A$9:$AI$2200,Z$1-$L$1+2)</f>
        <v>276.16699999999997</v>
      </c>
      <c r="AA40" s="117">
        <f>VLOOKUP($J40,output!$A$9:$AI$2200,AA$1-$L$1+2)</f>
        <v>254.279</v>
      </c>
      <c r="AB40" s="117">
        <f>VLOOKUP($J40,output!$A$9:$AI$2200,AB$1-$L$1+2)</f>
        <v>241.02699999999999</v>
      </c>
      <c r="AC40" s="117">
        <f>VLOOKUP($J40,output!$A$9:$AI$2200,AC$1-$L$1+2)</f>
        <v>365.34</v>
      </c>
      <c r="AD40" s="117">
        <f>VLOOKUP($J40,output!$A$9:$AI$2200,AD$1-$L$1+2)</f>
        <v>217.02799999999999</v>
      </c>
      <c r="AE40" s="117">
        <f>VLOOKUP($J40,output!$A$9:$AI$2200,AE$1-$L$1+2)</f>
        <v>204.184</v>
      </c>
      <c r="AF40" s="117">
        <f>VLOOKUP($J40,output!$A$9:$AI$2200,AF$1-$L$1+2)</f>
        <v>172.941</v>
      </c>
      <c r="AG40" s="117">
        <f>VLOOKUP($J40,output!$A$9:$AI$2200,AG$1-$L$1+2)</f>
        <v>172.26599999999999</v>
      </c>
      <c r="AH40" s="117">
        <f>VLOOKUP($J40,output!$A$9:$AI$2200,AH$1-$L$1+2)</f>
        <v>162.71700000000001</v>
      </c>
      <c r="AI40" s="117">
        <f>VLOOKUP($J40,output!$A$9:$AI$2200,AI$1-$L$1+2)</f>
        <v>153.49</v>
      </c>
      <c r="AJ40" s="117">
        <f>VLOOKUP($J40,output!$A$9:$AI$2200,AJ$1-$L$1+2)</f>
        <v>145.09</v>
      </c>
      <c r="AK40" s="117">
        <f>VLOOKUP($J40,output!$A$9:$AI$2200,AK$1-$L$1+2)</f>
        <v>137.37799999999999</v>
      </c>
      <c r="AL40" s="117">
        <f>VLOOKUP($J40,output!$A$9:$AI$2200,AL$1-$L$1+2)</f>
        <v>130.15600000000001</v>
      </c>
      <c r="AM40" s="117">
        <f>VLOOKUP($J40,output!$A$9:$AI$2200,AM$1-$L$1+2)</f>
        <v>123.264</v>
      </c>
    </row>
    <row r="41" spans="9:40" x14ac:dyDescent="0.25">
      <c r="J41" s="115" t="s">
        <v>54</v>
      </c>
      <c r="L41" s="117">
        <f>VLOOKUP($J41,output!$A$9:$AI$2200,L$1-$L$1+2)</f>
        <v>0</v>
      </c>
      <c r="M41" s="117">
        <f>VLOOKUP($J41,output!$A$9:$AI$2200,M$1-$L$1+2)</f>
        <v>113.514</v>
      </c>
      <c r="N41" s="117">
        <f>VLOOKUP($J41,output!$A$9:$AI$2200,N$1-$L$1+2)</f>
        <v>81.350999999999999</v>
      </c>
      <c r="O41" s="117">
        <f>VLOOKUP($J41,output!$A$9:$AI$2200,O$1-$L$1+2)</f>
        <v>118.464</v>
      </c>
      <c r="P41" s="117">
        <f>VLOOKUP($J41,output!$A$9:$AI$2200,P$1-$L$1+2)</f>
        <v>127.539</v>
      </c>
      <c r="Q41" s="117">
        <f>VLOOKUP($J41,output!$A$9:$AI$2200,Q$1-$L$1+2)</f>
        <v>129.52600000000001</v>
      </c>
      <c r="R41" s="117">
        <f>VLOOKUP($J41,output!$A$9:$AI$2200,R$1-$L$1+2)</f>
        <v>124.749</v>
      </c>
      <c r="S41" s="117">
        <f>VLOOKUP($J41,output!$A$9:$AI$2200,S$1-$L$1+2)</f>
        <v>129.072</v>
      </c>
      <c r="T41" s="117">
        <f>VLOOKUP($J41,output!$A$9:$AI$2200,T$1-$L$1+2)</f>
        <v>185.035</v>
      </c>
      <c r="U41" s="117">
        <f>VLOOKUP($J41,output!$A$9:$AI$2200,U$1-$L$1+2)</f>
        <v>176.47499999999999</v>
      </c>
      <c r="V41" s="117">
        <f>VLOOKUP($J41,output!$A$9:$AI$2200,V$1-$L$1+2)</f>
        <v>170.226</v>
      </c>
      <c r="W41" s="117">
        <f>VLOOKUP($J41,output!$A$9:$AI$2200,W$1-$L$1+2)</f>
        <v>173.34100000000001</v>
      </c>
      <c r="X41" s="117">
        <f>VLOOKUP($J41,output!$A$9:$AI$2200,X$1-$L$1+2)</f>
        <v>165.654</v>
      </c>
      <c r="Y41" s="117">
        <f>VLOOKUP($J41,output!$A$9:$AI$2200,Y$1-$L$1+2)</f>
        <v>165.43799999999999</v>
      </c>
      <c r="Z41" s="117">
        <f>VLOOKUP($J41,output!$A$9:$AI$2200,Z$1-$L$1+2)</f>
        <v>262.7</v>
      </c>
      <c r="AA41" s="117">
        <f>VLOOKUP($J41,output!$A$9:$AI$2200,AA$1-$L$1+2)</f>
        <v>248.06700000000001</v>
      </c>
      <c r="AB41" s="117">
        <f>VLOOKUP($J41,output!$A$9:$AI$2200,AB$1-$L$1+2)</f>
        <v>242.035</v>
      </c>
      <c r="AC41" s="117">
        <f>VLOOKUP($J41,output!$A$9:$AI$2200,AC$1-$L$1+2)</f>
        <v>305.61900000000003</v>
      </c>
      <c r="AD41" s="117">
        <f>VLOOKUP($J41,output!$A$9:$AI$2200,AD$1-$L$1+2)</f>
        <v>250.892</v>
      </c>
      <c r="AE41" s="117">
        <f>VLOOKUP($J41,output!$A$9:$AI$2200,AE$1-$L$1+2)</f>
        <v>239.34</v>
      </c>
      <c r="AF41" s="117">
        <f>VLOOKUP($J41,output!$A$9:$AI$2200,AF$1-$L$1+2)</f>
        <v>210.803</v>
      </c>
      <c r="AG41" s="117">
        <f>VLOOKUP($J41,output!$A$9:$AI$2200,AG$1-$L$1+2)</f>
        <v>211.70599999999999</v>
      </c>
      <c r="AH41" s="117">
        <f>VLOOKUP($J41,output!$A$9:$AI$2200,AH$1-$L$1+2)</f>
        <v>201.267</v>
      </c>
      <c r="AI41" s="117">
        <f>VLOOKUP($J41,output!$A$9:$AI$2200,AI$1-$L$1+2)</f>
        <v>191.44499999999999</v>
      </c>
      <c r="AJ41" s="117">
        <f>VLOOKUP($J41,output!$A$9:$AI$2200,AJ$1-$L$1+2)</f>
        <v>182.26499999999999</v>
      </c>
      <c r="AK41" s="117">
        <f>VLOOKUP($J41,output!$A$9:$AI$2200,AK$1-$L$1+2)</f>
        <v>173.82400000000001</v>
      </c>
      <c r="AL41" s="117">
        <f>VLOOKUP($J41,output!$A$9:$AI$2200,AL$1-$L$1+2)</f>
        <v>165.90100000000001</v>
      </c>
      <c r="AM41" s="117">
        <f>VLOOKUP($J41,output!$A$9:$AI$2200,AM$1-$L$1+2)</f>
        <v>160.32900000000001</v>
      </c>
    </row>
    <row r="43" spans="9:40" x14ac:dyDescent="0.25">
      <c r="L43" s="117"/>
    </row>
    <row r="44" spans="9:40" x14ac:dyDescent="0.25">
      <c r="J44" s="116" t="s">
        <v>339</v>
      </c>
      <c r="L44" s="117"/>
    </row>
    <row r="45" spans="9:40" x14ac:dyDescent="0.25">
      <c r="J45" s="115" t="s">
        <v>322</v>
      </c>
      <c r="L45" s="117">
        <f>VLOOKUP($J45,output!$A$9:$AI$2200,L$1-$L$1+2)</f>
        <v>0</v>
      </c>
      <c r="M45" s="117">
        <f>VLOOKUP($J45,output!$A$9:$AI$2200,M$1-$L$1+2)</f>
        <v>2170.152</v>
      </c>
      <c r="N45" s="117">
        <f>VLOOKUP($J45,output!$A$9:$AI$2200,N$1-$L$1+2)</f>
        <v>2084.7020000000002</v>
      </c>
      <c r="O45" s="117">
        <f>VLOOKUP($J45,output!$A$9:$AI$2200,O$1-$L$1+2)</f>
        <v>2188.319</v>
      </c>
      <c r="P45" s="117">
        <f>VLOOKUP($J45,output!$A$9:$AI$2200,P$1-$L$1+2)</f>
        <v>2215.7640000000001</v>
      </c>
      <c r="Q45" s="117">
        <f>VLOOKUP($J45,output!$A$9:$AI$2200,Q$1-$L$1+2)</f>
        <v>2228.5729999999999</v>
      </c>
      <c r="R45" s="117">
        <f>VLOOKUP($J45,output!$A$9:$AI$2200,R$1-$L$1+2)</f>
        <v>2217.9580000000001</v>
      </c>
      <c r="S45" s="117">
        <f>VLOOKUP($J45,output!$A$9:$AI$2200,S$1-$L$1+2)</f>
        <v>2241.9560000000001</v>
      </c>
      <c r="T45" s="117">
        <f>VLOOKUP($J45,output!$A$9:$AI$2200,T$1-$L$1+2)</f>
        <v>2374.54</v>
      </c>
      <c r="U45" s="117">
        <f>VLOOKUP($J45,output!$A$9:$AI$2200,U$1-$L$1+2)</f>
        <v>2331.4810000000002</v>
      </c>
      <c r="V45" s="117">
        <f>VLOOKUP($J45,output!$A$9:$AI$2200,V$1-$L$1+2)</f>
        <v>2314.326</v>
      </c>
      <c r="W45" s="117">
        <f>VLOOKUP($J45,output!$A$9:$AI$2200,W$1-$L$1+2)</f>
        <v>2323.6889999999999</v>
      </c>
      <c r="X45" s="117">
        <f>VLOOKUP($J45,output!$A$9:$AI$2200,X$1-$L$1+2)</f>
        <v>2303.279</v>
      </c>
      <c r="Y45" s="117">
        <f>VLOOKUP($J45,output!$A$9:$AI$2200,Y$1-$L$1+2)</f>
        <v>2064.741</v>
      </c>
      <c r="Z45" s="117">
        <f>VLOOKUP($J45,output!$A$9:$AI$2200,Z$1-$L$1+2)</f>
        <v>2387.8710000000001</v>
      </c>
      <c r="AA45" s="117">
        <f>VLOOKUP($J45,output!$A$9:$AI$2200,AA$1-$L$1+2)</f>
        <v>2344.174</v>
      </c>
      <c r="AB45" s="117">
        <f>VLOOKUP($J45,output!$A$9:$AI$2200,AB$1-$L$1+2)</f>
        <v>2161.6239999999998</v>
      </c>
      <c r="AC45" s="117">
        <f>VLOOKUP($J45,output!$A$9:$AI$2200,AC$1-$L$1+2)</f>
        <v>2454.3389999999999</v>
      </c>
      <c r="AD45" s="117">
        <f>VLOOKUP($J45,output!$A$9:$AI$2200,AD$1-$L$1+2)</f>
        <v>2264.6819999999998</v>
      </c>
      <c r="AE45" s="117">
        <f>VLOOKUP($J45,output!$A$9:$AI$2200,AE$1-$L$1+2)</f>
        <v>2216.377</v>
      </c>
      <c r="AF45" s="117">
        <f>VLOOKUP($J45,output!$A$9:$AI$2200,AF$1-$L$1+2)</f>
        <v>2036.229</v>
      </c>
      <c r="AG45" s="117">
        <f>VLOOKUP($J45,output!$A$9:$AI$2200,AG$1-$L$1+2)</f>
        <v>2361.6619999999998</v>
      </c>
      <c r="AH45" s="117">
        <f>VLOOKUP($J45,output!$A$9:$AI$2200,AH$1-$L$1+2)</f>
        <v>2073.0740000000001</v>
      </c>
      <c r="AI45" s="117">
        <f>VLOOKUP($J45,output!$A$9:$AI$2200,AI$1-$L$1+2)</f>
        <v>2262.9009999999998</v>
      </c>
      <c r="AJ45" s="117">
        <f>VLOOKUP($J45,output!$A$9:$AI$2200,AJ$1-$L$1+2)</f>
        <v>2133.0120000000002</v>
      </c>
      <c r="AK45" s="117">
        <f>VLOOKUP($J45,output!$A$9:$AI$2200,AK$1-$L$1+2)</f>
        <v>2208.538</v>
      </c>
      <c r="AL45" s="117">
        <f>VLOOKUP($J45,output!$A$9:$AI$2200,AL$1-$L$1+2)</f>
        <v>2303.848</v>
      </c>
      <c r="AM45" s="117">
        <f>VLOOKUP($J45,output!$A$9:$AI$2200,AM$1-$L$1+2)</f>
        <v>2385.4070000000002</v>
      </c>
    </row>
    <row r="46" spans="9:40" x14ac:dyDescent="0.25">
      <c r="J46" s="115" t="s">
        <v>323</v>
      </c>
      <c r="L46" s="117">
        <f>VLOOKUP($J46,output!$A$9:$AI$2200,L$1-$L$1+2)</f>
        <v>0</v>
      </c>
      <c r="M46" s="117">
        <f>VLOOKUP($J46,output!$A$9:$AI$2200,M$1-$L$1+2)</f>
        <v>117.774</v>
      </c>
      <c r="N46" s="117">
        <f>VLOOKUP($J46,output!$A$9:$AI$2200,N$1-$L$1+2)</f>
        <v>78.822999999999993</v>
      </c>
      <c r="O46" s="117">
        <f>VLOOKUP($J46,output!$A$9:$AI$2200,O$1-$L$1+2)</f>
        <v>118.916</v>
      </c>
      <c r="P46" s="117">
        <f>VLOOKUP($J46,output!$A$9:$AI$2200,P$1-$L$1+2)</f>
        <v>128.33000000000001</v>
      </c>
      <c r="Q46" s="117">
        <f>VLOOKUP($J46,output!$A$9:$AI$2200,Q$1-$L$1+2)</f>
        <v>126.038</v>
      </c>
      <c r="R46" s="117">
        <f>VLOOKUP($J46,output!$A$9:$AI$2200,R$1-$L$1+2)</f>
        <v>118.759</v>
      </c>
      <c r="S46" s="117">
        <f>VLOOKUP($J46,output!$A$9:$AI$2200,S$1-$L$1+2)</f>
        <v>130.56100000000001</v>
      </c>
      <c r="T46" s="117">
        <f>VLOOKUP($J46,output!$A$9:$AI$2200,T$1-$L$1+2)</f>
        <v>169.01</v>
      </c>
      <c r="U46" s="117">
        <f>VLOOKUP($J46,output!$A$9:$AI$2200,U$1-$L$1+2)</f>
        <v>162.70099999999999</v>
      </c>
      <c r="V46" s="117">
        <f>VLOOKUP($J46,output!$A$9:$AI$2200,V$1-$L$1+2)</f>
        <v>156.70500000000001</v>
      </c>
      <c r="W46" s="117">
        <f>VLOOKUP($J46,output!$A$9:$AI$2200,W$1-$L$1+2)</f>
        <v>158.26900000000001</v>
      </c>
      <c r="X46" s="117">
        <f>VLOOKUP($J46,output!$A$9:$AI$2200,X$1-$L$1+2)</f>
        <v>150.17500000000001</v>
      </c>
      <c r="Y46" s="117">
        <f>VLOOKUP($J46,output!$A$9:$AI$2200,Y$1-$L$1+2)</f>
        <v>145.995</v>
      </c>
      <c r="Z46" s="117">
        <f>VLOOKUP($J46,output!$A$9:$AI$2200,Z$1-$L$1+2)</f>
        <v>199.542</v>
      </c>
      <c r="AA46" s="117">
        <f>VLOOKUP($J46,output!$A$9:$AI$2200,AA$1-$L$1+2)</f>
        <v>189.37299999999999</v>
      </c>
      <c r="AB46" s="117">
        <f>VLOOKUP($J46,output!$A$9:$AI$2200,AB$1-$L$1+2)</f>
        <v>181.892</v>
      </c>
      <c r="AC46" s="117">
        <f>VLOOKUP($J46,output!$A$9:$AI$2200,AC$1-$L$1+2)</f>
        <v>234.12100000000001</v>
      </c>
      <c r="AD46" s="117">
        <f>VLOOKUP($J46,output!$A$9:$AI$2200,AD$1-$L$1+2)</f>
        <v>183.46100000000001</v>
      </c>
      <c r="AE46" s="117">
        <f>VLOOKUP($J46,output!$A$9:$AI$2200,AE$1-$L$1+2)</f>
        <v>176.23099999999999</v>
      </c>
      <c r="AF46" s="117">
        <f>VLOOKUP($J46,output!$A$9:$AI$2200,AF$1-$L$1+2)</f>
        <v>150.11000000000001</v>
      </c>
      <c r="AG46" s="117">
        <f>VLOOKUP($J46,output!$A$9:$AI$2200,AG$1-$L$1+2)</f>
        <v>151.88200000000001</v>
      </c>
      <c r="AH46" s="117">
        <f>VLOOKUP($J46,output!$A$9:$AI$2200,AH$1-$L$1+2)</f>
        <v>140.47200000000001</v>
      </c>
      <c r="AI46" s="117">
        <f>VLOOKUP($J46,output!$A$9:$AI$2200,AI$1-$L$1+2)</f>
        <v>140.08199999999999</v>
      </c>
      <c r="AJ46" s="117">
        <f>VLOOKUP($J46,output!$A$9:$AI$2200,AJ$1-$L$1+2)</f>
        <v>130.345</v>
      </c>
      <c r="AK46" s="117">
        <f>VLOOKUP($J46,output!$A$9:$AI$2200,AK$1-$L$1+2)</f>
        <v>127.40600000000001</v>
      </c>
      <c r="AL46" s="117">
        <f>VLOOKUP($J46,output!$A$9:$AI$2200,AL$1-$L$1+2)</f>
        <v>125.07599999999999</v>
      </c>
      <c r="AM46" s="117">
        <f>VLOOKUP($J46,output!$A$9:$AI$2200,AM$1-$L$1+2)</f>
        <v>124.194</v>
      </c>
    </row>
    <row r="47" spans="9:40" x14ac:dyDescent="0.25">
      <c r="J47" s="115" t="s">
        <v>324</v>
      </c>
      <c r="L47" s="117">
        <f>VLOOKUP($J47,output!$A$9:$AI$2200,L$1-$L$1+2)</f>
        <v>0</v>
      </c>
      <c r="M47" s="117">
        <f>VLOOKUP($J47,output!$A$9:$AI$2200,M$1-$L$1+2)</f>
        <v>60.476999999999997</v>
      </c>
      <c r="N47" s="117">
        <f>VLOOKUP($J47,output!$A$9:$AI$2200,N$1-$L$1+2)</f>
        <v>36.064</v>
      </c>
      <c r="O47" s="117">
        <f>VLOOKUP($J47,output!$A$9:$AI$2200,O$1-$L$1+2)</f>
        <v>58.948</v>
      </c>
      <c r="P47" s="117">
        <f>VLOOKUP($J47,output!$A$9:$AI$2200,P$1-$L$1+2)</f>
        <v>63.073999999999998</v>
      </c>
      <c r="Q47" s="117">
        <f>VLOOKUP($J47,output!$A$9:$AI$2200,Q$1-$L$1+2)</f>
        <v>60.786000000000001</v>
      </c>
      <c r="R47" s="117">
        <f>VLOOKUP($J47,output!$A$9:$AI$2200,R$1-$L$1+2)</f>
        <v>56.125999999999998</v>
      </c>
      <c r="S47" s="117">
        <f>VLOOKUP($J47,output!$A$9:$AI$2200,S$1-$L$1+2)</f>
        <v>60.945</v>
      </c>
      <c r="T47" s="117">
        <f>VLOOKUP($J47,output!$A$9:$AI$2200,T$1-$L$1+2)</f>
        <v>94.096999999999994</v>
      </c>
      <c r="U47" s="117">
        <f>VLOOKUP($J47,output!$A$9:$AI$2200,U$1-$L$1+2)</f>
        <v>87.69</v>
      </c>
      <c r="V47" s="117">
        <f>VLOOKUP($J47,output!$A$9:$AI$2200,V$1-$L$1+2)</f>
        <v>81.287999999999997</v>
      </c>
      <c r="W47" s="117">
        <f>VLOOKUP($J47,output!$A$9:$AI$2200,W$1-$L$1+2)</f>
        <v>78.893000000000001</v>
      </c>
      <c r="X47" s="117">
        <f>VLOOKUP($J47,output!$A$9:$AI$2200,X$1-$L$1+2)</f>
        <v>73.013000000000005</v>
      </c>
      <c r="Y47" s="117">
        <f>VLOOKUP($J47,output!$A$9:$AI$2200,Y$1-$L$1+2)</f>
        <v>72.659000000000006</v>
      </c>
      <c r="Z47" s="117">
        <f>VLOOKUP($J47,output!$A$9:$AI$2200,Z$1-$L$1+2)</f>
        <v>108.111</v>
      </c>
      <c r="AA47" s="117">
        <f>VLOOKUP($J47,output!$A$9:$AI$2200,AA$1-$L$1+2)</f>
        <v>100.736</v>
      </c>
      <c r="AB47" s="117">
        <f>VLOOKUP($J47,output!$A$9:$AI$2200,AB$1-$L$1+2)</f>
        <v>96.971000000000004</v>
      </c>
      <c r="AC47" s="117">
        <f>VLOOKUP($J47,output!$A$9:$AI$2200,AC$1-$L$1+2)</f>
        <v>123.718</v>
      </c>
      <c r="AD47" s="117">
        <f>VLOOKUP($J47,output!$A$9:$AI$2200,AD$1-$L$1+2)</f>
        <v>92.53</v>
      </c>
      <c r="AE47" s="117">
        <f>VLOOKUP($J47,output!$A$9:$AI$2200,AE$1-$L$1+2)</f>
        <v>87.781999999999996</v>
      </c>
      <c r="AF47" s="117">
        <f>VLOOKUP($J47,output!$A$9:$AI$2200,AF$1-$L$1+2)</f>
        <v>75.792000000000002</v>
      </c>
      <c r="AG47" s="117">
        <f>VLOOKUP($J47,output!$A$9:$AI$2200,AG$1-$L$1+2)</f>
        <v>76.207999999999998</v>
      </c>
      <c r="AH47" s="117">
        <f>VLOOKUP($J47,output!$A$9:$AI$2200,AH$1-$L$1+2)</f>
        <v>71.658000000000001</v>
      </c>
      <c r="AI47" s="117">
        <f>VLOOKUP($J47,output!$A$9:$AI$2200,AI$1-$L$1+2)</f>
        <v>68.132999999999996</v>
      </c>
      <c r="AJ47" s="117">
        <f>VLOOKUP($J47,output!$A$9:$AI$2200,AJ$1-$L$1+2)</f>
        <v>64.212999999999994</v>
      </c>
      <c r="AK47" s="117">
        <f>VLOOKUP($J47,output!$A$9:$AI$2200,AK$1-$L$1+2)</f>
        <v>61.067</v>
      </c>
      <c r="AL47" s="117">
        <f>VLOOKUP($J47,output!$A$9:$AI$2200,AL$1-$L$1+2)</f>
        <v>58.173000000000002</v>
      </c>
      <c r="AM47" s="117">
        <f>VLOOKUP($J47,output!$A$9:$AI$2200,AM$1-$L$1+2)</f>
        <v>55.567</v>
      </c>
    </row>
    <row r="48" spans="9:40" x14ac:dyDescent="0.25">
      <c r="J48" s="115" t="s">
        <v>325</v>
      </c>
      <c r="L48" s="117">
        <f>VLOOKUP($J48,output!$A$9:$AI$2200,L$1-$L$1+2)</f>
        <v>0</v>
      </c>
      <c r="M48" s="117">
        <f>VLOOKUP($J48,output!$A$9:$AI$2200,M$1-$L$1+2)</f>
        <v>32.676000000000002</v>
      </c>
      <c r="N48" s="117">
        <f>VLOOKUP($J48,output!$A$9:$AI$2200,N$1-$L$1+2)</f>
        <v>17.494</v>
      </c>
      <c r="O48" s="117">
        <f>VLOOKUP($J48,output!$A$9:$AI$2200,O$1-$L$1+2)</f>
        <v>28.771000000000001</v>
      </c>
      <c r="P48" s="117">
        <f>VLOOKUP($J48,output!$A$9:$AI$2200,P$1-$L$1+2)</f>
        <v>29.004999999999999</v>
      </c>
      <c r="Q48" s="117">
        <f>VLOOKUP($J48,output!$A$9:$AI$2200,Q$1-$L$1+2)</f>
        <v>26.297999999999998</v>
      </c>
      <c r="R48" s="117">
        <f>VLOOKUP($J48,output!$A$9:$AI$2200,R$1-$L$1+2)</f>
        <v>23.170999999999999</v>
      </c>
      <c r="S48" s="117">
        <f>VLOOKUP($J48,output!$A$9:$AI$2200,S$1-$L$1+2)</f>
        <v>24.248999999999999</v>
      </c>
      <c r="T48" s="117">
        <f>VLOOKUP($J48,output!$A$9:$AI$2200,T$1-$L$1+2)</f>
        <v>39.125</v>
      </c>
      <c r="U48" s="117">
        <f>VLOOKUP($J48,output!$A$9:$AI$2200,U$1-$L$1+2)</f>
        <v>37.991</v>
      </c>
      <c r="V48" s="117">
        <f>VLOOKUP($J48,output!$A$9:$AI$2200,V$1-$L$1+2)</f>
        <v>34.276000000000003</v>
      </c>
      <c r="W48" s="117">
        <f>VLOOKUP($J48,output!$A$9:$AI$2200,W$1-$L$1+2)</f>
        <v>31.782</v>
      </c>
      <c r="X48" s="117">
        <f>VLOOKUP($J48,output!$A$9:$AI$2200,X$1-$L$1+2)</f>
        <v>28.597000000000001</v>
      </c>
      <c r="Y48" s="117">
        <f>VLOOKUP($J48,output!$A$9:$AI$2200,Y$1-$L$1+2)</f>
        <v>28.038</v>
      </c>
      <c r="Z48" s="117">
        <f>VLOOKUP($J48,output!$A$9:$AI$2200,Z$1-$L$1+2)</f>
        <v>40.097000000000001</v>
      </c>
      <c r="AA48" s="117">
        <f>VLOOKUP($J48,output!$A$9:$AI$2200,AA$1-$L$1+2)</f>
        <v>36.779000000000003</v>
      </c>
      <c r="AB48" s="117">
        <f>VLOOKUP($J48,output!$A$9:$AI$2200,AB$1-$L$1+2)</f>
        <v>34.56</v>
      </c>
      <c r="AC48" s="117">
        <f>VLOOKUP($J48,output!$A$9:$AI$2200,AC$1-$L$1+2)</f>
        <v>55.856000000000002</v>
      </c>
      <c r="AD48" s="117">
        <f>VLOOKUP($J48,output!$A$9:$AI$2200,AD$1-$L$1+2)</f>
        <v>30.222000000000001</v>
      </c>
      <c r="AE48" s="117">
        <f>VLOOKUP($J48,output!$A$9:$AI$2200,AE$1-$L$1+2)</f>
        <v>28.356999999999999</v>
      </c>
      <c r="AF48" s="117">
        <f>VLOOKUP($J48,output!$A$9:$AI$2200,AF$1-$L$1+2)</f>
        <v>23.728999999999999</v>
      </c>
      <c r="AG48" s="117">
        <f>VLOOKUP($J48,output!$A$9:$AI$2200,AG$1-$L$1+2)</f>
        <v>23.603999999999999</v>
      </c>
      <c r="AH48" s="117">
        <f>VLOOKUP($J48,output!$A$9:$AI$2200,AH$1-$L$1+2)</f>
        <v>21.789000000000001</v>
      </c>
      <c r="AI48" s="117">
        <f>VLOOKUP($J48,output!$A$9:$AI$2200,AI$1-$L$1+2)</f>
        <v>20.975999999999999</v>
      </c>
      <c r="AJ48" s="117">
        <f>VLOOKUP($J48,output!$A$9:$AI$2200,AJ$1-$L$1+2)</f>
        <v>19.422000000000001</v>
      </c>
      <c r="AK48" s="117">
        <f>VLOOKUP($J48,output!$A$9:$AI$2200,AK$1-$L$1+2)</f>
        <v>18.55</v>
      </c>
      <c r="AL48" s="117">
        <f>VLOOKUP($J48,output!$A$9:$AI$2200,AL$1-$L$1+2)</f>
        <v>17.79</v>
      </c>
      <c r="AM48" s="117">
        <f>VLOOKUP($J48,output!$A$9:$AI$2200,AM$1-$L$1+2)</f>
        <v>17.064</v>
      </c>
    </row>
    <row r="49" spans="10:39" x14ac:dyDescent="0.25">
      <c r="J49" s="115" t="s">
        <v>326</v>
      </c>
      <c r="L49" s="117">
        <f>VLOOKUP($J49,output!$A$9:$AI$2200,L$1-$L$1+2)</f>
        <v>0</v>
      </c>
      <c r="M49" s="117">
        <f>VLOOKUP($J49,output!$A$9:$AI$2200,M$1-$L$1+2)</f>
        <v>0.40699999999999997</v>
      </c>
      <c r="N49" s="117">
        <f>VLOOKUP($J49,output!$A$9:$AI$2200,N$1-$L$1+2)</f>
        <v>0.27600000000000002</v>
      </c>
      <c r="O49" s="117">
        <f>VLOOKUP($J49,output!$A$9:$AI$2200,O$1-$L$1+2)</f>
        <v>0.4</v>
      </c>
      <c r="P49" s="117">
        <f>VLOOKUP($J49,output!$A$9:$AI$2200,P$1-$L$1+2)</f>
        <v>0.505</v>
      </c>
      <c r="Q49" s="117">
        <f>VLOOKUP($J49,output!$A$9:$AI$2200,Q$1-$L$1+2)</f>
        <v>0.55300000000000005</v>
      </c>
      <c r="R49" s="117">
        <f>VLOOKUP($J49,output!$A$9:$AI$2200,R$1-$L$1+2)</f>
        <v>0.53100000000000003</v>
      </c>
      <c r="S49" s="117">
        <f>VLOOKUP($J49,output!$A$9:$AI$2200,S$1-$L$1+2)</f>
        <v>0.51500000000000001</v>
      </c>
      <c r="T49" s="117">
        <f>VLOOKUP($J49,output!$A$9:$AI$2200,T$1-$L$1+2)</f>
        <v>0.60699999999999998</v>
      </c>
      <c r="U49" s="117">
        <f>VLOOKUP($J49,output!$A$9:$AI$2200,U$1-$L$1+2)</f>
        <v>0.63700000000000001</v>
      </c>
      <c r="V49" s="117">
        <f>VLOOKUP($J49,output!$A$9:$AI$2200,V$1-$L$1+2)</f>
        <v>0.70699999999999996</v>
      </c>
      <c r="W49" s="117">
        <f>VLOOKUP($J49,output!$A$9:$AI$2200,W$1-$L$1+2)</f>
        <v>0.81299999999999994</v>
      </c>
      <c r="X49" s="117">
        <f>VLOOKUP($J49,output!$A$9:$AI$2200,X$1-$L$1+2)</f>
        <v>0.84</v>
      </c>
      <c r="Y49" s="117">
        <f>VLOOKUP($J49,output!$A$9:$AI$2200,Y$1-$L$1+2)</f>
        <v>0.76300000000000001</v>
      </c>
      <c r="Z49" s="117">
        <f>VLOOKUP($J49,output!$A$9:$AI$2200,Z$1-$L$1+2)</f>
        <v>0.70599999999999996</v>
      </c>
      <c r="AA49" s="117">
        <f>VLOOKUP($J49,output!$A$9:$AI$2200,AA$1-$L$1+2)</f>
        <v>0.71299999999999997</v>
      </c>
      <c r="AB49" s="117">
        <f>VLOOKUP($J49,output!$A$9:$AI$2200,AB$1-$L$1+2)</f>
        <v>0.63600000000000001</v>
      </c>
      <c r="AC49" s="117">
        <f>VLOOKUP($J49,output!$A$9:$AI$2200,AC$1-$L$1+2)</f>
        <v>1.421</v>
      </c>
      <c r="AD49" s="117">
        <f>VLOOKUP($J49,output!$A$9:$AI$2200,AD$1-$L$1+2)</f>
        <v>0.65300000000000002</v>
      </c>
      <c r="AE49" s="117">
        <f>VLOOKUP($J49,output!$A$9:$AI$2200,AE$1-$L$1+2)</f>
        <v>0.66400000000000003</v>
      </c>
      <c r="AF49" s="117">
        <f>VLOOKUP($J49,output!$A$9:$AI$2200,AF$1-$L$1+2)</f>
        <v>0.47199999999999998</v>
      </c>
      <c r="AG49" s="117">
        <f>VLOOKUP($J49,output!$A$9:$AI$2200,AG$1-$L$1+2)</f>
        <v>0.504</v>
      </c>
      <c r="AH49" s="117">
        <f>VLOOKUP($J49,output!$A$9:$AI$2200,AH$1-$L$1+2)</f>
        <v>0.34699999999999998</v>
      </c>
      <c r="AI49" s="117">
        <f>VLOOKUP($J49,output!$A$9:$AI$2200,AI$1-$L$1+2)</f>
        <v>0.55300000000000005</v>
      </c>
      <c r="AJ49" s="117">
        <f>VLOOKUP($J49,output!$A$9:$AI$2200,AJ$1-$L$1+2)</f>
        <v>0.42199999999999999</v>
      </c>
      <c r="AK49" s="117">
        <f>VLOOKUP($J49,output!$A$9:$AI$2200,AK$1-$L$1+2)</f>
        <v>0.51600000000000001</v>
      </c>
      <c r="AL49" s="117">
        <f>VLOOKUP($J49,output!$A$9:$AI$2200,AL$1-$L$1+2)</f>
        <v>0.621</v>
      </c>
      <c r="AM49" s="117">
        <f>VLOOKUP($J49,output!$A$9:$AI$2200,AM$1-$L$1+2)</f>
        <v>0.71099999999999997</v>
      </c>
    </row>
    <row r="50" spans="10:39" ht="30" x14ac:dyDescent="0.25">
      <c r="K50" s="19" t="s">
        <v>356</v>
      </c>
      <c r="L50" s="117">
        <f>SUM(L45:L49)</f>
        <v>0</v>
      </c>
      <c r="M50" s="117">
        <f t="shared" ref="M50:AM50" si="3">SUM(M45:M49)</f>
        <v>2381.4859999999999</v>
      </c>
      <c r="N50" s="117">
        <f t="shared" si="3"/>
        <v>2217.3589999999999</v>
      </c>
      <c r="O50" s="117">
        <f t="shared" si="3"/>
        <v>2395.3540000000003</v>
      </c>
      <c r="P50" s="117">
        <f t="shared" si="3"/>
        <v>2436.6780000000003</v>
      </c>
      <c r="Q50" s="117">
        <f t="shared" si="3"/>
        <v>2442.2479999999996</v>
      </c>
      <c r="R50" s="117">
        <f t="shared" si="3"/>
        <v>2416.5450000000001</v>
      </c>
      <c r="S50" s="117">
        <f t="shared" si="3"/>
        <v>2458.2260000000001</v>
      </c>
      <c r="T50" s="117">
        <f t="shared" si="3"/>
        <v>2677.3790000000004</v>
      </c>
      <c r="U50" s="117">
        <f t="shared" si="3"/>
        <v>2620.5000000000005</v>
      </c>
      <c r="V50" s="117">
        <f t="shared" si="3"/>
        <v>2587.3019999999997</v>
      </c>
      <c r="W50" s="117">
        <f t="shared" si="3"/>
        <v>2593.4459999999999</v>
      </c>
      <c r="X50" s="117">
        <f t="shared" si="3"/>
        <v>2555.9040000000005</v>
      </c>
      <c r="Y50" s="117">
        <f t="shared" si="3"/>
        <v>2312.1959999999999</v>
      </c>
      <c r="Z50" s="117">
        <f t="shared" si="3"/>
        <v>2736.3270000000002</v>
      </c>
      <c r="AA50" s="117">
        <f t="shared" si="3"/>
        <v>2671.7750000000001</v>
      </c>
      <c r="AB50" s="117">
        <f t="shared" si="3"/>
        <v>2475.6829999999995</v>
      </c>
      <c r="AC50" s="117">
        <f t="shared" si="3"/>
        <v>2869.4549999999999</v>
      </c>
      <c r="AD50" s="117">
        <f t="shared" si="3"/>
        <v>2571.5480000000002</v>
      </c>
      <c r="AE50" s="117">
        <f t="shared" si="3"/>
        <v>2509.4110000000005</v>
      </c>
      <c r="AF50" s="117">
        <f t="shared" si="3"/>
        <v>2286.3319999999999</v>
      </c>
      <c r="AG50" s="117">
        <f t="shared" si="3"/>
        <v>2613.8599999999997</v>
      </c>
      <c r="AH50" s="117">
        <f t="shared" si="3"/>
        <v>2307.3400000000006</v>
      </c>
      <c r="AI50" s="117">
        <f t="shared" si="3"/>
        <v>2492.6449999999995</v>
      </c>
      <c r="AJ50" s="117">
        <f t="shared" si="3"/>
        <v>2347.4140000000002</v>
      </c>
      <c r="AK50" s="117">
        <f t="shared" si="3"/>
        <v>2416.0770000000002</v>
      </c>
      <c r="AL50" s="117">
        <f t="shared" si="3"/>
        <v>2505.5079999999998</v>
      </c>
      <c r="AM50" s="117">
        <f t="shared" si="3"/>
        <v>2582.9429999999998</v>
      </c>
    </row>
    <row r="51" spans="10:39" x14ac:dyDescent="0.25">
      <c r="J51" s="116"/>
    </row>
    <row r="52" spans="10:39" x14ac:dyDescent="0.25">
      <c r="J52" s="116" t="s">
        <v>204</v>
      </c>
      <c r="K52" s="115" t="s">
        <v>443</v>
      </c>
    </row>
    <row r="53" spans="10:39" x14ac:dyDescent="0.25">
      <c r="L53" s="117"/>
    </row>
    <row r="54" spans="10:39" x14ac:dyDescent="0.25">
      <c r="J54" s="115" t="s">
        <v>193</v>
      </c>
      <c r="L54" s="117">
        <f>VLOOKUP($J54,output!$A$9:$AI$2200,L$1-$L$1+2)</f>
        <v>0</v>
      </c>
      <c r="M54" s="117">
        <f>VLOOKUP($J54,output!$A$9:$AI$2200,M$1-$L$1+2)</f>
        <v>68.069999999999993</v>
      </c>
      <c r="N54" s="117">
        <f>VLOOKUP($J54,output!$A$9:$AI$2200,N$1-$L$1+2)</f>
        <v>52.066000000000003</v>
      </c>
      <c r="O54" s="117">
        <f>VLOOKUP($J54,output!$A$9:$AI$2200,O$1-$L$1+2)</f>
        <v>133.673</v>
      </c>
      <c r="P54" s="117">
        <f>VLOOKUP($J54,output!$A$9:$AI$2200,P$1-$L$1+2)</f>
        <v>102.73099999999999</v>
      </c>
      <c r="Q54" s="117">
        <f>VLOOKUP($J54,output!$A$9:$AI$2200,Q$1-$L$1+2)</f>
        <v>78.596000000000004</v>
      </c>
      <c r="R54" s="117">
        <f>VLOOKUP($J54,output!$A$9:$AI$2200,R$1-$L$1+2)</f>
        <v>59.808999999999997</v>
      </c>
      <c r="S54" s="117">
        <f>VLOOKUP($J54,output!$A$9:$AI$2200,S$1-$L$1+2)</f>
        <v>45.231999999999999</v>
      </c>
      <c r="T54" s="117">
        <f>VLOOKUP($J54,output!$A$9:$AI$2200,T$1-$L$1+2)</f>
        <v>260.471</v>
      </c>
      <c r="U54" s="117">
        <f>VLOOKUP($J54,output!$A$9:$AI$2200,U$1-$L$1+2)</f>
        <v>202.197</v>
      </c>
      <c r="V54" s="117">
        <f>VLOOKUP($J54,output!$A$9:$AI$2200,V$1-$L$1+2)</f>
        <v>156.464</v>
      </c>
      <c r="W54" s="117">
        <f>VLOOKUP($J54,output!$A$9:$AI$2200,W$1-$L$1+2)</f>
        <v>120.634</v>
      </c>
      <c r="X54" s="117">
        <f>VLOOKUP($J54,output!$A$9:$AI$2200,X$1-$L$1+2)</f>
        <v>92.623000000000005</v>
      </c>
      <c r="Y54" s="117">
        <f>VLOOKUP($J54,output!$A$9:$AI$2200,Y$1-$L$1+2)</f>
        <v>72.070999999999998</v>
      </c>
      <c r="Z54" s="117">
        <f>VLOOKUP($J54,output!$A$9:$AI$2200,Z$1-$L$1+2)</f>
        <v>561.36500000000001</v>
      </c>
      <c r="AA54" s="117">
        <f>VLOOKUP($J54,output!$A$9:$AI$2200,AA$1-$L$1+2)</f>
        <v>499.01600000000002</v>
      </c>
      <c r="AB54" s="117">
        <f>VLOOKUP($J54,output!$A$9:$AI$2200,AB$1-$L$1+2)</f>
        <v>445.29</v>
      </c>
      <c r="AC54" s="117">
        <f>VLOOKUP($J54,output!$A$9:$AI$2200,AC$1-$L$1+2)</f>
        <v>395.56200000000001</v>
      </c>
      <c r="AD54" s="117">
        <f>VLOOKUP($J54,output!$A$9:$AI$2200,AD$1-$L$1+2)</f>
        <v>349.15800000000002</v>
      </c>
      <c r="AE54" s="117">
        <f>VLOOKUP($J54,output!$A$9:$AI$2200,AE$1-$L$1+2)</f>
        <v>310.48</v>
      </c>
      <c r="AF54" s="117">
        <f>VLOOKUP($J54,output!$A$9:$AI$2200,AF$1-$L$1+2)</f>
        <v>276.08300000000003</v>
      </c>
      <c r="AG54" s="117">
        <f>VLOOKUP($J54,output!$A$9:$AI$2200,AG$1-$L$1+2)</f>
        <v>253.64599999999999</v>
      </c>
      <c r="AH54" s="117">
        <f>VLOOKUP($J54,output!$A$9:$AI$2200,AH$1-$L$1+2)</f>
        <v>232.267</v>
      </c>
      <c r="AI54" s="117">
        <f>VLOOKUP($J54,output!$A$9:$AI$2200,AI$1-$L$1+2)</f>
        <v>212.96299999999999</v>
      </c>
      <c r="AJ54" s="117">
        <f>VLOOKUP($J54,output!$A$9:$AI$2200,AJ$1-$L$1+2)</f>
        <v>195.55199999999999</v>
      </c>
      <c r="AK54" s="117">
        <f>VLOOKUP($J54,output!$A$9:$AI$2200,AK$1-$L$1+2)</f>
        <v>180.00299999999999</v>
      </c>
      <c r="AL54" s="117">
        <f>VLOOKUP($J54,output!$A$9:$AI$2200,AL$1-$L$1+2)</f>
        <v>166.155</v>
      </c>
      <c r="AM54" s="117">
        <f>VLOOKUP($J54,output!$A$9:$AI$2200,AM$1-$L$1+2)</f>
        <v>153.797</v>
      </c>
    </row>
    <row r="55" spans="10:39" x14ac:dyDescent="0.25">
      <c r="J55" s="115" t="s">
        <v>196</v>
      </c>
      <c r="L55" s="117">
        <f>VLOOKUP($J55,output!$A$9:$AI$2200,L$1-$L$1+3)</f>
        <v>0</v>
      </c>
      <c r="M55" s="117">
        <f>VLOOKUP($J55,output!$A$9:$AI$2200,M$1-$L$1+3)</f>
        <v>0</v>
      </c>
      <c r="N55" s="117">
        <f>VLOOKUP($J55,output!$A$9:$AI$2200,N$1-$L$1+3)</f>
        <v>0</v>
      </c>
      <c r="O55" s="117">
        <f>VLOOKUP($J55,output!$A$9:$AI$2200,O$1-$L$1+3)</f>
        <v>24.707000000000001</v>
      </c>
      <c r="P55" s="117">
        <f>VLOOKUP($J55,output!$A$9:$AI$2200,P$1-$L$1+3)</f>
        <v>20.923999999999999</v>
      </c>
      <c r="Q55" s="117">
        <f>VLOOKUP($J55,output!$A$9:$AI$2200,Q$1-$L$1+3)</f>
        <v>17.504999999999999</v>
      </c>
      <c r="R55" s="117">
        <f>VLOOKUP($J55,output!$A$9:$AI$2200,R$1-$L$1+3)</f>
        <v>75.299000000000007</v>
      </c>
      <c r="S55" s="117">
        <f>VLOOKUP($J55,output!$A$9:$AI$2200,S$1-$L$1+3)</f>
        <v>66.143000000000001</v>
      </c>
      <c r="T55" s="117">
        <f>VLOOKUP($J55,output!$A$9:$AI$2200,T$1-$L$1+3)</f>
        <v>57.332999999999998</v>
      </c>
      <c r="U55" s="117">
        <f>VLOOKUP($J55,output!$A$9:$AI$2200,U$1-$L$1+3)</f>
        <v>49.33</v>
      </c>
      <c r="V55" s="117">
        <f>VLOOKUP($J55,output!$A$9:$AI$2200,V$1-$L$1+3)</f>
        <v>42.107999999999997</v>
      </c>
      <c r="W55" s="117">
        <f>VLOOKUP($J55,output!$A$9:$AI$2200,W$1-$L$1+3)</f>
        <v>35.631</v>
      </c>
      <c r="X55" s="117">
        <f>VLOOKUP($J55,output!$A$9:$AI$2200,X$1-$L$1+3)</f>
        <v>81.546000000000006</v>
      </c>
      <c r="Y55" s="117">
        <f>VLOOKUP($J55,output!$A$9:$AI$2200,Y$1-$L$1+3)</f>
        <v>72.396000000000001</v>
      </c>
      <c r="Z55" s="117">
        <f>VLOOKUP($J55,output!$A$9:$AI$2200,Z$1-$L$1+3)</f>
        <v>63.95</v>
      </c>
      <c r="AA55" s="117">
        <f>VLOOKUP($J55,output!$A$9:$AI$2200,AA$1-$L$1+3)</f>
        <v>56.435000000000002</v>
      </c>
      <c r="AB55" s="117">
        <f>VLOOKUP($J55,output!$A$9:$AI$2200,AB$1-$L$1+3)</f>
        <v>258.66300000000001</v>
      </c>
      <c r="AC55" s="117">
        <f>VLOOKUP($J55,output!$A$9:$AI$2200,AC$1-$L$1+3)</f>
        <v>242.97399999999999</v>
      </c>
      <c r="AD55" s="117">
        <f>VLOOKUP($J55,output!$A$9:$AI$2200,AD$1-$L$1+3)</f>
        <v>228.185</v>
      </c>
      <c r="AE55" s="117">
        <f>VLOOKUP($J55,output!$A$9:$AI$2200,AE$1-$L$1+3)</f>
        <v>214.53</v>
      </c>
      <c r="AF55" s="117">
        <f>VLOOKUP($J55,output!$A$9:$AI$2200,AF$1-$L$1+3)</f>
        <v>205.82599999999999</v>
      </c>
      <c r="AG55" s="117">
        <f>VLOOKUP($J55,output!$A$9:$AI$2200,AG$1-$L$1+3)</f>
        <v>197.29900000000001</v>
      </c>
      <c r="AH55" s="117">
        <f>VLOOKUP($J55,output!$A$9:$AI$2200,AH$1-$L$1+3)</f>
        <v>188.40100000000001</v>
      </c>
      <c r="AI55" s="117">
        <f>VLOOKUP($J55,output!$A$9:$AI$2200,AI$1-$L$1+3)</f>
        <v>180.327</v>
      </c>
      <c r="AJ55" s="117">
        <f>VLOOKUP($J55,output!$A$9:$AI$2200,AJ$1-$L$1+3)</f>
        <v>172.49</v>
      </c>
      <c r="AK55" s="117">
        <f>VLOOKUP($J55,output!$A$9:$AI$2200,AK$1-$L$1+3)</f>
        <v>164.87</v>
      </c>
      <c r="AL55" s="117">
        <f>VLOOKUP($J55,output!$A$9:$AI$2200,AL$1-$L$1+3)</f>
        <v>157.227</v>
      </c>
      <c r="AM55" s="117">
        <f>VLOOKUP($J55,output!$A$9:$AI$2200,AM$1-$L$1+3)</f>
        <v>0</v>
      </c>
    </row>
    <row r="57" spans="10:39" x14ac:dyDescent="0.25">
      <c r="L57" s="117"/>
    </row>
    <row r="63" spans="10:39" x14ac:dyDescent="0.25">
      <c r="J63" s="116"/>
    </row>
    <row r="64" spans="10:39" x14ac:dyDescent="0.25">
      <c r="L64" s="117"/>
    </row>
    <row r="65" spans="10:39" x14ac:dyDescent="0.25">
      <c r="L65" s="117"/>
    </row>
    <row r="66" spans="10:39" x14ac:dyDescent="0.25">
      <c r="L66" s="117"/>
    </row>
    <row r="72" spans="10:39" x14ac:dyDescent="0.25">
      <c r="J72" s="116" t="s">
        <v>511</v>
      </c>
    </row>
    <row r="73" spans="10:39" x14ac:dyDescent="0.25">
      <c r="J73" s="115" t="s">
        <v>434</v>
      </c>
      <c r="L73" s="117">
        <f>L74+L75+L76</f>
        <v>0</v>
      </c>
      <c r="M73" s="117">
        <f t="shared" ref="M73:AM73" si="4">M74+M75+M76</f>
        <v>389.84999999999997</v>
      </c>
      <c r="N73" s="117">
        <f t="shared" si="4"/>
        <v>299.59699999999998</v>
      </c>
      <c r="O73" s="117">
        <f t="shared" si="4"/>
        <v>336.46299999999997</v>
      </c>
      <c r="P73" s="117">
        <f t="shared" si="4"/>
        <v>341.47300000000001</v>
      </c>
      <c r="Q73" s="117">
        <f t="shared" si="4"/>
        <v>335.76300000000003</v>
      </c>
      <c r="R73" s="117">
        <f t="shared" si="4"/>
        <v>332.79599999999999</v>
      </c>
      <c r="S73" s="117">
        <f t="shared" si="4"/>
        <v>338.77099999999996</v>
      </c>
      <c r="T73" s="117">
        <f t="shared" si="4"/>
        <v>358.14499999999998</v>
      </c>
      <c r="U73" s="117">
        <f t="shared" si="4"/>
        <v>376.99899999999997</v>
      </c>
      <c r="V73" s="117">
        <f t="shared" si="4"/>
        <v>398.00100000000003</v>
      </c>
      <c r="W73" s="117">
        <f t="shared" si="4"/>
        <v>421.36600000000004</v>
      </c>
      <c r="X73" s="117">
        <f t="shared" si="4"/>
        <v>443.33700000000005</v>
      </c>
      <c r="Y73" s="117">
        <f t="shared" si="4"/>
        <v>392.125</v>
      </c>
      <c r="Z73" s="117">
        <f t="shared" si="4"/>
        <v>412.23199999999997</v>
      </c>
      <c r="AA73" s="117">
        <f t="shared" si="4"/>
        <v>431.57099999999997</v>
      </c>
      <c r="AB73" s="117">
        <f t="shared" si="4"/>
        <v>421.95699999999999</v>
      </c>
      <c r="AC73" s="117">
        <f t="shared" si="4"/>
        <v>469.899</v>
      </c>
      <c r="AD73" s="117">
        <f t="shared" si="4"/>
        <v>444.34100000000001</v>
      </c>
      <c r="AE73" s="117">
        <f t="shared" si="4"/>
        <v>450.40699999999998</v>
      </c>
      <c r="AF73" s="117">
        <f t="shared" si="4"/>
        <v>429.47500000000002</v>
      </c>
      <c r="AG73" s="117">
        <f t="shared" si="4"/>
        <v>253.07599999999999</v>
      </c>
      <c r="AH73" s="117">
        <f t="shared" si="4"/>
        <v>263.29899999999998</v>
      </c>
      <c r="AI73" s="117">
        <f t="shared" si="4"/>
        <v>274.04300000000001</v>
      </c>
      <c r="AJ73" s="117">
        <f t="shared" si="4"/>
        <v>255.167</v>
      </c>
      <c r="AK73" s="117">
        <f t="shared" si="4"/>
        <v>248.566</v>
      </c>
      <c r="AL73" s="117">
        <f t="shared" si="4"/>
        <v>242.98999999999998</v>
      </c>
      <c r="AM73" s="117">
        <f t="shared" si="4"/>
        <v>236.95699999999997</v>
      </c>
    </row>
    <row r="74" spans="10:39" x14ac:dyDescent="0.25">
      <c r="J74" s="115" t="s">
        <v>384</v>
      </c>
      <c r="K74" s="115" t="s">
        <v>436</v>
      </c>
      <c r="L74" s="117">
        <f>VLOOKUP($J74,output!$A$9:$AI$2200,L$1-$L$1+2)</f>
        <v>0</v>
      </c>
      <c r="M74" s="117">
        <f>VLOOKUP($J74,output!$A$9:$AI$2200,M$1-$L$1+2)</f>
        <v>315.31</v>
      </c>
      <c r="N74" s="117">
        <f>VLOOKUP($J74,output!$A$9:$AI$2200,N$1-$L$1+2)</f>
        <v>251.77199999999999</v>
      </c>
      <c r="O74" s="117">
        <f>VLOOKUP($J74,output!$A$9:$AI$2200,O$1-$L$1+2)</f>
        <v>249.79900000000001</v>
      </c>
      <c r="P74" s="117">
        <f>VLOOKUP($J74,output!$A$9:$AI$2200,P$1-$L$1+2)</f>
        <v>263.52600000000001</v>
      </c>
      <c r="Q74" s="117">
        <f>VLOOKUP($J74,output!$A$9:$AI$2200,Q$1-$L$1+2)</f>
        <v>267.71100000000001</v>
      </c>
      <c r="R74" s="117">
        <f>VLOOKUP($J74,output!$A$9:$AI$2200,R$1-$L$1+2)</f>
        <v>274.72300000000001</v>
      </c>
      <c r="S74" s="117">
        <f>VLOOKUP($J74,output!$A$9:$AI$2200,S$1-$L$1+2)</f>
        <v>284.12599999999998</v>
      </c>
      <c r="T74" s="117">
        <f>VLOOKUP($J74,output!$A$9:$AI$2200,T$1-$L$1+2)</f>
        <v>298.85399999999998</v>
      </c>
      <c r="U74" s="117">
        <f>VLOOKUP($J74,output!$A$9:$AI$2200,U$1-$L$1+2)</f>
        <v>316.02699999999999</v>
      </c>
      <c r="V74" s="117">
        <f>VLOOKUP($J74,output!$A$9:$AI$2200,V$1-$L$1+2)</f>
        <v>333.63499999999999</v>
      </c>
      <c r="W74" s="117">
        <f>VLOOKUP($J74,output!$A$9:$AI$2200,W$1-$L$1+2)</f>
        <v>349.38600000000002</v>
      </c>
      <c r="X74" s="117">
        <f>VLOOKUP($J74,output!$A$9:$AI$2200,X$1-$L$1+2)</f>
        <v>366.173</v>
      </c>
      <c r="Y74" s="117">
        <f>VLOOKUP($J74,output!$A$9:$AI$2200,Y$1-$L$1+2)</f>
        <v>319.08</v>
      </c>
      <c r="Z74" s="117">
        <f>VLOOKUP($J74,output!$A$9:$AI$2200,Z$1-$L$1+2)</f>
        <v>326.12200000000001</v>
      </c>
      <c r="AA74" s="117">
        <f>VLOOKUP($J74,output!$A$9:$AI$2200,AA$1-$L$1+2)</f>
        <v>337.39400000000001</v>
      </c>
      <c r="AB74" s="117">
        <f>VLOOKUP($J74,output!$A$9:$AI$2200,AB$1-$L$1+2)</f>
        <v>317.52</v>
      </c>
      <c r="AC74" s="117">
        <f>VLOOKUP($J74,output!$A$9:$AI$2200,AC$1-$L$1+2)</f>
        <v>346.48</v>
      </c>
      <c r="AD74" s="117">
        <f>VLOOKUP($J74,output!$A$9:$AI$2200,AD$1-$L$1+2)</f>
        <v>337.85899999999998</v>
      </c>
      <c r="AE74" s="117">
        <f>VLOOKUP($J74,output!$A$9:$AI$2200,AE$1-$L$1+2)</f>
        <v>342.43200000000002</v>
      </c>
      <c r="AF74" s="117">
        <f>VLOOKUP($J74,output!$A$9:$AI$2200,AF$1-$L$1+2)</f>
        <v>331.78100000000001</v>
      </c>
      <c r="AG74" s="117">
        <f>VLOOKUP($J74,output!$A$9:$AI$2200,AG$1-$L$1+2)</f>
        <v>154.6</v>
      </c>
      <c r="AH74" s="117">
        <f>VLOOKUP($J74,output!$A$9:$AI$2200,AH$1-$L$1+2)</f>
        <v>169.964</v>
      </c>
      <c r="AI74" s="117">
        <f>VLOOKUP($J74,output!$A$9:$AI$2200,AI$1-$L$1+2)</f>
        <v>184.172</v>
      </c>
      <c r="AJ74" s="117">
        <f>VLOOKUP($J74,output!$A$9:$AI$2200,AJ$1-$L$1+2)</f>
        <v>169.898</v>
      </c>
      <c r="AK74" s="117">
        <f>VLOOKUP($J74,output!$A$9:$AI$2200,AK$1-$L$1+2)</f>
        <v>166.61199999999999</v>
      </c>
      <c r="AL74" s="117">
        <f>VLOOKUP($J74,output!$A$9:$AI$2200,AL$1-$L$1+2)</f>
        <v>163.92</v>
      </c>
      <c r="AM74" s="117">
        <f>VLOOKUP($J74,output!$A$9:$AI$2200,AM$1-$L$1+2)</f>
        <v>160.29499999999999</v>
      </c>
    </row>
    <row r="75" spans="10:39" x14ac:dyDescent="0.25">
      <c r="J75" s="115" t="s">
        <v>383</v>
      </c>
      <c r="K75" s="115" t="s">
        <v>435</v>
      </c>
      <c r="L75" s="117">
        <f>VLOOKUP($J75,output!$A$9:$AI$2200,L$1-$L$1+2)</f>
        <v>0</v>
      </c>
      <c r="M75" s="117">
        <f>VLOOKUP($J75,output!$A$9:$AI$2200,M$1-$L$1+2)</f>
        <v>40.546999999999997</v>
      </c>
      <c r="N75" s="117">
        <f>VLOOKUP($J75,output!$A$9:$AI$2200,N$1-$L$1+2)</f>
        <v>23.280999999999999</v>
      </c>
      <c r="O75" s="117">
        <f>VLOOKUP($J75,output!$A$9:$AI$2200,O$1-$L$1+2)</f>
        <v>25.942</v>
      </c>
      <c r="P75" s="117">
        <f>VLOOKUP($J75,output!$A$9:$AI$2200,P$1-$L$1+2)</f>
        <v>30.550999999999998</v>
      </c>
      <c r="Q75" s="117">
        <f>VLOOKUP($J75,output!$A$9:$AI$2200,Q$1-$L$1+2)</f>
        <v>31.3</v>
      </c>
      <c r="R75" s="117">
        <f>VLOOKUP($J75,output!$A$9:$AI$2200,R$1-$L$1+2)</f>
        <v>29.733000000000001</v>
      </c>
      <c r="S75" s="117">
        <f>VLOOKUP($J75,output!$A$9:$AI$2200,S$1-$L$1+2)</f>
        <v>32.933</v>
      </c>
      <c r="T75" s="117">
        <f>VLOOKUP($J75,output!$A$9:$AI$2200,T$1-$L$1+2)</f>
        <v>37.720999999999997</v>
      </c>
      <c r="U75" s="117">
        <f>VLOOKUP($J75,output!$A$9:$AI$2200,U$1-$L$1+2)</f>
        <v>43.142000000000003</v>
      </c>
      <c r="V75" s="117">
        <f>VLOOKUP($J75,output!$A$9:$AI$2200,V$1-$L$1+2)</f>
        <v>50.116999999999997</v>
      </c>
      <c r="W75" s="117">
        <f>VLOOKUP($J75,output!$A$9:$AI$2200,W$1-$L$1+2)</f>
        <v>60.655000000000001</v>
      </c>
      <c r="X75" s="117">
        <f>VLOOKUP($J75,output!$A$9:$AI$2200,X$1-$L$1+2)</f>
        <v>68.206000000000003</v>
      </c>
      <c r="Y75" s="117">
        <f>VLOOKUP($J75,output!$A$9:$AI$2200,Y$1-$L$1+2)</f>
        <v>65.927999999999997</v>
      </c>
      <c r="Z75" s="117">
        <f>VLOOKUP($J75,output!$A$9:$AI$2200,Z$1-$L$1+2)</f>
        <v>65.171999999999997</v>
      </c>
      <c r="AA75" s="117">
        <f>VLOOKUP($J75,output!$A$9:$AI$2200,AA$1-$L$1+2)</f>
        <v>74.281999999999996</v>
      </c>
      <c r="AB75" s="117">
        <f>VLOOKUP($J75,output!$A$9:$AI$2200,AB$1-$L$1+2)</f>
        <v>85.570999999999998</v>
      </c>
      <c r="AC75" s="117">
        <f>VLOOKUP($J75,output!$A$9:$AI$2200,AC$1-$L$1+2)</f>
        <v>105.63</v>
      </c>
      <c r="AD75" s="117">
        <f>VLOOKUP($J75,output!$A$9:$AI$2200,AD$1-$L$1+2)</f>
        <v>89.564999999999998</v>
      </c>
      <c r="AE75" s="117">
        <f>VLOOKUP($J75,output!$A$9:$AI$2200,AE$1-$L$1+2)</f>
        <v>91.852000000000004</v>
      </c>
      <c r="AF75" s="117">
        <f>VLOOKUP($J75,output!$A$9:$AI$2200,AF$1-$L$1+2)</f>
        <v>82.316999999999993</v>
      </c>
      <c r="AG75" s="117">
        <f>VLOOKUP($J75,output!$A$9:$AI$2200,AG$1-$L$1+2)</f>
        <v>83.744</v>
      </c>
      <c r="AH75" s="117">
        <f>VLOOKUP($J75,output!$A$9:$AI$2200,AH$1-$L$1+2)</f>
        <v>79.248000000000005</v>
      </c>
      <c r="AI75" s="117">
        <f>VLOOKUP($J75,output!$A$9:$AI$2200,AI$1-$L$1+2)</f>
        <v>76.384</v>
      </c>
      <c r="AJ75" s="117">
        <f>VLOOKUP($J75,output!$A$9:$AI$2200,AJ$1-$L$1+2)</f>
        <v>72.364000000000004</v>
      </c>
      <c r="AK75" s="117">
        <f>VLOOKUP($J75,output!$A$9:$AI$2200,AK$1-$L$1+2)</f>
        <v>69.602000000000004</v>
      </c>
      <c r="AL75" s="117">
        <f>VLOOKUP($J75,output!$A$9:$AI$2200,AL$1-$L$1+2)</f>
        <v>67.247</v>
      </c>
      <c r="AM75" s="117">
        <f>VLOOKUP($J75,output!$A$9:$AI$2200,AM$1-$L$1+2)</f>
        <v>65.352999999999994</v>
      </c>
    </row>
    <row r="76" spans="10:39" x14ac:dyDescent="0.25">
      <c r="J76" s="115" t="s">
        <v>418</v>
      </c>
      <c r="K76" s="115" t="s">
        <v>437</v>
      </c>
      <c r="L76" s="117">
        <f>VLOOKUP($J76,output!$A$9:$AI$2200,L$1-$L$1+2)</f>
        <v>0</v>
      </c>
      <c r="M76" s="117">
        <f>VLOOKUP($J76,output!$A$9:$AI$2200,M$1-$L$1+2)</f>
        <v>33.993000000000002</v>
      </c>
      <c r="N76" s="117">
        <f>VLOOKUP($J76,output!$A$9:$AI$2200,N$1-$L$1+2)</f>
        <v>24.544</v>
      </c>
      <c r="O76" s="117">
        <f>VLOOKUP($J76,output!$A$9:$AI$2200,O$1-$L$1+2)</f>
        <v>60.722000000000001</v>
      </c>
      <c r="P76" s="117">
        <f>VLOOKUP($J76,output!$A$9:$AI$2200,P$1-$L$1+2)</f>
        <v>47.396000000000001</v>
      </c>
      <c r="Q76" s="117">
        <f>VLOOKUP($J76,output!$A$9:$AI$2200,Q$1-$L$1+2)</f>
        <v>36.752000000000002</v>
      </c>
      <c r="R76" s="117">
        <f>VLOOKUP($J76,output!$A$9:$AI$2200,R$1-$L$1+2)</f>
        <v>28.34</v>
      </c>
      <c r="S76" s="117">
        <f>VLOOKUP($J76,output!$A$9:$AI$2200,S$1-$L$1+2)</f>
        <v>21.712</v>
      </c>
      <c r="T76" s="117">
        <f>VLOOKUP($J76,output!$A$9:$AI$2200,T$1-$L$1+2)</f>
        <v>21.57</v>
      </c>
      <c r="U76" s="117">
        <f>VLOOKUP($J76,output!$A$9:$AI$2200,U$1-$L$1+2)</f>
        <v>17.829999999999998</v>
      </c>
      <c r="V76" s="117">
        <f>VLOOKUP($J76,output!$A$9:$AI$2200,V$1-$L$1+2)</f>
        <v>14.249000000000001</v>
      </c>
      <c r="W76" s="117">
        <f>VLOOKUP($J76,output!$A$9:$AI$2200,W$1-$L$1+2)</f>
        <v>11.324999999999999</v>
      </c>
      <c r="X76" s="117">
        <f>VLOOKUP($J76,output!$A$9:$AI$2200,X$1-$L$1+2)</f>
        <v>8.9580000000000002</v>
      </c>
      <c r="Y76" s="117">
        <f>VLOOKUP($J76,output!$A$9:$AI$2200,Y$1-$L$1+2)</f>
        <v>7.117</v>
      </c>
      <c r="Z76" s="117">
        <f>VLOOKUP($J76,output!$A$9:$AI$2200,Z$1-$L$1+2)</f>
        <v>20.937999999999999</v>
      </c>
      <c r="AA76" s="117">
        <f>VLOOKUP($J76,output!$A$9:$AI$2200,AA$1-$L$1+2)</f>
        <v>19.895</v>
      </c>
      <c r="AB76" s="117">
        <f>VLOOKUP($J76,output!$A$9:$AI$2200,AB$1-$L$1+2)</f>
        <v>18.866</v>
      </c>
      <c r="AC76" s="117">
        <f>VLOOKUP($J76,output!$A$9:$AI$2200,AC$1-$L$1+2)</f>
        <v>17.789000000000001</v>
      </c>
      <c r="AD76" s="117">
        <f>VLOOKUP($J76,output!$A$9:$AI$2200,AD$1-$L$1+2)</f>
        <v>16.917000000000002</v>
      </c>
      <c r="AE76" s="117">
        <f>VLOOKUP($J76,output!$A$9:$AI$2200,AE$1-$L$1+2)</f>
        <v>16.123000000000001</v>
      </c>
      <c r="AF76" s="117">
        <f>VLOOKUP($J76,output!$A$9:$AI$2200,AF$1-$L$1+2)</f>
        <v>15.377000000000001</v>
      </c>
      <c r="AG76" s="117">
        <f>VLOOKUP($J76,output!$A$9:$AI$2200,AG$1-$L$1+2)</f>
        <v>14.731999999999999</v>
      </c>
      <c r="AH76" s="117">
        <f>VLOOKUP($J76,output!$A$9:$AI$2200,AH$1-$L$1+2)</f>
        <v>14.087</v>
      </c>
      <c r="AI76" s="117">
        <f>VLOOKUP($J76,output!$A$9:$AI$2200,AI$1-$L$1+2)</f>
        <v>13.487</v>
      </c>
      <c r="AJ76" s="117">
        <f>VLOOKUP($J76,output!$A$9:$AI$2200,AJ$1-$L$1+2)</f>
        <v>12.904999999999999</v>
      </c>
      <c r="AK76" s="117">
        <f>VLOOKUP($J76,output!$A$9:$AI$2200,AK$1-$L$1+2)</f>
        <v>12.352</v>
      </c>
      <c r="AL76" s="117">
        <f>VLOOKUP($J76,output!$A$9:$AI$2200,AL$1-$L$1+2)</f>
        <v>11.823</v>
      </c>
      <c r="AM76" s="117">
        <f>VLOOKUP($J76,output!$A$9:$AI$2200,AM$1-$L$1+2)</f>
        <v>11.308999999999999</v>
      </c>
    </row>
    <row r="78" spans="10:39" x14ac:dyDescent="0.25"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</row>
    <row r="79" spans="10:39" x14ac:dyDescent="0.25"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</row>
    <row r="80" spans="10:39" x14ac:dyDescent="0.25"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</row>
    <row r="81" spans="1:39" x14ac:dyDescent="0.25"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</row>
    <row r="82" spans="1:39" x14ac:dyDescent="0.25"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</row>
    <row r="83" spans="1:39" x14ac:dyDescent="0.25"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</row>
    <row r="84" spans="1:39" x14ac:dyDescent="0.25"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</row>
    <row r="88" spans="1:39" x14ac:dyDescent="0.25"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</row>
    <row r="89" spans="1:39" x14ac:dyDescent="0.25"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</row>
    <row r="90" spans="1:39" x14ac:dyDescent="0.25">
      <c r="J90" s="126" t="s">
        <v>436</v>
      </c>
      <c r="K90" s="126"/>
    </row>
    <row r="91" spans="1:39" x14ac:dyDescent="0.25">
      <c r="A91" s="115" t="s">
        <v>440</v>
      </c>
      <c r="B91" s="115">
        <v>2030</v>
      </c>
      <c r="J91" s="115" t="s">
        <v>439</v>
      </c>
      <c r="K91" s="115" t="s">
        <v>438</v>
      </c>
    </row>
    <row r="92" spans="1:39" x14ac:dyDescent="0.25">
      <c r="I92" s="115" t="s">
        <v>385</v>
      </c>
      <c r="J92" s="115" t="s">
        <v>110</v>
      </c>
      <c r="K92" s="115" t="s">
        <v>110</v>
      </c>
      <c r="L92" s="117">
        <f>VLOOKUP($I92,output!$A$9:$AI$2200,L$1-$L$1+2)</f>
        <v>0</v>
      </c>
      <c r="M92" s="117">
        <f>VLOOKUP($I92,output!$A$9:$AI$2200,M$1-$L$1+2)</f>
        <v>14.646000000000001</v>
      </c>
      <c r="N92" s="117">
        <f>VLOOKUP($I92,output!$A$9:$AI$2200,N$1-$L$1+2)</f>
        <v>9.1319999999999997</v>
      </c>
      <c r="O92" s="117">
        <f>VLOOKUP($I92,output!$A$9:$AI$2200,O$1-$L$1+2)</f>
        <v>8.9049999999999994</v>
      </c>
      <c r="P92" s="117">
        <f>VLOOKUP($I92,output!$A$9:$AI$2200,P$1-$L$1+2)</f>
        <v>8.6940000000000008</v>
      </c>
      <c r="Q92" s="117">
        <f>VLOOKUP($I92,output!$A$9:$AI$2200,Q$1-$L$1+2)</f>
        <v>8.4870000000000001</v>
      </c>
      <c r="R92" s="117">
        <f>VLOOKUP($I92,output!$A$9:$AI$2200,R$1-$L$1+2)</f>
        <v>8.2970000000000006</v>
      </c>
      <c r="S92" s="117">
        <f>VLOOKUP($I92,output!$A$9:$AI$2200,S$1-$L$1+2)</f>
        <v>8.1110000000000007</v>
      </c>
      <c r="T92" s="117">
        <f>VLOOKUP($I92,output!$A$9:$AI$2200,T$1-$L$1+2)</f>
        <v>7.9219999999999997</v>
      </c>
      <c r="U92" s="117">
        <f>VLOOKUP($I92,output!$A$9:$AI$2200,U$1-$L$1+2)</f>
        <v>7.7770000000000001</v>
      </c>
      <c r="V92" s="117">
        <f>VLOOKUP($I92,output!$A$9:$AI$2200,V$1-$L$1+2)</f>
        <v>7.6289999999999996</v>
      </c>
      <c r="W92" s="117">
        <f>VLOOKUP($I92,output!$A$9:$AI$2200,W$1-$L$1+2)</f>
        <v>7.5140000000000002</v>
      </c>
      <c r="X92" s="117">
        <f>VLOOKUP($I92,output!$A$9:$AI$2200,X$1-$L$1+2)</f>
        <v>7.44</v>
      </c>
      <c r="Y92" s="117">
        <f>VLOOKUP($I92,output!$A$9:$AI$2200,Y$1-$L$1+2)</f>
        <v>7.3659999999999997</v>
      </c>
      <c r="Z92" s="117">
        <f>VLOOKUP($I92,output!$A$9:$AI$2200,Z$1-$L$1+2)</f>
        <v>7.3639999999999999</v>
      </c>
      <c r="AA92" s="117">
        <f>VLOOKUP($I92,output!$A$9:$AI$2200,AA$1-$L$1+2)</f>
        <v>7.41</v>
      </c>
      <c r="AB92" s="117">
        <f>VLOOKUP($I92,output!$A$9:$AI$2200,AB$1-$L$1+2)</f>
        <v>7.5060000000000002</v>
      </c>
      <c r="AC92" s="117">
        <f>VLOOKUP($I92,output!$A$9:$AI$2200,AC$1-$L$1+2)</f>
        <v>7.65</v>
      </c>
      <c r="AD92" s="117">
        <f>VLOOKUP($I92,output!$A$9:$AI$2200,AD$1-$L$1+2)</f>
        <v>7.8479999999999999</v>
      </c>
      <c r="AE92" s="117">
        <f>VLOOKUP($I92,output!$A$9:$AI$2200,AE$1-$L$1+2)</f>
        <v>8.0739999999999998</v>
      </c>
      <c r="AF92" s="117">
        <f>VLOOKUP($I92,output!$A$9:$AI$2200,AF$1-$L$1+2)</f>
        <v>8.3260000000000005</v>
      </c>
      <c r="AG92" s="117">
        <f>VLOOKUP($I92,output!$A$9:$AI$2200,AG$1-$L$1+2)</f>
        <v>30.864999999999998</v>
      </c>
      <c r="AH92" s="117">
        <f>VLOOKUP($I92,output!$A$9:$AI$2200,AH$1-$L$1+2)</f>
        <v>15.555999999999999</v>
      </c>
      <c r="AI92" s="117">
        <f>VLOOKUP($I92,output!$A$9:$AI$2200,AI$1-$L$1+2)</f>
        <v>15.114000000000001</v>
      </c>
      <c r="AJ92" s="117">
        <f>VLOOKUP($I92,output!$A$9:$AI$2200,AJ$1-$L$1+2)</f>
        <v>16.803999999999998</v>
      </c>
      <c r="AK92" s="117">
        <f>VLOOKUP($I92,output!$A$9:$AI$2200,AK$1-$L$1+2)</f>
        <v>16.516999999999999</v>
      </c>
      <c r="AL92" s="117">
        <f>VLOOKUP($I92,output!$A$9:$AI$2200,AL$1-$L$1+2)</f>
        <v>16.068999999999999</v>
      </c>
      <c r="AM92" s="117">
        <f>VLOOKUP($I92,output!$A$9:$AI$2200,AM$1-$L$1+2)</f>
        <v>15.621</v>
      </c>
    </row>
    <row r="93" spans="1:39" x14ac:dyDescent="0.25">
      <c r="I93" s="115" t="s">
        <v>386</v>
      </c>
      <c r="J93" s="115" t="s">
        <v>111</v>
      </c>
      <c r="K93" s="115" t="s">
        <v>111</v>
      </c>
      <c r="L93" s="117">
        <f>VLOOKUP($I93,output!$A$9:$AI$2200,L$1-$L$1+2)</f>
        <v>0</v>
      </c>
      <c r="M93" s="117">
        <f>VLOOKUP($I93,output!$A$9:$AI$2200,M$1-$L$1+2)</f>
        <v>5.21</v>
      </c>
      <c r="N93" s="117">
        <f>VLOOKUP($I93,output!$A$9:$AI$2200,N$1-$L$1+2)</f>
        <v>9.032</v>
      </c>
      <c r="O93" s="117">
        <f>VLOOKUP($I93,output!$A$9:$AI$2200,O$1-$L$1+2)</f>
        <v>8.6989999999999998</v>
      </c>
      <c r="P93" s="117">
        <f>VLOOKUP($I93,output!$A$9:$AI$2200,P$1-$L$1+2)</f>
        <v>8.3870000000000005</v>
      </c>
      <c r="Q93" s="117">
        <f>VLOOKUP($I93,output!$A$9:$AI$2200,Q$1-$L$1+2)</f>
        <v>8.0869999999999997</v>
      </c>
      <c r="R93" s="117">
        <f>VLOOKUP($I93,output!$A$9:$AI$2200,R$1-$L$1+2)</f>
        <v>7.8090000000000002</v>
      </c>
      <c r="S93" s="117">
        <f>VLOOKUP($I93,output!$A$9:$AI$2200,S$1-$L$1+2)</f>
        <v>7.5369999999999999</v>
      </c>
      <c r="T93" s="117">
        <f>VLOOKUP($I93,output!$A$9:$AI$2200,T$1-$L$1+2)</f>
        <v>7.2640000000000002</v>
      </c>
      <c r="U93" s="117">
        <f>VLOOKUP($I93,output!$A$9:$AI$2200,U$1-$L$1+2)</f>
        <v>7.0439999999999996</v>
      </c>
      <c r="V93" s="117">
        <f>VLOOKUP($I93,output!$A$9:$AI$2200,V$1-$L$1+2)</f>
        <v>6.8209999999999997</v>
      </c>
      <c r="W93" s="117">
        <f>VLOOKUP($I93,output!$A$9:$AI$2200,W$1-$L$1+2)</f>
        <v>6.6340000000000003</v>
      </c>
      <c r="X93" s="117">
        <f>VLOOKUP($I93,output!$A$9:$AI$2200,X$1-$L$1+2)</f>
        <v>6.4880000000000004</v>
      </c>
      <c r="Y93" s="117">
        <f>VLOOKUP($I93,output!$A$9:$AI$2200,Y$1-$L$1+2)</f>
        <v>6.4240000000000004</v>
      </c>
      <c r="Z93" s="117">
        <f>VLOOKUP($I93,output!$A$9:$AI$2200,Z$1-$L$1+2)</f>
        <v>6.4249999999999998</v>
      </c>
      <c r="AA93" s="117">
        <f>VLOOKUP($I93,output!$A$9:$AI$2200,AA$1-$L$1+2)</f>
        <v>6.47</v>
      </c>
      <c r="AB93" s="117">
        <f>VLOOKUP($I93,output!$A$9:$AI$2200,AB$1-$L$1+2)</f>
        <v>6.5590000000000002</v>
      </c>
      <c r="AC93" s="117">
        <f>VLOOKUP($I93,output!$A$9:$AI$2200,AC$1-$L$1+2)</f>
        <v>6.6929999999999996</v>
      </c>
      <c r="AD93" s="117">
        <f>VLOOKUP($I93,output!$A$9:$AI$2200,AD$1-$L$1+2)</f>
        <v>6.875</v>
      </c>
      <c r="AE93" s="117">
        <f>VLOOKUP($I93,output!$A$9:$AI$2200,AE$1-$L$1+2)</f>
        <v>7.08</v>
      </c>
      <c r="AF93" s="117">
        <f>VLOOKUP($I93,output!$A$9:$AI$2200,AF$1-$L$1+2)</f>
        <v>7.3090000000000002</v>
      </c>
      <c r="AG93" s="117">
        <f>VLOOKUP($I93,output!$A$9:$AI$2200,AG$1-$L$1+2)</f>
        <v>27.117999999999999</v>
      </c>
      <c r="AH93" s="117">
        <f>VLOOKUP($I93,output!$A$9:$AI$2200,AH$1-$L$1+2)</f>
        <v>13.67</v>
      </c>
      <c r="AI93" s="117">
        <f>VLOOKUP($I93,output!$A$9:$AI$2200,AI$1-$L$1+2)</f>
        <v>13.285</v>
      </c>
      <c r="AJ93" s="117">
        <f>VLOOKUP($I93,output!$A$9:$AI$2200,AJ$1-$L$1+2)</f>
        <v>14.775</v>
      </c>
      <c r="AK93" s="117">
        <f>VLOOKUP($I93,output!$A$9:$AI$2200,AK$1-$L$1+2)</f>
        <v>14.525</v>
      </c>
      <c r="AL93" s="117">
        <f>VLOOKUP($I93,output!$A$9:$AI$2200,AL$1-$L$1+2)</f>
        <v>14.132999999999999</v>
      </c>
      <c r="AM93" s="117">
        <f>VLOOKUP($I93,output!$A$9:$AI$2200,AM$1-$L$1+2)</f>
        <v>13.74</v>
      </c>
    </row>
    <row r="94" spans="1:39" x14ac:dyDescent="0.25">
      <c r="I94" s="115" t="s">
        <v>387</v>
      </c>
      <c r="J94" s="115" t="s">
        <v>110</v>
      </c>
      <c r="K94" s="115" t="s">
        <v>110</v>
      </c>
      <c r="L94" s="117">
        <f>VLOOKUP($I94,output!$A$9:$AI$2200,L$1-$L$1+2)</f>
        <v>0</v>
      </c>
      <c r="M94" s="117">
        <f>VLOOKUP($I94,output!$A$9:$AI$2200,M$1-$L$1+2)</f>
        <v>1.57</v>
      </c>
      <c r="N94" s="117">
        <f>VLOOKUP($I94,output!$A$9:$AI$2200,N$1-$L$1+2)</f>
        <v>0.53</v>
      </c>
      <c r="O94" s="117">
        <f>VLOOKUP($I94,output!$A$9:$AI$2200,O$1-$L$1+2)</f>
        <v>0.46500000000000002</v>
      </c>
      <c r="P94" s="117">
        <f>VLOOKUP($I94,output!$A$9:$AI$2200,P$1-$L$1+2)</f>
        <v>0.43</v>
      </c>
      <c r="Q94" s="117">
        <f>VLOOKUP($I94,output!$A$9:$AI$2200,Q$1-$L$1+2)</f>
        <v>0.41199999999999998</v>
      </c>
      <c r="R94" s="117">
        <f>VLOOKUP($I94,output!$A$9:$AI$2200,R$1-$L$1+2)</f>
        <v>0.4</v>
      </c>
      <c r="S94" s="117">
        <f>VLOOKUP($I94,output!$A$9:$AI$2200,S$1-$L$1+2)</f>
        <v>0.39</v>
      </c>
      <c r="T94" s="117">
        <f>VLOOKUP($I94,output!$A$9:$AI$2200,T$1-$L$1+2)</f>
        <v>0.376</v>
      </c>
      <c r="U94" s="117">
        <f>VLOOKUP($I94,output!$A$9:$AI$2200,U$1-$L$1+2)</f>
        <v>0.376</v>
      </c>
      <c r="V94" s="117">
        <f>VLOOKUP($I94,output!$A$9:$AI$2200,V$1-$L$1+2)</f>
        <v>0.372</v>
      </c>
      <c r="W94" s="117">
        <f>VLOOKUP($I94,output!$A$9:$AI$2200,W$1-$L$1+2)</f>
        <v>0.372</v>
      </c>
      <c r="X94" s="117">
        <f>VLOOKUP($I94,output!$A$9:$AI$2200,X$1-$L$1+2)</f>
        <v>0.378</v>
      </c>
      <c r="Y94" s="117">
        <f>VLOOKUP($I94,output!$A$9:$AI$2200,Y$1-$L$1+2)</f>
        <v>0.38400000000000001</v>
      </c>
      <c r="Z94" s="117">
        <f>VLOOKUP($I94,output!$A$9:$AI$2200,Z$1-$L$1+2)</f>
        <v>0.39400000000000002</v>
      </c>
      <c r="AA94" s="117">
        <f>VLOOKUP($I94,output!$A$9:$AI$2200,AA$1-$L$1+2)</f>
        <v>0.40799999999999997</v>
      </c>
      <c r="AB94" s="117">
        <f>VLOOKUP($I94,output!$A$9:$AI$2200,AB$1-$L$1+2)</f>
        <v>0.42699999999999999</v>
      </c>
      <c r="AC94" s="117">
        <f>VLOOKUP($I94,output!$A$9:$AI$2200,AC$1-$L$1+2)</f>
        <v>0.44900000000000001</v>
      </c>
      <c r="AD94" s="117">
        <f>VLOOKUP($I94,output!$A$9:$AI$2200,AD$1-$L$1+2)</f>
        <v>0.47599999999999998</v>
      </c>
      <c r="AE94" s="117">
        <f>VLOOKUP($I94,output!$A$9:$AI$2200,AE$1-$L$1+2)</f>
        <v>0.503</v>
      </c>
      <c r="AF94" s="117">
        <f>VLOOKUP($I94,output!$A$9:$AI$2200,AF$1-$L$1+2)</f>
        <v>0.53200000000000003</v>
      </c>
      <c r="AG94" s="117">
        <f>VLOOKUP($I94,output!$A$9:$AI$2200,AG$1-$L$1+2)</f>
        <v>6.2030000000000003</v>
      </c>
      <c r="AH94" s="117">
        <f>VLOOKUP($I94,output!$A$9:$AI$2200,AH$1-$L$1+2)</f>
        <v>8.8360000000000003</v>
      </c>
      <c r="AI94" s="117">
        <f>VLOOKUP($I94,output!$A$9:$AI$2200,AI$1-$L$1+2)</f>
        <v>8.4280000000000008</v>
      </c>
      <c r="AJ94" s="117">
        <f>VLOOKUP($I94,output!$A$9:$AI$2200,AJ$1-$L$1+2)</f>
        <v>9.4979999999999993</v>
      </c>
      <c r="AK94" s="117">
        <f>VLOOKUP($I94,output!$A$9:$AI$2200,AK$1-$L$1+2)</f>
        <v>9.1780000000000008</v>
      </c>
      <c r="AL94" s="117">
        <f>VLOOKUP($I94,output!$A$9:$AI$2200,AL$1-$L$1+2)</f>
        <v>8.7279999999999998</v>
      </c>
      <c r="AM94" s="117">
        <f>VLOOKUP($I94,output!$A$9:$AI$2200,AM$1-$L$1+2)</f>
        <v>8.2710000000000008</v>
      </c>
    </row>
    <row r="95" spans="1:39" x14ac:dyDescent="0.25">
      <c r="I95" s="115" t="s">
        <v>388</v>
      </c>
      <c r="J95" s="115" t="s">
        <v>111</v>
      </c>
      <c r="K95" s="115" t="s">
        <v>111</v>
      </c>
      <c r="L95" s="117">
        <f>VLOOKUP($I95,output!$A$9:$AI$2200,L$1-$L$1+2)</f>
        <v>0</v>
      </c>
      <c r="M95" s="117">
        <f>VLOOKUP($I95,output!$A$9:$AI$2200,M$1-$L$1+2)</f>
        <v>97.957999999999998</v>
      </c>
      <c r="N95" s="117">
        <f>VLOOKUP($I95,output!$A$9:$AI$2200,N$1-$L$1+2)</f>
        <v>86.62</v>
      </c>
      <c r="O95" s="117">
        <f>VLOOKUP($I95,output!$A$9:$AI$2200,O$1-$L$1+2)</f>
        <v>84.272999999999996</v>
      </c>
      <c r="P95" s="117">
        <f>VLOOKUP($I95,output!$A$9:$AI$2200,P$1-$L$1+2)</f>
        <v>82.897999999999996</v>
      </c>
      <c r="Q95" s="117">
        <f>VLOOKUP($I95,output!$A$9:$AI$2200,Q$1-$L$1+2)</f>
        <v>81.734999999999999</v>
      </c>
      <c r="R95" s="117">
        <f>VLOOKUP($I95,output!$A$9:$AI$2200,R$1-$L$1+2)</f>
        <v>81.135999999999996</v>
      </c>
      <c r="S95" s="117">
        <f>VLOOKUP($I95,output!$A$9:$AI$2200,S$1-$L$1+2)</f>
        <v>80.965000000000003</v>
      </c>
      <c r="T95" s="117">
        <f>VLOOKUP($I95,output!$A$9:$AI$2200,T$1-$L$1+2)</f>
        <v>81.111000000000004</v>
      </c>
      <c r="U95" s="117">
        <f>VLOOKUP($I95,output!$A$9:$AI$2200,U$1-$L$1+2)</f>
        <v>81.239999999999995</v>
      </c>
      <c r="V95" s="117">
        <f>VLOOKUP($I95,output!$A$9:$AI$2200,V$1-$L$1+2)</f>
        <v>81.7</v>
      </c>
      <c r="W95" s="117">
        <f>VLOOKUP($I95,output!$A$9:$AI$2200,W$1-$L$1+2)</f>
        <v>82.245999999999995</v>
      </c>
      <c r="X95" s="117">
        <f>VLOOKUP($I95,output!$A$9:$AI$2200,X$1-$L$1+2)</f>
        <v>82.915000000000006</v>
      </c>
      <c r="Y95" s="117">
        <f>VLOOKUP($I95,output!$A$9:$AI$2200,Y$1-$L$1+2)</f>
        <v>83.578000000000003</v>
      </c>
      <c r="Z95" s="117">
        <f>VLOOKUP($I95,output!$A$9:$AI$2200,Z$1-$L$1+2)</f>
        <v>84.495999999999995</v>
      </c>
      <c r="AA95" s="117">
        <f>VLOOKUP($I95,output!$A$9:$AI$2200,AA$1-$L$1+2)</f>
        <v>85.509</v>
      </c>
      <c r="AB95" s="117">
        <f>VLOOKUP($I95,output!$A$9:$AI$2200,AB$1-$L$1+2)</f>
        <v>86.620999999999995</v>
      </c>
      <c r="AC95" s="117">
        <f>VLOOKUP($I95,output!$A$9:$AI$2200,AC$1-$L$1+2)</f>
        <v>87.905000000000001</v>
      </c>
      <c r="AD95" s="117">
        <f>VLOOKUP($I95,output!$A$9:$AI$2200,AD$1-$L$1+2)</f>
        <v>89.153000000000006</v>
      </c>
      <c r="AE95" s="117">
        <f>VLOOKUP($I95,output!$A$9:$AI$2200,AE$1-$L$1+2)</f>
        <v>90.578000000000003</v>
      </c>
      <c r="AF95" s="117">
        <f>VLOOKUP($I95,output!$A$9:$AI$2200,AF$1-$L$1+2)</f>
        <v>92.033000000000001</v>
      </c>
      <c r="AG95" s="117">
        <f>VLOOKUP($I95,output!$A$9:$AI$2200,AG$1-$L$1+2)</f>
        <v>395.041</v>
      </c>
      <c r="AH95" s="117">
        <f>VLOOKUP($I95,output!$A$9:$AI$2200,AH$1-$L$1+2)</f>
        <v>324.09199999999998</v>
      </c>
      <c r="AI95" s="117">
        <f>VLOOKUP($I95,output!$A$9:$AI$2200,AI$1-$L$1+2)</f>
        <v>364.11200000000002</v>
      </c>
      <c r="AJ95" s="117">
        <f>VLOOKUP($I95,output!$A$9:$AI$2200,AJ$1-$L$1+2)</f>
        <v>376.73899999999998</v>
      </c>
      <c r="AK95" s="117">
        <f>VLOOKUP($I95,output!$A$9:$AI$2200,AK$1-$L$1+2)</f>
        <v>411.899</v>
      </c>
      <c r="AL95" s="117">
        <f>VLOOKUP($I95,output!$A$9:$AI$2200,AL$1-$L$1+2)</f>
        <v>453.30200000000002</v>
      </c>
      <c r="AM95" s="117">
        <f>VLOOKUP($I95,output!$A$9:$AI$2200,AM$1-$L$1+2)</f>
        <v>494.10599999999999</v>
      </c>
    </row>
    <row r="96" spans="1:39" x14ac:dyDescent="0.25">
      <c r="I96" s="115" t="s">
        <v>389</v>
      </c>
      <c r="J96" s="115" t="s">
        <v>112</v>
      </c>
      <c r="K96" s="115" t="s">
        <v>112</v>
      </c>
      <c r="L96" s="117">
        <f>VLOOKUP($I96,output!$A$9:$AI$2200,L$1-$L$1+2)</f>
        <v>0</v>
      </c>
      <c r="M96" s="117">
        <f>VLOOKUP($I96,output!$A$9:$AI$2200,M$1-$L$1+2)</f>
        <v>8.2539999999999996</v>
      </c>
      <c r="N96" s="117">
        <f>VLOOKUP($I96,output!$A$9:$AI$2200,N$1-$L$1+2)</f>
        <v>14.475</v>
      </c>
      <c r="O96" s="117">
        <f>VLOOKUP($I96,output!$A$9:$AI$2200,O$1-$L$1+2)</f>
        <v>14.333</v>
      </c>
      <c r="P96" s="117">
        <f>VLOOKUP($I96,output!$A$9:$AI$2200,P$1-$L$1+2)</f>
        <v>14.134</v>
      </c>
      <c r="Q96" s="117">
        <f>VLOOKUP($I96,output!$A$9:$AI$2200,Q$1-$L$1+2)</f>
        <v>13.95</v>
      </c>
      <c r="R96" s="117">
        <f>VLOOKUP($I96,output!$A$9:$AI$2200,R$1-$L$1+2)</f>
        <v>13.728999999999999</v>
      </c>
      <c r="S96" s="117">
        <f>VLOOKUP($I96,output!$A$9:$AI$2200,S$1-$L$1+2)</f>
        <v>13.465999999999999</v>
      </c>
      <c r="T96" s="117">
        <f>VLOOKUP($I96,output!$A$9:$AI$2200,T$1-$L$1+2)</f>
        <v>13.164999999999999</v>
      </c>
      <c r="U96" s="117">
        <f>VLOOKUP($I96,output!$A$9:$AI$2200,U$1-$L$1+2)</f>
        <v>12.962</v>
      </c>
      <c r="V96" s="117">
        <f>VLOOKUP($I96,output!$A$9:$AI$2200,V$1-$L$1+2)</f>
        <v>12.714</v>
      </c>
      <c r="W96" s="117">
        <f>VLOOKUP($I96,output!$A$9:$AI$2200,W$1-$L$1+2)</f>
        <v>12.497</v>
      </c>
      <c r="X96" s="117">
        <f>VLOOKUP($I96,output!$A$9:$AI$2200,X$1-$L$1+2)</f>
        <v>12.315</v>
      </c>
      <c r="Y96" s="117">
        <f>VLOOKUP($I96,output!$A$9:$AI$2200,Y$1-$L$1+2)</f>
        <v>12.239000000000001</v>
      </c>
      <c r="Z96" s="117">
        <f>VLOOKUP($I96,output!$A$9:$AI$2200,Z$1-$L$1+2)</f>
        <v>12.247999999999999</v>
      </c>
      <c r="AA96" s="117">
        <f>VLOOKUP($I96,output!$A$9:$AI$2200,AA$1-$L$1+2)</f>
        <v>12.28</v>
      </c>
      <c r="AB96" s="117">
        <f>VLOOKUP($I96,output!$A$9:$AI$2200,AB$1-$L$1+2)</f>
        <v>12.305999999999999</v>
      </c>
      <c r="AC96" s="117">
        <f>VLOOKUP($I96,output!$A$9:$AI$2200,AC$1-$L$1+2)</f>
        <v>12.331</v>
      </c>
      <c r="AD96" s="117">
        <f>VLOOKUP($I96,output!$A$9:$AI$2200,AD$1-$L$1+2)</f>
        <v>12.340999999999999</v>
      </c>
      <c r="AE96" s="117">
        <f>VLOOKUP($I96,output!$A$9:$AI$2200,AE$1-$L$1+2)</f>
        <v>12.343</v>
      </c>
      <c r="AF96" s="117">
        <f>VLOOKUP($I96,output!$A$9:$AI$2200,AF$1-$L$1+2)</f>
        <v>12.335000000000001</v>
      </c>
      <c r="AG96" s="117">
        <f>VLOOKUP($I96,output!$A$9:$AI$2200,AG$1-$L$1+2)</f>
        <v>44.253999999999998</v>
      </c>
      <c r="AH96" s="117">
        <f>VLOOKUP($I96,output!$A$9:$AI$2200,AH$1-$L$1+2)</f>
        <v>22.114000000000001</v>
      </c>
      <c r="AI96" s="117">
        <f>VLOOKUP($I96,output!$A$9:$AI$2200,AI$1-$L$1+2)</f>
        <v>21.198</v>
      </c>
      <c r="AJ96" s="117">
        <f>VLOOKUP($I96,output!$A$9:$AI$2200,AJ$1-$L$1+2)</f>
        <v>23.242000000000001</v>
      </c>
      <c r="AK96" s="117">
        <f>VLOOKUP($I96,output!$A$9:$AI$2200,AK$1-$L$1+2)</f>
        <v>22.515999999999998</v>
      </c>
      <c r="AL96" s="117">
        <f>VLOOKUP($I96,output!$A$9:$AI$2200,AL$1-$L$1+2)</f>
        <v>21.6</v>
      </c>
      <c r="AM96" s="117">
        <f>VLOOKUP($I96,output!$A$9:$AI$2200,AM$1-$L$1+2)</f>
        <v>20.722999999999999</v>
      </c>
    </row>
    <row r="97" spans="9:39" x14ac:dyDescent="0.25">
      <c r="I97" s="36" t="s">
        <v>390</v>
      </c>
      <c r="J97" s="36" t="s">
        <v>112</v>
      </c>
      <c r="K97" s="36" t="s">
        <v>110</v>
      </c>
      <c r="L97" s="67">
        <f>VLOOKUP($I97,output!$A$9:$AI$2200,L$1-$L$1+2)</f>
        <v>0</v>
      </c>
      <c r="M97" s="67">
        <f>VLOOKUP($I97,output!$A$9:$AI$2200,M$1-$L$1+2)</f>
        <v>6.96</v>
      </c>
      <c r="N97" s="67">
        <f>VLOOKUP($I97,output!$A$9:$AI$2200,N$1-$L$1+2)</f>
        <v>3.9119999999999999</v>
      </c>
      <c r="O97" s="67">
        <f>VLOOKUP($I97,output!$A$9:$AI$2200,O$1-$L$1+2)</f>
        <v>3.3820000000000001</v>
      </c>
      <c r="P97" s="67">
        <f>VLOOKUP($I97,output!$A$9:$AI$2200,P$1-$L$1+2)</f>
        <v>4.5270000000000001</v>
      </c>
      <c r="Q97" s="67">
        <f>VLOOKUP($I97,output!$A$9:$AI$2200,Q$1-$L$1+2)</f>
        <v>4.1470000000000002</v>
      </c>
      <c r="R97" s="67">
        <f>VLOOKUP($I97,output!$A$9:$AI$2200,R$1-$L$1+2)</f>
        <v>3.2989999999999999</v>
      </c>
      <c r="S97" s="67">
        <f>VLOOKUP($I97,output!$A$9:$AI$2200,S$1-$L$1+2)</f>
        <v>2.1779999999999999</v>
      </c>
      <c r="T97" s="67">
        <f>VLOOKUP($I97,output!$A$9:$AI$2200,T$1-$L$1+2)</f>
        <v>5.0119999999999996</v>
      </c>
      <c r="U97" s="67">
        <f>VLOOKUP($I97,output!$A$9:$AI$2200,U$1-$L$1+2)</f>
        <v>3.6160000000000001</v>
      </c>
      <c r="V97" s="67">
        <f>VLOOKUP($I97,output!$A$9:$AI$2200,V$1-$L$1+2)</f>
        <v>4.9290000000000003</v>
      </c>
      <c r="W97" s="67">
        <f>VLOOKUP($I97,output!$A$9:$AI$2200,W$1-$L$1+2)</f>
        <v>6.7320000000000002</v>
      </c>
      <c r="X97" s="67">
        <f>VLOOKUP($I97,output!$A$9:$AI$2200,X$1-$L$1+2)</f>
        <v>8.782</v>
      </c>
      <c r="Y97" s="67">
        <f>VLOOKUP($I97,output!$A$9:$AI$2200,Y$1-$L$1+2)</f>
        <v>10.042999999999999</v>
      </c>
      <c r="Z97" s="67">
        <f>VLOOKUP($I97,output!$A$9:$AI$2200,Z$1-$L$1+2)</f>
        <v>13.109</v>
      </c>
      <c r="AA97" s="67">
        <f>VLOOKUP($I97,output!$A$9:$AI$2200,AA$1-$L$1+2)</f>
        <v>16.294</v>
      </c>
      <c r="AB97" s="67">
        <f>VLOOKUP($I97,output!$A$9:$AI$2200,AB$1-$L$1+2)</f>
        <v>17.379000000000001</v>
      </c>
      <c r="AC97" s="67">
        <f>VLOOKUP($I97,output!$A$9:$AI$2200,AC$1-$L$1+2)</f>
        <v>23.279</v>
      </c>
      <c r="AD97" s="67">
        <f>VLOOKUP($I97,output!$A$9:$AI$2200,AD$1-$L$1+2)</f>
        <v>23.219000000000001</v>
      </c>
      <c r="AE97" s="67">
        <f>VLOOKUP($I97,output!$A$9:$AI$2200,AE$1-$L$1+2)</f>
        <v>25.286999999999999</v>
      </c>
      <c r="AF97" s="67">
        <f>VLOOKUP($I97,output!$A$9:$AI$2200,AF$1-$L$1+2)</f>
        <v>25.481000000000002</v>
      </c>
      <c r="AG97" s="67">
        <f>VLOOKUP($I97,output!$A$9:$AI$2200,AG$1-$L$1+2)</f>
        <v>11.807</v>
      </c>
      <c r="AH97" s="67">
        <f>VLOOKUP($I97,output!$A$9:$AI$2200,AH$1-$L$1+2)</f>
        <v>12.7</v>
      </c>
      <c r="AI97" s="67">
        <f>VLOOKUP($I97,output!$A$9:$AI$2200,AI$1-$L$1+2)</f>
        <v>15.161</v>
      </c>
      <c r="AJ97" s="67">
        <f>VLOOKUP($I97,output!$A$9:$AI$2200,AJ$1-$L$1+2)</f>
        <v>13.78</v>
      </c>
      <c r="AK97" s="67">
        <f>VLOOKUP($I97,output!$A$9:$AI$2200,AK$1-$L$1+2)</f>
        <v>14.161</v>
      </c>
      <c r="AL97" s="67">
        <f>VLOOKUP($I97,output!$A$9:$AI$2200,AL$1-$L$1+2)</f>
        <v>14.628</v>
      </c>
      <c r="AM97" s="67">
        <f>VLOOKUP($I97,output!$A$9:$AI$2200,AM$1-$L$1+2)</f>
        <v>15.079000000000001</v>
      </c>
    </row>
    <row r="98" spans="9:39" x14ac:dyDescent="0.25">
      <c r="I98" s="115" t="s">
        <v>391</v>
      </c>
      <c r="J98" s="115" t="s">
        <v>112</v>
      </c>
      <c r="K98" s="115" t="s">
        <v>111</v>
      </c>
      <c r="L98" s="117">
        <f>VLOOKUP($I98,output!$A$9:$AI$2200,L$1-$L$1+2)</f>
        <v>0</v>
      </c>
      <c r="M98" s="117">
        <f>VLOOKUP($I98,output!$A$9:$AI$2200,M$1-$L$1+2)</f>
        <v>26.375</v>
      </c>
      <c r="N98" s="117">
        <f>VLOOKUP($I98,output!$A$9:$AI$2200,N$1-$L$1+2)</f>
        <v>17.658000000000001</v>
      </c>
      <c r="O98" s="117">
        <f>VLOOKUP($I98,output!$A$9:$AI$2200,O$1-$L$1+2)</f>
        <v>31.696999999999999</v>
      </c>
      <c r="P98" s="117">
        <f>VLOOKUP($I98,output!$A$9:$AI$2200,P$1-$L$1+2)</f>
        <v>31.620999999999999</v>
      </c>
      <c r="Q98" s="117">
        <f>VLOOKUP($I98,output!$A$9:$AI$2200,Q$1-$L$1+2)</f>
        <v>46.584000000000003</v>
      </c>
      <c r="R98" s="117">
        <f>VLOOKUP($I98,output!$A$9:$AI$2200,R$1-$L$1+2)</f>
        <v>65.537999999999997</v>
      </c>
      <c r="S98" s="117">
        <f>VLOOKUP($I98,output!$A$9:$AI$2200,S$1-$L$1+2)</f>
        <v>85.771000000000001</v>
      </c>
      <c r="T98" s="117">
        <f>VLOOKUP($I98,output!$A$9:$AI$2200,T$1-$L$1+2)</f>
        <v>69.384</v>
      </c>
      <c r="U98" s="117">
        <f>VLOOKUP($I98,output!$A$9:$AI$2200,U$1-$L$1+2)</f>
        <v>97.141999999999996</v>
      </c>
      <c r="V98" s="117">
        <f>VLOOKUP($I98,output!$A$9:$AI$2200,V$1-$L$1+2)</f>
        <v>100.018</v>
      </c>
      <c r="W98" s="117">
        <f>VLOOKUP($I98,output!$A$9:$AI$2200,W$1-$L$1+2)</f>
        <v>99.817999999999998</v>
      </c>
      <c r="X98" s="117">
        <f>VLOOKUP($I98,output!$A$9:$AI$2200,X$1-$L$1+2)</f>
        <v>100.367</v>
      </c>
      <c r="Y98" s="117">
        <f>VLOOKUP($I98,output!$A$9:$AI$2200,Y$1-$L$1+2)</f>
        <v>99.150999999999996</v>
      </c>
      <c r="Z98" s="117">
        <f>VLOOKUP($I98,output!$A$9:$AI$2200,Z$1-$L$1+2)</f>
        <v>91.22</v>
      </c>
      <c r="AA98" s="117">
        <f>VLOOKUP($I98,output!$A$9:$AI$2200,AA$1-$L$1+2)</f>
        <v>93.701999999999998</v>
      </c>
      <c r="AB98" s="117">
        <f>VLOOKUP($I98,output!$A$9:$AI$2200,AB$1-$L$1+2)</f>
        <v>80.977000000000004</v>
      </c>
      <c r="AC98" s="117">
        <f>VLOOKUP($I98,output!$A$9:$AI$2200,AC$1-$L$1+2)</f>
        <v>88.885999999999996</v>
      </c>
      <c r="AD98" s="117">
        <f>VLOOKUP($I98,output!$A$9:$AI$2200,AD$1-$L$1+2)</f>
        <v>96.453999999999994</v>
      </c>
      <c r="AE98" s="117">
        <f>VLOOKUP($I98,output!$A$9:$AI$2200,AE$1-$L$1+2)</f>
        <v>103.527</v>
      </c>
      <c r="AF98" s="117">
        <f>VLOOKUP($I98,output!$A$9:$AI$2200,AF$1-$L$1+2)</f>
        <v>101.255</v>
      </c>
      <c r="AG98" s="117">
        <f>VLOOKUP($I98,output!$A$9:$AI$2200,AG$1-$L$1+2)</f>
        <v>72.25</v>
      </c>
      <c r="AH98" s="117">
        <f>VLOOKUP($I98,output!$A$9:$AI$2200,AH$1-$L$1+2)</f>
        <v>74.611999999999995</v>
      </c>
      <c r="AI98" s="117">
        <f>VLOOKUP($I98,output!$A$9:$AI$2200,AI$1-$L$1+2)</f>
        <v>87.724000000000004</v>
      </c>
      <c r="AJ98" s="117">
        <f>VLOOKUP($I98,output!$A$9:$AI$2200,AJ$1-$L$1+2)</f>
        <v>80.888999999999996</v>
      </c>
      <c r="AK98" s="117">
        <f>VLOOKUP($I98,output!$A$9:$AI$2200,AK$1-$L$1+2)</f>
        <v>83.620999999999995</v>
      </c>
      <c r="AL98" s="117">
        <f>VLOOKUP($I98,output!$A$9:$AI$2200,AL$1-$L$1+2)</f>
        <v>86.968000000000004</v>
      </c>
      <c r="AM98" s="117">
        <f>VLOOKUP($I98,output!$A$9:$AI$2200,AM$1-$L$1+2)</f>
        <v>89.165000000000006</v>
      </c>
    </row>
    <row r="99" spans="9:39" x14ac:dyDescent="0.25">
      <c r="I99" s="115" t="s">
        <v>392</v>
      </c>
      <c r="J99" s="115" t="s">
        <v>112</v>
      </c>
      <c r="K99" s="115" t="s">
        <v>112</v>
      </c>
      <c r="L99" s="117">
        <f>VLOOKUP($I99,output!$A$9:$AI$2200,L$1-$L$1+2)</f>
        <v>0</v>
      </c>
      <c r="M99" s="117">
        <f>VLOOKUP($I99,output!$A$9:$AI$2200,M$1-$L$1+2)</f>
        <v>281.05399999999997</v>
      </c>
      <c r="N99" s="117">
        <f>VLOOKUP($I99,output!$A$9:$AI$2200,N$1-$L$1+2)</f>
        <v>302.68200000000002</v>
      </c>
      <c r="O99" s="117">
        <f>VLOOKUP($I99,output!$A$9:$AI$2200,O$1-$L$1+2)</f>
        <v>295.858</v>
      </c>
      <c r="P99" s="117">
        <f>VLOOKUP($I99,output!$A$9:$AI$2200,P$1-$L$1+2)</f>
        <v>304.83600000000001</v>
      </c>
      <c r="Q99" s="117">
        <f>VLOOKUP($I99,output!$A$9:$AI$2200,Q$1-$L$1+2)</f>
        <v>302.435</v>
      </c>
      <c r="R99" s="117">
        <f>VLOOKUP($I99,output!$A$9:$AI$2200,R$1-$L$1+2)</f>
        <v>296.69</v>
      </c>
      <c r="S99" s="117">
        <f>VLOOKUP($I99,output!$A$9:$AI$2200,S$1-$L$1+2)</f>
        <v>289.17500000000001</v>
      </c>
      <c r="T99" s="117">
        <f>VLOOKUP($I99,output!$A$9:$AI$2200,T$1-$L$1+2)</f>
        <v>312.39800000000002</v>
      </c>
      <c r="U99" s="117">
        <f>VLOOKUP($I99,output!$A$9:$AI$2200,U$1-$L$1+2)</f>
        <v>305.334</v>
      </c>
      <c r="V99" s="117">
        <f>VLOOKUP($I99,output!$A$9:$AI$2200,V$1-$L$1+2)</f>
        <v>317.017</v>
      </c>
      <c r="W99" s="117">
        <f>VLOOKUP($I99,output!$A$9:$AI$2200,W$1-$L$1+2)</f>
        <v>330.959</v>
      </c>
      <c r="X99" s="117">
        <f>VLOOKUP($I99,output!$A$9:$AI$2200,X$1-$L$1+2)</f>
        <v>346.19099999999997</v>
      </c>
      <c r="Y99" s="117">
        <f>VLOOKUP($I99,output!$A$9:$AI$2200,Y$1-$L$1+2)</f>
        <v>355.988</v>
      </c>
      <c r="Z99" s="117">
        <f>VLOOKUP($I99,output!$A$9:$AI$2200,Z$1-$L$1+2)</f>
        <v>378.65499999999997</v>
      </c>
      <c r="AA99" s="117">
        <f>VLOOKUP($I99,output!$A$9:$AI$2200,AA$1-$L$1+2)</f>
        <v>403.33100000000002</v>
      </c>
      <c r="AB99" s="117">
        <f>VLOOKUP($I99,output!$A$9:$AI$2200,AB$1-$L$1+2)</f>
        <v>369.005</v>
      </c>
      <c r="AC99" s="117">
        <f>VLOOKUP($I99,output!$A$9:$AI$2200,AC$1-$L$1+2)</f>
        <v>445.70100000000002</v>
      </c>
      <c r="AD99" s="117">
        <f>VLOOKUP($I99,output!$A$9:$AI$2200,AD$1-$L$1+2)</f>
        <v>417.923</v>
      </c>
      <c r="AE99" s="117">
        <f>VLOOKUP($I99,output!$A$9:$AI$2200,AE$1-$L$1+2)</f>
        <v>428.84500000000003</v>
      </c>
      <c r="AF99" s="117">
        <f>VLOOKUP($I99,output!$A$9:$AI$2200,AF$1-$L$1+2)</f>
        <v>399.779</v>
      </c>
      <c r="AG99" s="117">
        <f>VLOOKUP($I99,output!$A$9:$AI$2200,AG$1-$L$1+2)</f>
        <v>587.07899999999995</v>
      </c>
      <c r="AH99" s="117">
        <f>VLOOKUP($I99,output!$A$9:$AI$2200,AH$1-$L$1+2)</f>
        <v>490.90199999999999</v>
      </c>
      <c r="AI99" s="117">
        <f>VLOOKUP($I99,output!$A$9:$AI$2200,AI$1-$L$1+2)</f>
        <v>627.19399999999996</v>
      </c>
      <c r="AJ99" s="117">
        <f>VLOOKUP($I99,output!$A$9:$AI$2200,AJ$1-$L$1+2)</f>
        <v>568.553</v>
      </c>
      <c r="AK99" s="117">
        <f>VLOOKUP($I99,output!$A$9:$AI$2200,AK$1-$L$1+2)</f>
        <v>640.12699999999995</v>
      </c>
      <c r="AL99" s="117">
        <f>VLOOKUP($I99,output!$A$9:$AI$2200,AL$1-$L$1+2)</f>
        <v>722.024</v>
      </c>
      <c r="AM99" s="117">
        <f>VLOOKUP($I99,output!$A$9:$AI$2200,AM$1-$L$1+2)</f>
        <v>794.91099999999994</v>
      </c>
    </row>
    <row r="100" spans="9:39" x14ac:dyDescent="0.25">
      <c r="I100" s="115" t="s">
        <v>393</v>
      </c>
      <c r="J100" s="115" t="s">
        <v>112</v>
      </c>
      <c r="K100" s="115" t="s">
        <v>113</v>
      </c>
      <c r="L100" s="117">
        <f>VLOOKUP($I100,output!$A$9:$AI$2200,L$1-$L$1+2)</f>
        <v>0</v>
      </c>
      <c r="M100" s="117">
        <f>VLOOKUP($I100,output!$A$9:$AI$2200,M$1-$L$1+2)</f>
        <v>3.1960000000000002</v>
      </c>
      <c r="N100" s="117">
        <f>VLOOKUP($I100,output!$A$9:$AI$2200,N$1-$L$1+2)</f>
        <v>4.2210000000000001</v>
      </c>
      <c r="O100" s="117">
        <f>VLOOKUP($I100,output!$A$9:$AI$2200,O$1-$L$1+2)</f>
        <v>3.6760000000000002</v>
      </c>
      <c r="P100" s="117">
        <f>VLOOKUP($I100,output!$A$9:$AI$2200,P$1-$L$1+2)</f>
        <v>4.3029999999999999</v>
      </c>
      <c r="Q100" s="117">
        <f>VLOOKUP($I100,output!$A$9:$AI$2200,Q$1-$L$1+2)</f>
        <v>3.9409999999999998</v>
      </c>
      <c r="R100" s="117">
        <f>VLOOKUP($I100,output!$A$9:$AI$2200,R$1-$L$1+2)</f>
        <v>3.4660000000000002</v>
      </c>
      <c r="S100" s="117">
        <f>VLOOKUP($I100,output!$A$9:$AI$2200,S$1-$L$1+2)</f>
        <v>2.9769999999999999</v>
      </c>
      <c r="T100" s="117">
        <f>VLOOKUP($I100,output!$A$9:$AI$2200,T$1-$L$1+2)</f>
        <v>4.1230000000000002</v>
      </c>
      <c r="U100" s="117">
        <f>VLOOKUP($I100,output!$A$9:$AI$2200,U$1-$L$1+2)</f>
        <v>3.645</v>
      </c>
      <c r="V100" s="117">
        <f>VLOOKUP($I100,output!$A$9:$AI$2200,V$1-$L$1+2)</f>
        <v>4.1500000000000004</v>
      </c>
      <c r="W100" s="117">
        <f>VLOOKUP($I100,output!$A$9:$AI$2200,W$1-$L$1+2)</f>
        <v>4.7619999999999996</v>
      </c>
      <c r="X100" s="117">
        <f>VLOOKUP($I100,output!$A$9:$AI$2200,X$1-$L$1+2)</f>
        <v>5.4050000000000002</v>
      </c>
      <c r="Y100" s="117">
        <f>VLOOKUP($I100,output!$A$9:$AI$2200,Y$1-$L$1+2)</f>
        <v>5.9649999999999999</v>
      </c>
      <c r="Z100" s="117">
        <f>VLOOKUP($I100,output!$A$9:$AI$2200,Z$1-$L$1+2)</f>
        <v>6.8890000000000002</v>
      </c>
      <c r="AA100" s="117">
        <f>VLOOKUP($I100,output!$A$9:$AI$2200,AA$1-$L$1+2)</f>
        <v>7.7140000000000004</v>
      </c>
      <c r="AB100" s="117">
        <f>VLOOKUP($I100,output!$A$9:$AI$2200,AB$1-$L$1+2)</f>
        <v>6.665</v>
      </c>
      <c r="AC100" s="117">
        <f>VLOOKUP($I100,output!$A$9:$AI$2200,AC$1-$L$1+2)</f>
        <v>9.1039999999999992</v>
      </c>
      <c r="AD100" s="117">
        <f>VLOOKUP($I100,output!$A$9:$AI$2200,AD$1-$L$1+2)</f>
        <v>7.931</v>
      </c>
      <c r="AE100" s="117">
        <f>VLOOKUP($I100,output!$A$9:$AI$2200,AE$1-$L$1+2)</f>
        <v>8.125</v>
      </c>
      <c r="AF100" s="117">
        <f>VLOOKUP($I100,output!$A$9:$AI$2200,AF$1-$L$1+2)</f>
        <v>7.1020000000000003</v>
      </c>
      <c r="AG100" s="117">
        <f>VLOOKUP($I100,output!$A$9:$AI$2200,AG$1-$L$1+2)</f>
        <v>7.46</v>
      </c>
      <c r="AH100" s="117">
        <f>VLOOKUP($I100,output!$A$9:$AI$2200,AH$1-$L$1+2)</f>
        <v>5.0979999999999999</v>
      </c>
      <c r="AI100" s="117">
        <f>VLOOKUP($I100,output!$A$9:$AI$2200,AI$1-$L$1+2)</f>
        <v>6.774</v>
      </c>
      <c r="AJ100" s="117">
        <f>VLOOKUP($I100,output!$A$9:$AI$2200,AJ$1-$L$1+2)</f>
        <v>5.5220000000000002</v>
      </c>
      <c r="AK100" s="117">
        <f>VLOOKUP($I100,output!$A$9:$AI$2200,AK$1-$L$1+2)</f>
        <v>5.8760000000000003</v>
      </c>
      <c r="AL100" s="117">
        <f>VLOOKUP($I100,output!$A$9:$AI$2200,AL$1-$L$1+2)</f>
        <v>6.3369999999999997</v>
      </c>
      <c r="AM100" s="117">
        <f>VLOOKUP($I100,output!$A$9:$AI$2200,AM$1-$L$1+2)</f>
        <v>6.734</v>
      </c>
    </row>
    <row r="101" spans="9:39" x14ac:dyDescent="0.25">
      <c r="I101" s="115" t="s">
        <v>417</v>
      </c>
      <c r="J101" s="115" t="s">
        <v>112</v>
      </c>
      <c r="K101" s="115" t="s">
        <v>114</v>
      </c>
      <c r="L101" s="117">
        <f>VLOOKUP($I101,output!$A$9:$AI$2200,L$1-$L$1+2)</f>
        <v>0</v>
      </c>
      <c r="M101" s="117">
        <f>VLOOKUP($I101,output!$A$9:$AI$2200,M$1-$L$1+2)</f>
        <v>3.1960000000000002</v>
      </c>
      <c r="N101" s="117">
        <f>VLOOKUP($I101,output!$A$9:$AI$2200,N$1-$L$1+2)</f>
        <v>4.2210000000000001</v>
      </c>
      <c r="O101" s="117">
        <f>VLOOKUP($I101,output!$A$9:$AI$2200,O$1-$L$1+2)</f>
        <v>3.6760000000000002</v>
      </c>
      <c r="P101" s="117">
        <f>VLOOKUP($I101,output!$A$9:$AI$2200,P$1-$L$1+2)</f>
        <v>4.3029999999999999</v>
      </c>
      <c r="Q101" s="117">
        <f>VLOOKUP($I101,output!$A$9:$AI$2200,Q$1-$L$1+2)</f>
        <v>3.9409999999999998</v>
      </c>
      <c r="R101" s="117">
        <f>VLOOKUP($I101,output!$A$9:$AI$2200,R$1-$L$1+2)</f>
        <v>3.4660000000000002</v>
      </c>
      <c r="S101" s="117">
        <f>VLOOKUP($I101,output!$A$9:$AI$2200,S$1-$L$1+2)</f>
        <v>2.9769999999999999</v>
      </c>
      <c r="T101" s="117">
        <f>VLOOKUP($I101,output!$A$9:$AI$2200,T$1-$L$1+2)</f>
        <v>4.1230000000000002</v>
      </c>
      <c r="U101" s="117">
        <f>VLOOKUP($I101,output!$A$9:$AI$2200,U$1-$L$1+2)</f>
        <v>3.645</v>
      </c>
      <c r="V101" s="117">
        <f>VLOOKUP($I101,output!$A$9:$AI$2200,V$1-$L$1+2)</f>
        <v>4.1500000000000004</v>
      </c>
      <c r="W101" s="117">
        <f>VLOOKUP($I101,output!$A$9:$AI$2200,W$1-$L$1+2)</f>
        <v>4.7619999999999996</v>
      </c>
      <c r="X101" s="117">
        <f>VLOOKUP($I101,output!$A$9:$AI$2200,X$1-$L$1+2)</f>
        <v>5.4050000000000002</v>
      </c>
      <c r="Y101" s="117">
        <f>VLOOKUP($I101,output!$A$9:$AI$2200,Y$1-$L$1+2)</f>
        <v>5.9649999999999999</v>
      </c>
      <c r="Z101" s="117">
        <f>VLOOKUP($I101,output!$A$9:$AI$2200,Z$1-$L$1+2)</f>
        <v>6.8890000000000002</v>
      </c>
      <c r="AA101" s="117">
        <f>VLOOKUP($I101,output!$A$9:$AI$2200,AA$1-$L$1+2)</f>
        <v>7.7140000000000004</v>
      </c>
      <c r="AB101" s="117">
        <f>VLOOKUP($I101,output!$A$9:$AI$2200,AB$1-$L$1+2)</f>
        <v>6.665</v>
      </c>
      <c r="AC101" s="117">
        <f>VLOOKUP($I101,output!$A$9:$AI$2200,AC$1-$L$1+2)</f>
        <v>9.1039999999999992</v>
      </c>
      <c r="AD101" s="117">
        <f>VLOOKUP($I101,output!$A$9:$AI$2200,AD$1-$L$1+2)</f>
        <v>7.931</v>
      </c>
      <c r="AE101" s="117">
        <f>VLOOKUP($I101,output!$A$9:$AI$2200,AE$1-$L$1+2)</f>
        <v>8.125</v>
      </c>
      <c r="AF101" s="117">
        <f>VLOOKUP($I101,output!$A$9:$AI$2200,AF$1-$L$1+2)</f>
        <v>7.1020000000000003</v>
      </c>
      <c r="AG101" s="117">
        <f>VLOOKUP($I101,output!$A$9:$AI$2200,AG$1-$L$1+2)</f>
        <v>7.46</v>
      </c>
      <c r="AH101" s="117">
        <f>VLOOKUP($I101,output!$A$9:$AI$2200,AH$1-$L$1+2)</f>
        <v>5.0979999999999999</v>
      </c>
      <c r="AI101" s="117">
        <f>VLOOKUP($I101,output!$A$9:$AI$2200,AI$1-$L$1+2)</f>
        <v>6.774</v>
      </c>
      <c r="AJ101" s="117">
        <f>VLOOKUP($I101,output!$A$9:$AI$2200,AJ$1-$L$1+2)</f>
        <v>5.5220000000000002</v>
      </c>
      <c r="AK101" s="117">
        <f>VLOOKUP($I101,output!$A$9:$AI$2200,AK$1-$L$1+2)</f>
        <v>5.8760000000000003</v>
      </c>
      <c r="AL101" s="117">
        <f>VLOOKUP($I101,output!$A$9:$AI$2200,AL$1-$L$1+2)</f>
        <v>6.3369999999999997</v>
      </c>
      <c r="AM101" s="117">
        <f>VLOOKUP($I101,output!$A$9:$AI$2200,AM$1-$L$1+2)</f>
        <v>6.734</v>
      </c>
    </row>
    <row r="102" spans="9:39" x14ac:dyDescent="0.25">
      <c r="I102" s="36" t="s">
        <v>394</v>
      </c>
      <c r="J102" s="36" t="s">
        <v>113</v>
      </c>
      <c r="K102" s="36" t="s">
        <v>110</v>
      </c>
      <c r="L102" s="67">
        <f>VLOOKUP($I102,output!$A$9:$AI$2200,L$1-$L$1+2)</f>
        <v>0</v>
      </c>
      <c r="M102" s="67">
        <f>VLOOKUP($I102,output!$A$9:$AI$2200,M$1-$L$1+2)</f>
        <v>9.093</v>
      </c>
      <c r="N102" s="67">
        <f>VLOOKUP($I102,output!$A$9:$AI$2200,N$1-$L$1+2)</f>
        <v>5.5309999999999997</v>
      </c>
      <c r="O102" s="67">
        <f>VLOOKUP($I102,output!$A$9:$AI$2200,O$1-$L$1+2)</f>
        <v>4.3739999999999997</v>
      </c>
      <c r="P102" s="67">
        <f>VLOOKUP($I102,output!$A$9:$AI$2200,P$1-$L$1+2)</f>
        <v>5.1879999999999997</v>
      </c>
      <c r="Q102" s="67">
        <f>VLOOKUP($I102,output!$A$9:$AI$2200,Q$1-$L$1+2)</f>
        <v>4.407</v>
      </c>
      <c r="R102" s="67">
        <f>VLOOKUP($I102,output!$A$9:$AI$2200,R$1-$L$1+2)</f>
        <v>3.403</v>
      </c>
      <c r="S102" s="67">
        <f>VLOOKUP($I102,output!$A$9:$AI$2200,S$1-$L$1+2)</f>
        <v>2.4180000000000001</v>
      </c>
      <c r="T102" s="67">
        <f>VLOOKUP($I102,output!$A$9:$AI$2200,T$1-$L$1+2)</f>
        <v>4.6779999999999999</v>
      </c>
      <c r="U102" s="67">
        <f>VLOOKUP($I102,output!$A$9:$AI$2200,U$1-$L$1+2)</f>
        <v>3.8530000000000002</v>
      </c>
      <c r="V102" s="67">
        <f>VLOOKUP($I102,output!$A$9:$AI$2200,V$1-$L$1+2)</f>
        <v>4.9589999999999996</v>
      </c>
      <c r="W102" s="67">
        <f>VLOOKUP($I102,output!$A$9:$AI$2200,W$1-$L$1+2)</f>
        <v>6.1909999999999998</v>
      </c>
      <c r="X102" s="67">
        <f>VLOOKUP($I102,output!$A$9:$AI$2200,X$1-$L$1+2)</f>
        <v>7.383</v>
      </c>
      <c r="Y102" s="67">
        <f>VLOOKUP($I102,output!$A$9:$AI$2200,Y$1-$L$1+2)</f>
        <v>5.69</v>
      </c>
      <c r="Z102" s="67">
        <f>VLOOKUP($I102,output!$A$9:$AI$2200,Z$1-$L$1+2)</f>
        <v>6.8070000000000004</v>
      </c>
      <c r="AA102" s="67">
        <f>VLOOKUP($I102,output!$A$9:$AI$2200,AA$1-$L$1+2)</f>
        <v>7.4880000000000004</v>
      </c>
      <c r="AB102" s="67">
        <f>VLOOKUP($I102,output!$A$9:$AI$2200,AB$1-$L$1+2)</f>
        <v>8.1010000000000009</v>
      </c>
      <c r="AC102" s="67">
        <f>VLOOKUP($I102,output!$A$9:$AI$2200,AC$1-$L$1+2)</f>
        <v>8.8770000000000007</v>
      </c>
      <c r="AD102" s="67">
        <f>VLOOKUP($I102,output!$A$9:$AI$2200,AD$1-$L$1+2)</f>
        <v>8.9969999999999999</v>
      </c>
      <c r="AE102" s="67">
        <f>VLOOKUP($I102,output!$A$9:$AI$2200,AE$1-$L$1+2)</f>
        <v>9.3569999999999993</v>
      </c>
      <c r="AF102" s="67">
        <f>VLOOKUP($I102,output!$A$9:$AI$2200,AF$1-$L$1+2)</f>
        <v>10.041</v>
      </c>
      <c r="AG102" s="67">
        <f>VLOOKUP($I102,output!$A$9:$AI$2200,AG$1-$L$1+2)</f>
        <v>2.5750000000000002</v>
      </c>
      <c r="AH102" s="67">
        <f>VLOOKUP($I102,output!$A$9:$AI$2200,AH$1-$L$1+2)</f>
        <v>3.976</v>
      </c>
      <c r="AI102" s="67">
        <f>VLOOKUP($I102,output!$A$9:$AI$2200,AI$1-$L$1+2)</f>
        <v>3.4359999999999999</v>
      </c>
      <c r="AJ102" s="67">
        <f>VLOOKUP($I102,output!$A$9:$AI$2200,AJ$1-$L$1+2)</f>
        <v>3.738</v>
      </c>
      <c r="AK102" s="67">
        <f>VLOOKUP($I102,output!$A$9:$AI$2200,AK$1-$L$1+2)</f>
        <v>3.2850000000000001</v>
      </c>
      <c r="AL102" s="67">
        <f>VLOOKUP($I102,output!$A$9:$AI$2200,AL$1-$L$1+2)</f>
        <v>2.7309999999999999</v>
      </c>
      <c r="AM102" s="67">
        <f>VLOOKUP($I102,output!$A$9:$AI$2200,AM$1-$L$1+2)</f>
        <v>2.1930000000000001</v>
      </c>
    </row>
    <row r="103" spans="9:39" x14ac:dyDescent="0.25">
      <c r="I103" s="36" t="s">
        <v>395</v>
      </c>
      <c r="J103" s="36" t="s">
        <v>113</v>
      </c>
      <c r="K103" s="36" t="s">
        <v>111</v>
      </c>
      <c r="L103" s="67">
        <f>VLOOKUP($I103,output!$A$9:$AI$2200,L$1-$L$1+2)</f>
        <v>0</v>
      </c>
      <c r="M103" s="67">
        <f>VLOOKUP($I103,output!$A$9:$AI$2200,M$1-$L$1+2)</f>
        <v>151.12299999999999</v>
      </c>
      <c r="N103" s="67">
        <f>VLOOKUP($I103,output!$A$9:$AI$2200,N$1-$L$1+2)</f>
        <v>122.477</v>
      </c>
      <c r="O103" s="67">
        <f>VLOOKUP($I103,output!$A$9:$AI$2200,O$1-$L$1+2)</f>
        <v>117.504</v>
      </c>
      <c r="P103" s="67">
        <f>VLOOKUP($I103,output!$A$9:$AI$2200,P$1-$L$1+2)</f>
        <v>129.49600000000001</v>
      </c>
      <c r="Q103" s="67">
        <f>VLOOKUP($I103,output!$A$9:$AI$2200,Q$1-$L$1+2)</f>
        <v>128.261</v>
      </c>
      <c r="R103" s="67">
        <f>VLOOKUP($I103,output!$A$9:$AI$2200,R$1-$L$1+2)</f>
        <v>125.753</v>
      </c>
      <c r="S103" s="67">
        <f>VLOOKUP($I103,output!$A$9:$AI$2200,S$1-$L$1+2)</f>
        <v>123.41</v>
      </c>
      <c r="T103" s="67">
        <f>VLOOKUP($I103,output!$A$9:$AI$2200,T$1-$L$1+2)</f>
        <v>145.24</v>
      </c>
      <c r="U103" s="67">
        <f>VLOOKUP($I103,output!$A$9:$AI$2200,U$1-$L$1+2)</f>
        <v>145.49600000000001</v>
      </c>
      <c r="V103" s="67">
        <f>VLOOKUP($I103,output!$A$9:$AI$2200,V$1-$L$1+2)</f>
        <v>159.678</v>
      </c>
      <c r="W103" s="67">
        <f>VLOOKUP($I103,output!$A$9:$AI$2200,W$1-$L$1+2)</f>
        <v>174.017</v>
      </c>
      <c r="X103" s="67">
        <f>VLOOKUP($I103,output!$A$9:$AI$2200,X$1-$L$1+2)</f>
        <v>188.15299999999999</v>
      </c>
      <c r="Y103" s="67">
        <f>VLOOKUP($I103,output!$A$9:$AI$2200,Y$1-$L$1+2)</f>
        <v>156.70099999999999</v>
      </c>
      <c r="Z103" s="67">
        <f>VLOOKUP($I103,output!$A$9:$AI$2200,Z$1-$L$1+2)</f>
        <v>169.94399999999999</v>
      </c>
      <c r="AA103" s="67">
        <f>VLOOKUP($I103,output!$A$9:$AI$2200,AA$1-$L$1+2)</f>
        <v>177.989</v>
      </c>
      <c r="AB103" s="67">
        <f>VLOOKUP($I103,output!$A$9:$AI$2200,AB$1-$L$1+2)</f>
        <v>172.34200000000001</v>
      </c>
      <c r="AC103" s="67">
        <f>VLOOKUP($I103,output!$A$9:$AI$2200,AC$1-$L$1+2)</f>
        <v>190.10300000000001</v>
      </c>
      <c r="AD103" s="67">
        <f>VLOOKUP($I103,output!$A$9:$AI$2200,AD$1-$L$1+2)</f>
        <v>178</v>
      </c>
      <c r="AE103" s="67">
        <f>VLOOKUP($I103,output!$A$9:$AI$2200,AE$1-$L$1+2)</f>
        <v>176.74100000000001</v>
      </c>
      <c r="AF103" s="67">
        <f>VLOOKUP($I103,output!$A$9:$AI$2200,AF$1-$L$1+2)</f>
        <v>171.036</v>
      </c>
      <c r="AG103" s="67">
        <f>VLOOKUP($I103,output!$A$9:$AI$2200,AG$1-$L$1+2)</f>
        <v>62.764000000000003</v>
      </c>
      <c r="AH103" s="67">
        <f>VLOOKUP($I103,output!$A$9:$AI$2200,AH$1-$L$1+2)</f>
        <v>71.856999999999999</v>
      </c>
      <c r="AI103" s="67">
        <f>VLOOKUP($I103,output!$A$9:$AI$2200,AI$1-$L$1+2)</f>
        <v>72.983000000000004</v>
      </c>
      <c r="AJ103" s="67">
        <f>VLOOKUP($I103,output!$A$9:$AI$2200,AJ$1-$L$1+2)</f>
        <v>67.111999999999995</v>
      </c>
      <c r="AK103" s="67">
        <f>VLOOKUP($I103,output!$A$9:$AI$2200,AK$1-$L$1+2)</f>
        <v>62.466000000000001</v>
      </c>
      <c r="AL103" s="67">
        <f>VLOOKUP($I103,output!$A$9:$AI$2200,AL$1-$L$1+2)</f>
        <v>57.613999999999997</v>
      </c>
      <c r="AM103" s="67">
        <f>VLOOKUP($I103,output!$A$9:$AI$2200,AM$1-$L$1+2)</f>
        <v>52.738</v>
      </c>
    </row>
    <row r="104" spans="9:39" x14ac:dyDescent="0.25">
      <c r="I104" s="115" t="s">
        <v>396</v>
      </c>
      <c r="J104" s="115" t="s">
        <v>113</v>
      </c>
      <c r="K104" s="115" t="s">
        <v>112</v>
      </c>
      <c r="L104" s="117">
        <f>VLOOKUP($I104,output!$A$9:$AI$2200,L$1-$L$1+2)</f>
        <v>0</v>
      </c>
      <c r="M104" s="117">
        <f>VLOOKUP($I104,output!$A$9:$AI$2200,M$1-$L$1+2)</f>
        <v>159.768</v>
      </c>
      <c r="N104" s="117">
        <f>VLOOKUP($I104,output!$A$9:$AI$2200,N$1-$L$1+2)</f>
        <v>107.857</v>
      </c>
      <c r="O104" s="117">
        <f>VLOOKUP($I104,output!$A$9:$AI$2200,O$1-$L$1+2)</f>
        <v>178.48599999999999</v>
      </c>
      <c r="P104" s="117">
        <f>VLOOKUP($I104,output!$A$9:$AI$2200,P$1-$L$1+2)</f>
        <v>166.49600000000001</v>
      </c>
      <c r="Q104" s="117">
        <f>VLOOKUP($I104,output!$A$9:$AI$2200,Q$1-$L$1+2)</f>
        <v>219.86799999999999</v>
      </c>
      <c r="R104" s="117">
        <f>VLOOKUP($I104,output!$A$9:$AI$2200,R$1-$L$1+2)</f>
        <v>277.52499999999998</v>
      </c>
      <c r="S104" s="117">
        <f>VLOOKUP($I104,output!$A$9:$AI$2200,S$1-$L$1+2)</f>
        <v>328.084</v>
      </c>
      <c r="T104" s="117">
        <f>VLOOKUP($I104,output!$A$9:$AI$2200,T$1-$L$1+2)</f>
        <v>255.05500000000001</v>
      </c>
      <c r="U104" s="117">
        <f>VLOOKUP($I104,output!$A$9:$AI$2200,U$1-$L$1+2)</f>
        <v>314.47000000000003</v>
      </c>
      <c r="V104" s="117">
        <f>VLOOKUP($I104,output!$A$9:$AI$2200,V$1-$L$1+2)</f>
        <v>301.01499999999999</v>
      </c>
      <c r="W104" s="117">
        <f>VLOOKUP($I104,output!$A$9:$AI$2200,W$1-$L$1+2)</f>
        <v>280.54899999999998</v>
      </c>
      <c r="X104" s="117">
        <f>VLOOKUP($I104,output!$A$9:$AI$2200,X$1-$L$1+2)</f>
        <v>263.745</v>
      </c>
      <c r="Y104" s="117">
        <f>VLOOKUP($I104,output!$A$9:$AI$2200,Y$1-$L$1+2)</f>
        <v>222.52699999999999</v>
      </c>
      <c r="Z104" s="117">
        <f>VLOOKUP($I104,output!$A$9:$AI$2200,Z$1-$L$1+2)</f>
        <v>198.05600000000001</v>
      </c>
      <c r="AA104" s="117">
        <f>VLOOKUP($I104,output!$A$9:$AI$2200,AA$1-$L$1+2)</f>
        <v>179.459</v>
      </c>
      <c r="AB104" s="117">
        <f>VLOOKUP($I104,output!$A$9:$AI$2200,AB$1-$L$1+2)</f>
        <v>136.78700000000001</v>
      </c>
      <c r="AC104" s="117">
        <f>VLOOKUP($I104,output!$A$9:$AI$2200,AC$1-$L$1+2)</f>
        <v>144.792</v>
      </c>
      <c r="AD104" s="117">
        <f>VLOOKUP($I104,output!$A$9:$AI$2200,AD$1-$L$1+2)</f>
        <v>123.279</v>
      </c>
      <c r="AE104" s="117">
        <f>VLOOKUP($I104,output!$A$9:$AI$2200,AE$1-$L$1+2)</f>
        <v>116.867</v>
      </c>
      <c r="AF104" s="117">
        <f>VLOOKUP($I104,output!$A$9:$AI$2200,AF$1-$L$1+2)</f>
        <v>99.498999999999995</v>
      </c>
      <c r="AG104" s="117">
        <f>VLOOKUP($I104,output!$A$9:$AI$2200,AG$1-$L$1+2)</f>
        <v>63.860999999999997</v>
      </c>
      <c r="AH104" s="117">
        <f>VLOOKUP($I104,output!$A$9:$AI$2200,AH$1-$L$1+2)</f>
        <v>52.965000000000003</v>
      </c>
      <c r="AI104" s="117">
        <f>VLOOKUP($I104,output!$A$9:$AI$2200,AI$1-$L$1+2)</f>
        <v>64.881</v>
      </c>
      <c r="AJ104" s="117">
        <f>VLOOKUP($I104,output!$A$9:$AI$2200,AJ$1-$L$1+2)</f>
        <v>50.405999999999999</v>
      </c>
      <c r="AK104" s="117">
        <f>VLOOKUP($I104,output!$A$9:$AI$2200,AK$1-$L$1+2)</f>
        <v>50.506999999999998</v>
      </c>
      <c r="AL104" s="117">
        <f>VLOOKUP($I104,output!$A$9:$AI$2200,AL$1-$L$1+2)</f>
        <v>51.271000000000001</v>
      </c>
      <c r="AM104" s="117">
        <f>VLOOKUP($I104,output!$A$9:$AI$2200,AM$1-$L$1+2)</f>
        <v>51.093000000000004</v>
      </c>
    </row>
    <row r="105" spans="9:39" x14ac:dyDescent="0.25">
      <c r="I105" s="115" t="s">
        <v>397</v>
      </c>
      <c r="J105" s="115" t="s">
        <v>113</v>
      </c>
      <c r="K105" s="115" t="s">
        <v>113</v>
      </c>
      <c r="L105" s="117">
        <f>VLOOKUP($I105,output!$A$9:$AI$2200,L$1-$L$1+2)</f>
        <v>0</v>
      </c>
      <c r="M105" s="117">
        <f>VLOOKUP($I105,output!$A$9:$AI$2200,M$1-$L$1+2)</f>
        <v>427.90100000000001</v>
      </c>
      <c r="N105" s="117">
        <f>VLOOKUP($I105,output!$A$9:$AI$2200,N$1-$L$1+2)</f>
        <v>523.471</v>
      </c>
      <c r="O105" s="117">
        <f>VLOOKUP($I105,output!$A$9:$AI$2200,O$1-$L$1+2)</f>
        <v>459.23099999999999</v>
      </c>
      <c r="P105" s="117">
        <f>VLOOKUP($I105,output!$A$9:$AI$2200,P$1-$L$1+2)</f>
        <v>460.74099999999999</v>
      </c>
      <c r="Q105" s="117">
        <f>VLOOKUP($I105,output!$A$9:$AI$2200,Q$1-$L$1+2)</f>
        <v>413.39600000000002</v>
      </c>
      <c r="R105" s="117">
        <f>VLOOKUP($I105,output!$A$9:$AI$2200,R$1-$L$1+2)</f>
        <v>362.959</v>
      </c>
      <c r="S105" s="117">
        <f>VLOOKUP($I105,output!$A$9:$AI$2200,S$1-$L$1+2)</f>
        <v>318.74</v>
      </c>
      <c r="T105" s="117">
        <f>VLOOKUP($I105,output!$A$9:$AI$2200,T$1-$L$1+2)</f>
        <v>372.84100000000001</v>
      </c>
      <c r="U105" s="117">
        <f>VLOOKUP($I105,output!$A$9:$AI$2200,U$1-$L$1+2)</f>
        <v>330.46600000000001</v>
      </c>
      <c r="V105" s="117">
        <f>VLOOKUP($I105,output!$A$9:$AI$2200,V$1-$L$1+2)</f>
        <v>341.726</v>
      </c>
      <c r="W105" s="117">
        <f>VLOOKUP($I105,output!$A$9:$AI$2200,W$1-$L$1+2)</f>
        <v>350.85500000000002</v>
      </c>
      <c r="X105" s="117">
        <f>VLOOKUP($I105,output!$A$9:$AI$2200,X$1-$L$1+2)</f>
        <v>354.34500000000003</v>
      </c>
      <c r="Y105" s="117">
        <f>VLOOKUP($I105,output!$A$9:$AI$2200,Y$1-$L$1+2)</f>
        <v>329.92500000000001</v>
      </c>
      <c r="Z105" s="117">
        <f>VLOOKUP($I105,output!$A$9:$AI$2200,Z$1-$L$1+2)</f>
        <v>340.50299999999999</v>
      </c>
      <c r="AA105" s="117">
        <f>VLOOKUP($I105,output!$A$9:$AI$2200,AA$1-$L$1+2)</f>
        <v>332.87</v>
      </c>
      <c r="AB105" s="117">
        <f>VLOOKUP($I105,output!$A$9:$AI$2200,AB$1-$L$1+2)</f>
        <v>282.96199999999999</v>
      </c>
      <c r="AC105" s="117">
        <f>VLOOKUP($I105,output!$A$9:$AI$2200,AC$1-$L$1+2)</f>
        <v>311.447</v>
      </c>
      <c r="AD105" s="117">
        <f>VLOOKUP($I105,output!$A$9:$AI$2200,AD$1-$L$1+2)</f>
        <v>265.40300000000002</v>
      </c>
      <c r="AE105" s="117">
        <f>VLOOKUP($I105,output!$A$9:$AI$2200,AE$1-$L$1+2)</f>
        <v>252.54</v>
      </c>
      <c r="AF105" s="117">
        <f>VLOOKUP($I105,output!$A$9:$AI$2200,AF$1-$L$1+2)</f>
        <v>226.756</v>
      </c>
      <c r="AG105" s="117">
        <f>VLOOKUP($I105,output!$A$9:$AI$2200,AG$1-$L$1+2)</f>
        <v>207.15100000000001</v>
      </c>
      <c r="AH105" s="117">
        <f>VLOOKUP($I105,output!$A$9:$AI$2200,AH$1-$L$1+2)</f>
        <v>174.40299999999999</v>
      </c>
      <c r="AI105" s="117">
        <f>VLOOKUP($I105,output!$A$9:$AI$2200,AI$1-$L$1+2)</f>
        <v>200.251</v>
      </c>
      <c r="AJ105" s="117">
        <f>VLOOKUP($I105,output!$A$9:$AI$2200,AJ$1-$L$1+2)</f>
        <v>176.785</v>
      </c>
      <c r="AK105" s="117">
        <f>VLOOKUP($I105,output!$A$9:$AI$2200,AK$1-$L$1+2)</f>
        <v>184.255</v>
      </c>
      <c r="AL105" s="117">
        <f>VLOOKUP($I105,output!$A$9:$AI$2200,AL$1-$L$1+2)</f>
        <v>193.37</v>
      </c>
      <c r="AM105" s="117">
        <f>VLOOKUP($I105,output!$A$9:$AI$2200,AM$1-$L$1+2)</f>
        <v>200.05799999999999</v>
      </c>
    </row>
    <row r="106" spans="9:39" x14ac:dyDescent="0.25">
      <c r="I106" s="115" t="s">
        <v>398</v>
      </c>
      <c r="J106" s="115" t="s">
        <v>113</v>
      </c>
      <c r="K106" s="19" t="s">
        <v>114</v>
      </c>
      <c r="L106" s="117">
        <f>VLOOKUP($I106,output!$A$9:$AI$2200,L$1-$L$1+2)</f>
        <v>0</v>
      </c>
      <c r="M106" s="117">
        <f>VLOOKUP($I106,output!$A$9:$AI$2200,M$1-$L$1+2)</f>
        <v>1.8140000000000001</v>
      </c>
      <c r="N106" s="117">
        <f>VLOOKUP($I106,output!$A$9:$AI$2200,N$1-$L$1+2)</f>
        <v>2.274</v>
      </c>
      <c r="O106" s="117">
        <f>VLOOKUP($I106,output!$A$9:$AI$2200,O$1-$L$1+2)</f>
        <v>2.0329999999999999</v>
      </c>
      <c r="P106" s="117">
        <f>VLOOKUP($I106,output!$A$9:$AI$2200,P$1-$L$1+2)</f>
        <v>2.419</v>
      </c>
      <c r="Q106" s="117">
        <f>VLOOKUP($I106,output!$A$9:$AI$2200,Q$1-$L$1+2)</f>
        <v>2.2679999999999998</v>
      </c>
      <c r="R106" s="117">
        <f>VLOOKUP($I106,output!$A$9:$AI$2200,R$1-$L$1+2)</f>
        <v>2.093</v>
      </c>
      <c r="S106" s="117">
        <f>VLOOKUP($I106,output!$A$9:$AI$2200,S$1-$L$1+2)</f>
        <v>1.9319999999999999</v>
      </c>
      <c r="T106" s="117">
        <f>VLOOKUP($I106,output!$A$9:$AI$2200,T$1-$L$1+2)</f>
        <v>2.4159999999999999</v>
      </c>
      <c r="U106" s="117">
        <f>VLOOKUP($I106,output!$A$9:$AI$2200,U$1-$L$1+2)</f>
        <v>2.2789999999999999</v>
      </c>
      <c r="V106" s="117">
        <f>VLOOKUP($I106,output!$A$9:$AI$2200,V$1-$L$1+2)</f>
        <v>2.4990000000000001</v>
      </c>
      <c r="W106" s="117">
        <f>VLOOKUP($I106,output!$A$9:$AI$2200,W$1-$L$1+2)</f>
        <v>2.7160000000000002</v>
      </c>
      <c r="X106" s="117">
        <f>VLOOKUP($I106,output!$A$9:$AI$2200,X$1-$L$1+2)</f>
        <v>2.907</v>
      </c>
      <c r="Y106" s="117">
        <f>VLOOKUP($I106,output!$A$9:$AI$2200,Y$1-$L$1+2)</f>
        <v>2.4390000000000001</v>
      </c>
      <c r="Z106" s="117">
        <f>VLOOKUP($I106,output!$A$9:$AI$2200,Z$1-$L$1+2)</f>
        <v>2.6779999999999999</v>
      </c>
      <c r="AA106" s="117">
        <f>VLOOKUP($I106,output!$A$9:$AI$2200,AA$1-$L$1+2)</f>
        <v>2.7850000000000001</v>
      </c>
      <c r="AB106" s="117">
        <f>VLOOKUP($I106,output!$A$9:$AI$2200,AB$1-$L$1+2)</f>
        <v>2.2200000000000002</v>
      </c>
      <c r="AC106" s="117">
        <f>VLOOKUP($I106,output!$A$9:$AI$2200,AC$1-$L$1+2)</f>
        <v>2.8730000000000002</v>
      </c>
      <c r="AD106" s="117">
        <f>VLOOKUP($I106,output!$A$9:$AI$2200,AD$1-$L$1+2)</f>
        <v>2.2930000000000001</v>
      </c>
      <c r="AE106" s="117">
        <f>VLOOKUP($I106,output!$A$9:$AI$2200,AE$1-$L$1+2)</f>
        <v>2.2480000000000002</v>
      </c>
      <c r="AF106" s="117">
        <f>VLOOKUP($I106,output!$A$9:$AI$2200,AF$1-$L$1+2)</f>
        <v>1.899</v>
      </c>
      <c r="AG106" s="117">
        <f>VLOOKUP($I106,output!$A$9:$AI$2200,AG$1-$L$1+2)</f>
        <v>1.585</v>
      </c>
      <c r="AH106" s="117">
        <f>VLOOKUP($I106,output!$A$9:$AI$2200,AH$1-$L$1+2)</f>
        <v>1.139</v>
      </c>
      <c r="AI106" s="117">
        <f>VLOOKUP($I106,output!$A$9:$AI$2200,AI$1-$L$1+2)</f>
        <v>1.554</v>
      </c>
      <c r="AJ106" s="117">
        <f>VLOOKUP($I106,output!$A$9:$AI$2200,AJ$1-$L$1+2)</f>
        <v>1.1599999999999999</v>
      </c>
      <c r="AK106" s="117">
        <f>VLOOKUP($I106,output!$A$9:$AI$2200,AK$1-$L$1+2)</f>
        <v>1.2210000000000001</v>
      </c>
      <c r="AL106" s="117">
        <f>VLOOKUP($I106,output!$A$9:$AI$2200,AL$1-$L$1+2)</f>
        <v>1.3029999999999999</v>
      </c>
      <c r="AM106" s="117">
        <f>VLOOKUP($I106,output!$A$9:$AI$2200,AM$1-$L$1+2)</f>
        <v>1.3149999999999999</v>
      </c>
    </row>
    <row r="107" spans="9:39" x14ac:dyDescent="0.25">
      <c r="I107" s="115" t="s">
        <v>399</v>
      </c>
      <c r="J107" s="115" t="s">
        <v>113</v>
      </c>
      <c r="K107" s="19" t="s">
        <v>115</v>
      </c>
      <c r="L107" s="117">
        <f>VLOOKUP($I107,output!$A$9:$AI$2200,L$1-$L$1+2)</f>
        <v>0</v>
      </c>
      <c r="M107" s="117">
        <f>VLOOKUP($I107,output!$A$9:$AI$2200,M$1-$L$1+2)</f>
        <v>1.331</v>
      </c>
      <c r="N107" s="117">
        <f>VLOOKUP($I107,output!$A$9:$AI$2200,N$1-$L$1+2)</f>
        <v>1.752</v>
      </c>
      <c r="O107" s="117">
        <f>VLOOKUP($I107,output!$A$9:$AI$2200,O$1-$L$1+2)</f>
        <v>1.726</v>
      </c>
      <c r="P107" s="117">
        <f>VLOOKUP($I107,output!$A$9:$AI$2200,P$1-$L$1+2)</f>
        <v>2.2480000000000002</v>
      </c>
      <c r="Q107" s="117">
        <f>VLOOKUP($I107,output!$A$9:$AI$2200,Q$1-$L$1+2)</f>
        <v>2.2090000000000001</v>
      </c>
      <c r="R107" s="117">
        <f>VLOOKUP($I107,output!$A$9:$AI$2200,R$1-$L$1+2)</f>
        <v>2.181</v>
      </c>
      <c r="S107" s="117">
        <f>VLOOKUP($I107,output!$A$9:$AI$2200,S$1-$L$1+2)</f>
        <v>2.1619999999999999</v>
      </c>
      <c r="T107" s="117">
        <f>VLOOKUP($I107,output!$A$9:$AI$2200,T$1-$L$1+2)</f>
        <v>2.4049999999999998</v>
      </c>
      <c r="U107" s="117">
        <f>VLOOKUP($I107,output!$A$9:$AI$2200,U$1-$L$1+2)</f>
        <v>2.4239999999999999</v>
      </c>
      <c r="V107" s="117">
        <f>VLOOKUP($I107,output!$A$9:$AI$2200,V$1-$L$1+2)</f>
        <v>2.5819999999999999</v>
      </c>
      <c r="W107" s="117">
        <f>VLOOKUP($I107,output!$A$9:$AI$2200,W$1-$L$1+2)</f>
        <v>2.7330000000000001</v>
      </c>
      <c r="X107" s="117">
        <f>VLOOKUP($I107,output!$A$9:$AI$2200,X$1-$L$1+2)</f>
        <v>2.87</v>
      </c>
      <c r="Y107" s="117">
        <f>VLOOKUP($I107,output!$A$9:$AI$2200,Y$1-$L$1+2)</f>
        <v>2.9710000000000001</v>
      </c>
      <c r="Z107" s="117">
        <f>VLOOKUP($I107,output!$A$9:$AI$2200,Z$1-$L$1+2)</f>
        <v>3.09</v>
      </c>
      <c r="AA107" s="117">
        <f>VLOOKUP($I107,output!$A$9:$AI$2200,AA$1-$L$1+2)</f>
        <v>3.0960000000000001</v>
      </c>
      <c r="AB107" s="117">
        <f>VLOOKUP($I107,output!$A$9:$AI$2200,AB$1-$L$1+2)</f>
        <v>2.3839999999999999</v>
      </c>
      <c r="AC107" s="117">
        <f>VLOOKUP($I107,output!$A$9:$AI$2200,AC$1-$L$1+2)</f>
        <v>2.9510000000000001</v>
      </c>
      <c r="AD107" s="117">
        <f>VLOOKUP($I107,output!$A$9:$AI$2200,AD$1-$L$1+2)</f>
        <v>2.2559999999999998</v>
      </c>
      <c r="AE107" s="117">
        <f>VLOOKUP($I107,output!$A$9:$AI$2200,AE$1-$L$1+2)</f>
        <v>2.0430000000000001</v>
      </c>
      <c r="AF107" s="117">
        <f>VLOOKUP($I107,output!$A$9:$AI$2200,AF$1-$L$1+2)</f>
        <v>1.6359999999999999</v>
      </c>
      <c r="AG107" s="117">
        <f>VLOOKUP($I107,output!$A$9:$AI$2200,AG$1-$L$1+2)</f>
        <v>1.222</v>
      </c>
      <c r="AH107" s="117">
        <f>VLOOKUP($I107,output!$A$9:$AI$2200,AH$1-$L$1+2)</f>
        <v>0.86799999999999999</v>
      </c>
      <c r="AI107" s="117">
        <f>VLOOKUP($I107,output!$A$9:$AI$2200,AI$1-$L$1+2)</f>
        <v>1.1659999999999999</v>
      </c>
      <c r="AJ107" s="117">
        <f>VLOOKUP($I107,output!$A$9:$AI$2200,AJ$1-$L$1+2)</f>
        <v>0.80700000000000005</v>
      </c>
      <c r="AK107" s="117">
        <f>VLOOKUP($I107,output!$A$9:$AI$2200,AK$1-$L$1+2)</f>
        <v>0.83199999999999996</v>
      </c>
      <c r="AL107" s="117">
        <f>VLOOKUP($I107,output!$A$9:$AI$2200,AL$1-$L$1+2)</f>
        <v>0.872</v>
      </c>
      <c r="AM107" s="117">
        <f>VLOOKUP($I107,output!$A$9:$AI$2200,AM$1-$L$1+2)</f>
        <v>0.89200000000000002</v>
      </c>
    </row>
    <row r="108" spans="9:39" x14ac:dyDescent="0.25">
      <c r="I108" s="36" t="s">
        <v>400</v>
      </c>
      <c r="J108" s="36" t="s">
        <v>114</v>
      </c>
      <c r="K108" s="36" t="s">
        <v>111</v>
      </c>
      <c r="L108" s="67">
        <f>VLOOKUP($I108,output!$A$9:$AI$2200,L$1-$L$1+2)</f>
        <v>0</v>
      </c>
      <c r="M108" s="67">
        <f>VLOOKUP($I108,output!$A$9:$AI$2200,M$1-$L$1+2)</f>
        <v>31.809000000000001</v>
      </c>
      <c r="N108" s="67">
        <f>VLOOKUP($I108,output!$A$9:$AI$2200,N$1-$L$1+2)</f>
        <v>21.23</v>
      </c>
      <c r="O108" s="67">
        <f>VLOOKUP($I108,output!$A$9:$AI$2200,O$1-$L$1+2)</f>
        <v>20.216999999999999</v>
      </c>
      <c r="P108" s="67">
        <f>VLOOKUP($I108,output!$A$9:$AI$2200,P$1-$L$1+2)</f>
        <v>21.295999999999999</v>
      </c>
      <c r="Q108" s="67">
        <f>VLOOKUP($I108,output!$A$9:$AI$2200,Q$1-$L$1+2)</f>
        <v>20.553999999999998</v>
      </c>
      <c r="R108" s="67">
        <f>VLOOKUP($I108,output!$A$9:$AI$2200,R$1-$L$1+2)</f>
        <v>19.655999999999999</v>
      </c>
      <c r="S108" s="67">
        <f>VLOOKUP($I108,output!$A$9:$AI$2200,S$1-$L$1+2)</f>
        <v>18.815999999999999</v>
      </c>
      <c r="T108" s="67">
        <f>VLOOKUP($I108,output!$A$9:$AI$2200,T$1-$L$1+2)</f>
        <v>20.911999999999999</v>
      </c>
      <c r="U108" s="67">
        <f>VLOOKUP($I108,output!$A$9:$AI$2200,U$1-$L$1+2)</f>
        <v>19.183</v>
      </c>
      <c r="V108" s="67">
        <f>VLOOKUP($I108,output!$A$9:$AI$2200,V$1-$L$1+2)</f>
        <v>19.09</v>
      </c>
      <c r="W108" s="67">
        <f>VLOOKUP($I108,output!$A$9:$AI$2200,W$1-$L$1+2)</f>
        <v>19.225999999999999</v>
      </c>
      <c r="X108" s="67">
        <f>VLOOKUP($I108,output!$A$9:$AI$2200,X$1-$L$1+2)</f>
        <v>19.8</v>
      </c>
      <c r="Y108" s="67">
        <f>VLOOKUP($I108,output!$A$9:$AI$2200,Y$1-$L$1+2)</f>
        <v>14.714</v>
      </c>
      <c r="Z108" s="67">
        <f>VLOOKUP($I108,output!$A$9:$AI$2200,Z$1-$L$1+2)</f>
        <v>14.023999999999999</v>
      </c>
      <c r="AA108" s="67">
        <f>VLOOKUP($I108,output!$A$9:$AI$2200,AA$1-$L$1+2)</f>
        <v>13.116</v>
      </c>
      <c r="AB108" s="67">
        <f>VLOOKUP($I108,output!$A$9:$AI$2200,AB$1-$L$1+2)</f>
        <v>12.183</v>
      </c>
      <c r="AC108" s="67">
        <f>VLOOKUP($I108,output!$A$9:$AI$2200,AC$1-$L$1+2)</f>
        <v>11.173</v>
      </c>
      <c r="AD108" s="67">
        <f>VLOOKUP($I108,output!$A$9:$AI$2200,AD$1-$L$1+2)</f>
        <v>9.94</v>
      </c>
      <c r="AE108" s="67">
        <f>VLOOKUP($I108,output!$A$9:$AI$2200,AE$1-$L$1+2)</f>
        <v>8.83</v>
      </c>
      <c r="AF108" s="67">
        <f>VLOOKUP($I108,output!$A$9:$AI$2200,AF$1-$L$1+2)</f>
        <v>7.75</v>
      </c>
      <c r="AG108" s="67">
        <f>VLOOKUP($I108,output!$A$9:$AI$2200,AG$1-$L$1+2)</f>
        <v>1.6950000000000001</v>
      </c>
      <c r="AH108" s="67">
        <f>VLOOKUP($I108,output!$A$9:$AI$2200,AH$1-$L$1+2)</f>
        <v>2.2360000000000002</v>
      </c>
      <c r="AI108" s="67">
        <f>VLOOKUP($I108,output!$A$9:$AI$2200,AI$1-$L$1+2)</f>
        <v>1.6040000000000001</v>
      </c>
      <c r="AJ108" s="67">
        <f>VLOOKUP($I108,output!$A$9:$AI$2200,AJ$1-$L$1+2)</f>
        <v>1.454</v>
      </c>
      <c r="AK108" s="67">
        <f>VLOOKUP($I108,output!$A$9:$AI$2200,AK$1-$L$1+2)</f>
        <v>1.028</v>
      </c>
      <c r="AL108" s="67">
        <f>VLOOKUP($I108,output!$A$9:$AI$2200,AL$1-$L$1+2)</f>
        <v>0.66500000000000004</v>
      </c>
      <c r="AM108" s="67">
        <f>VLOOKUP($I108,output!$A$9:$AI$2200,AM$1-$L$1+2)</f>
        <v>0.379</v>
      </c>
    </row>
    <row r="109" spans="9:39" x14ac:dyDescent="0.25">
      <c r="I109" s="36" t="s">
        <v>401</v>
      </c>
      <c r="J109" s="36" t="s">
        <v>114</v>
      </c>
      <c r="K109" s="36" t="s">
        <v>112</v>
      </c>
      <c r="L109" s="67">
        <f>VLOOKUP($I109,output!$A$9:$AI$2200,L$1-$L$1+2)</f>
        <v>0</v>
      </c>
      <c r="M109" s="67">
        <f>VLOOKUP($I109,output!$A$9:$AI$2200,M$1-$L$1+2)</f>
        <v>98.590999999999994</v>
      </c>
      <c r="N109" s="67">
        <f>VLOOKUP($I109,output!$A$9:$AI$2200,N$1-$L$1+2)</f>
        <v>82.784999999999997</v>
      </c>
      <c r="O109" s="67">
        <f>VLOOKUP($I109,output!$A$9:$AI$2200,O$1-$L$1+2)</f>
        <v>84.09</v>
      </c>
      <c r="P109" s="67">
        <f>VLOOKUP($I109,output!$A$9:$AI$2200,P$1-$L$1+2)</f>
        <v>95.563999999999993</v>
      </c>
      <c r="Q109" s="67">
        <f>VLOOKUP($I109,output!$A$9:$AI$2200,Q$1-$L$1+2)</f>
        <v>95.753</v>
      </c>
      <c r="R109" s="67">
        <f>VLOOKUP($I109,output!$A$9:$AI$2200,R$1-$L$1+2)</f>
        <v>94.894000000000005</v>
      </c>
      <c r="S109" s="67">
        <f>VLOOKUP($I109,output!$A$9:$AI$2200,S$1-$L$1+2)</f>
        <v>93.116</v>
      </c>
      <c r="T109" s="67">
        <f>VLOOKUP($I109,output!$A$9:$AI$2200,T$1-$L$1+2)</f>
        <v>101.017</v>
      </c>
      <c r="U109" s="67">
        <f>VLOOKUP($I109,output!$A$9:$AI$2200,U$1-$L$1+2)</f>
        <v>93.927999999999997</v>
      </c>
      <c r="V109" s="67">
        <f>VLOOKUP($I109,output!$A$9:$AI$2200,V$1-$L$1+2)</f>
        <v>92.661000000000001</v>
      </c>
      <c r="W109" s="67">
        <f>VLOOKUP($I109,output!$A$9:$AI$2200,W$1-$L$1+2)</f>
        <v>92.915999999999997</v>
      </c>
      <c r="X109" s="67">
        <f>VLOOKUP($I109,output!$A$9:$AI$2200,X$1-$L$1+2)</f>
        <v>94.587000000000003</v>
      </c>
      <c r="Y109" s="67">
        <f>VLOOKUP($I109,output!$A$9:$AI$2200,Y$1-$L$1+2)</f>
        <v>31.599</v>
      </c>
      <c r="Z109" s="67">
        <f>VLOOKUP($I109,output!$A$9:$AI$2200,Z$1-$L$1+2)</f>
        <v>32.374000000000002</v>
      </c>
      <c r="AA109" s="67">
        <f>VLOOKUP($I109,output!$A$9:$AI$2200,AA$1-$L$1+2)</f>
        <v>31.423999999999999</v>
      </c>
      <c r="AB109" s="67">
        <f>VLOOKUP($I109,output!$A$9:$AI$2200,AB$1-$L$1+2)</f>
        <v>25.876999999999999</v>
      </c>
      <c r="AC109" s="67">
        <f>VLOOKUP($I109,output!$A$9:$AI$2200,AC$1-$L$1+2)</f>
        <v>28.411000000000001</v>
      </c>
      <c r="AD109" s="67">
        <f>VLOOKUP($I109,output!$A$9:$AI$2200,AD$1-$L$1+2)</f>
        <v>20.071000000000002</v>
      </c>
      <c r="AE109" s="67">
        <f>VLOOKUP($I109,output!$A$9:$AI$2200,AE$1-$L$1+2)</f>
        <v>17.7</v>
      </c>
      <c r="AF109" s="67">
        <f>VLOOKUP($I109,output!$A$9:$AI$2200,AF$1-$L$1+2)</f>
        <v>14.204000000000001</v>
      </c>
      <c r="AG109" s="67">
        <f>VLOOKUP($I109,output!$A$9:$AI$2200,AG$1-$L$1+2)</f>
        <v>5.9660000000000002</v>
      </c>
      <c r="AH109" s="67">
        <f>VLOOKUP($I109,output!$A$9:$AI$2200,AH$1-$L$1+2)</f>
        <v>4.9809999999999999</v>
      </c>
      <c r="AI109" s="67">
        <f>VLOOKUP($I109,output!$A$9:$AI$2200,AI$1-$L$1+2)</f>
        <v>4.8879999999999999</v>
      </c>
      <c r="AJ109" s="67">
        <f>VLOOKUP($I109,output!$A$9:$AI$2200,AJ$1-$L$1+2)</f>
        <v>3.448</v>
      </c>
      <c r="AK109" s="67">
        <f>VLOOKUP($I109,output!$A$9:$AI$2200,AK$1-$L$1+2)</f>
        <v>2.734</v>
      </c>
      <c r="AL109" s="67">
        <f>VLOOKUP($I109,output!$A$9:$AI$2200,AL$1-$L$1+2)</f>
        <v>2.0830000000000002</v>
      </c>
      <c r="AM109" s="67">
        <f>VLOOKUP($I109,output!$A$9:$AI$2200,AM$1-$L$1+2)</f>
        <v>1.417</v>
      </c>
    </row>
    <row r="110" spans="9:39" x14ac:dyDescent="0.25">
      <c r="I110" s="115" t="s">
        <v>402</v>
      </c>
      <c r="J110" s="115" t="s">
        <v>114</v>
      </c>
      <c r="K110" s="115" t="s">
        <v>113</v>
      </c>
      <c r="L110" s="117">
        <f>VLOOKUP($I110,output!$A$9:$AI$2200,L$1-$L$1+2)</f>
        <v>0</v>
      </c>
      <c r="M110" s="117">
        <f>VLOOKUP($I110,output!$A$9:$AI$2200,M$1-$L$1+2)</f>
        <v>55.283000000000001</v>
      </c>
      <c r="N110" s="117">
        <f>VLOOKUP($I110,output!$A$9:$AI$2200,N$1-$L$1+2)</f>
        <v>67.358999999999995</v>
      </c>
      <c r="O110" s="117">
        <f>VLOOKUP($I110,output!$A$9:$AI$2200,O$1-$L$1+2)</f>
        <v>69.367000000000004</v>
      </c>
      <c r="P110" s="117">
        <f>VLOOKUP($I110,output!$A$9:$AI$2200,P$1-$L$1+2)</f>
        <v>60.515000000000001</v>
      </c>
      <c r="Q110" s="117">
        <f>VLOOKUP($I110,output!$A$9:$AI$2200,Q$1-$L$1+2)</f>
        <v>60.936</v>
      </c>
      <c r="R110" s="117">
        <f>VLOOKUP($I110,output!$A$9:$AI$2200,R$1-$L$1+2)</f>
        <v>61.384</v>
      </c>
      <c r="S110" s="117">
        <f>VLOOKUP($I110,output!$A$9:$AI$2200,S$1-$L$1+2)</f>
        <v>61.304000000000002</v>
      </c>
      <c r="T110" s="117">
        <f>VLOOKUP($I110,output!$A$9:$AI$2200,T$1-$L$1+2)</f>
        <v>53.185000000000002</v>
      </c>
      <c r="U110" s="117">
        <f>VLOOKUP($I110,output!$A$9:$AI$2200,U$1-$L$1+2)</f>
        <v>49.540999999999997</v>
      </c>
      <c r="V110" s="117">
        <f>VLOOKUP($I110,output!$A$9:$AI$2200,V$1-$L$1+2)</f>
        <v>42.877000000000002</v>
      </c>
      <c r="W110" s="117">
        <f>VLOOKUP($I110,output!$A$9:$AI$2200,W$1-$L$1+2)</f>
        <v>37.752000000000002</v>
      </c>
      <c r="X110" s="117">
        <f>VLOOKUP($I110,output!$A$9:$AI$2200,X$1-$L$1+2)</f>
        <v>33.853000000000002</v>
      </c>
      <c r="Y110" s="117">
        <f>VLOOKUP($I110,output!$A$9:$AI$2200,Y$1-$L$1+2)</f>
        <v>7.7430000000000003</v>
      </c>
      <c r="Z110" s="117">
        <f>VLOOKUP($I110,output!$A$9:$AI$2200,Z$1-$L$1+2)</f>
        <v>6.1959999999999997</v>
      </c>
      <c r="AA110" s="117">
        <f>VLOOKUP($I110,output!$A$9:$AI$2200,AA$1-$L$1+2)</f>
        <v>5.25</v>
      </c>
      <c r="AB110" s="117">
        <f>VLOOKUP($I110,output!$A$9:$AI$2200,AB$1-$L$1+2)</f>
        <v>3.528</v>
      </c>
      <c r="AC110" s="117">
        <f>VLOOKUP($I110,output!$A$9:$AI$2200,AC$1-$L$1+2)</f>
        <v>3.5030000000000001</v>
      </c>
      <c r="AD110" s="117">
        <f>VLOOKUP($I110,output!$A$9:$AI$2200,AD$1-$L$1+2)</f>
        <v>2.2530000000000001</v>
      </c>
      <c r="AE110" s="117">
        <f>VLOOKUP($I110,output!$A$9:$AI$2200,AE$1-$L$1+2)</f>
        <v>1.94</v>
      </c>
      <c r="AF110" s="117">
        <f>VLOOKUP($I110,output!$A$9:$AI$2200,AF$1-$L$1+2)</f>
        <v>1.448</v>
      </c>
      <c r="AG110" s="117">
        <f>VLOOKUP($I110,output!$A$9:$AI$2200,AG$1-$L$1+2)</f>
        <v>0.95199999999999996</v>
      </c>
      <c r="AH110" s="117">
        <f>VLOOKUP($I110,output!$A$9:$AI$2200,AH$1-$L$1+2)</f>
        <v>0.67100000000000004</v>
      </c>
      <c r="AI110" s="117">
        <f>VLOOKUP($I110,output!$A$9:$AI$2200,AI$1-$L$1+2)</f>
        <v>0.70799999999999996</v>
      </c>
      <c r="AJ110" s="117">
        <f>VLOOKUP($I110,output!$A$9:$AI$2200,AJ$1-$L$1+2)</f>
        <v>0.46600000000000003</v>
      </c>
      <c r="AK110" s="117">
        <f>VLOOKUP($I110,output!$A$9:$AI$2200,AK$1-$L$1+2)</f>
        <v>0.38300000000000001</v>
      </c>
      <c r="AL110" s="117">
        <f>VLOOKUP($I110,output!$A$9:$AI$2200,AL$1-$L$1+2)</f>
        <v>0.30399999999999999</v>
      </c>
      <c r="AM110" s="117">
        <f>VLOOKUP($I110,output!$A$9:$AI$2200,AM$1-$L$1+2)</f>
        <v>0.21199999999999999</v>
      </c>
    </row>
    <row r="111" spans="9:39" x14ac:dyDescent="0.25">
      <c r="I111" s="115" t="s">
        <v>403</v>
      </c>
      <c r="J111" s="115" t="s">
        <v>114</v>
      </c>
      <c r="K111" s="115" t="s">
        <v>114</v>
      </c>
      <c r="L111" s="117">
        <f>VLOOKUP($I111,output!$A$9:$AI$2200,L$1-$L$1+2)</f>
        <v>0</v>
      </c>
      <c r="M111" s="117">
        <f>VLOOKUP($I111,output!$A$9:$AI$2200,M$1-$L$1+2)</f>
        <v>139.458</v>
      </c>
      <c r="N111" s="117">
        <f>VLOOKUP($I111,output!$A$9:$AI$2200,N$1-$L$1+2)</f>
        <v>150.68700000000001</v>
      </c>
      <c r="O111" s="117">
        <f>VLOOKUP($I111,output!$A$9:$AI$2200,O$1-$L$1+2)</f>
        <v>144.22</v>
      </c>
      <c r="P111" s="117">
        <f>VLOOKUP($I111,output!$A$9:$AI$2200,P$1-$L$1+2)</f>
        <v>134.81299999999999</v>
      </c>
      <c r="Q111" s="117">
        <f>VLOOKUP($I111,output!$A$9:$AI$2200,Q$1-$L$1+2)</f>
        <v>129.52099999999999</v>
      </c>
      <c r="R111" s="117">
        <f>VLOOKUP($I111,output!$A$9:$AI$2200,R$1-$L$1+2)</f>
        <v>124.866</v>
      </c>
      <c r="S111" s="117">
        <f>VLOOKUP($I111,output!$A$9:$AI$2200,S$1-$L$1+2)</f>
        <v>120.70399999999999</v>
      </c>
      <c r="T111" s="117">
        <f>VLOOKUP($I111,output!$A$9:$AI$2200,T$1-$L$1+2)</f>
        <v>110.733</v>
      </c>
      <c r="U111" s="117">
        <f>VLOOKUP($I111,output!$A$9:$AI$2200,U$1-$L$1+2)</f>
        <v>98.992000000000004</v>
      </c>
      <c r="V111" s="117">
        <f>VLOOKUP($I111,output!$A$9:$AI$2200,V$1-$L$1+2)</f>
        <v>85.02</v>
      </c>
      <c r="W111" s="117">
        <f>VLOOKUP($I111,output!$A$9:$AI$2200,W$1-$L$1+2)</f>
        <v>73.201999999999998</v>
      </c>
      <c r="X111" s="117">
        <f>VLOOKUP($I111,output!$A$9:$AI$2200,X$1-$L$1+2)</f>
        <v>63.344000000000001</v>
      </c>
      <c r="Y111" s="117">
        <f>VLOOKUP($I111,output!$A$9:$AI$2200,Y$1-$L$1+2)</f>
        <v>54.686999999999998</v>
      </c>
      <c r="Z111" s="117">
        <f>VLOOKUP($I111,output!$A$9:$AI$2200,Z$1-$L$1+2)</f>
        <v>44.597999999999999</v>
      </c>
      <c r="AA111" s="117">
        <f>VLOOKUP($I111,output!$A$9:$AI$2200,AA$1-$L$1+2)</f>
        <v>37.152999999999999</v>
      </c>
      <c r="AB111" s="117">
        <f>VLOOKUP($I111,output!$A$9:$AI$2200,AB$1-$L$1+2)</f>
        <v>26.503</v>
      </c>
      <c r="AC111" s="117">
        <f>VLOOKUP($I111,output!$A$9:$AI$2200,AC$1-$L$1+2)</f>
        <v>23.643000000000001</v>
      </c>
      <c r="AD111" s="117">
        <f>VLOOKUP($I111,output!$A$9:$AI$2200,AD$1-$L$1+2)</f>
        <v>18.675000000000001</v>
      </c>
      <c r="AE111" s="117">
        <f>VLOOKUP($I111,output!$A$9:$AI$2200,AE$1-$L$1+2)</f>
        <v>15.891999999999999</v>
      </c>
      <c r="AF111" s="117">
        <f>VLOOKUP($I111,output!$A$9:$AI$2200,AF$1-$L$1+2)</f>
        <v>12.430999999999999</v>
      </c>
      <c r="AG111" s="117">
        <f>VLOOKUP($I111,output!$A$9:$AI$2200,AG$1-$L$1+2)</f>
        <v>13.318</v>
      </c>
      <c r="AH111" s="117">
        <f>VLOOKUP($I111,output!$A$9:$AI$2200,AH$1-$L$1+2)</f>
        <v>7.0010000000000003</v>
      </c>
      <c r="AI111" s="117">
        <f>VLOOKUP($I111,output!$A$9:$AI$2200,AI$1-$L$1+2)</f>
        <v>11.475</v>
      </c>
      <c r="AJ111" s="117">
        <f>VLOOKUP($I111,output!$A$9:$AI$2200,AJ$1-$L$1+2)</f>
        <v>7.5259999999999998</v>
      </c>
      <c r="AK111" s="117">
        <f>VLOOKUP($I111,output!$A$9:$AI$2200,AK$1-$L$1+2)</f>
        <v>8.68</v>
      </c>
      <c r="AL111" s="117">
        <f>VLOOKUP($I111,output!$A$9:$AI$2200,AL$1-$L$1+2)</f>
        <v>9.0540000000000003</v>
      </c>
      <c r="AM111" s="117">
        <f>VLOOKUP($I111,output!$A$9:$AI$2200,AM$1-$L$1+2)</f>
        <v>7.84</v>
      </c>
    </row>
    <row r="112" spans="9:39" x14ac:dyDescent="0.25">
      <c r="I112" s="115" t="s">
        <v>404</v>
      </c>
      <c r="J112" s="115" t="s">
        <v>114</v>
      </c>
      <c r="K112" s="115" t="s">
        <v>115</v>
      </c>
      <c r="L112" s="117">
        <f>VLOOKUP($I112,output!$A$9:$AI$2200,L$1-$L$1+2)</f>
        <v>0</v>
      </c>
      <c r="M112" s="117">
        <f>VLOOKUP($I112,output!$A$9:$AI$2200,M$1-$L$1+2)</f>
        <v>1.97</v>
      </c>
      <c r="N112" s="117">
        <f>VLOOKUP($I112,output!$A$9:$AI$2200,N$1-$L$1+2)</f>
        <v>2.823</v>
      </c>
      <c r="O112" s="117">
        <f>VLOOKUP($I112,output!$A$9:$AI$2200,O$1-$L$1+2)</f>
        <v>2.6619999999999999</v>
      </c>
      <c r="P112" s="117">
        <f>VLOOKUP($I112,output!$A$9:$AI$2200,P$1-$L$1+2)</f>
        <v>2.9609999999999999</v>
      </c>
      <c r="Q112" s="117">
        <f>VLOOKUP($I112,output!$A$9:$AI$2200,Q$1-$L$1+2)</f>
        <v>2.867</v>
      </c>
      <c r="R112" s="117">
        <f>VLOOKUP($I112,output!$A$9:$AI$2200,R$1-$L$1+2)</f>
        <v>2.7160000000000002</v>
      </c>
      <c r="S112" s="117">
        <f>VLOOKUP($I112,output!$A$9:$AI$2200,S$1-$L$1+2)</f>
        <v>2.6139999999999999</v>
      </c>
      <c r="T112" s="117">
        <f>VLOOKUP($I112,output!$A$9:$AI$2200,T$1-$L$1+2)</f>
        <v>2.649</v>
      </c>
      <c r="U112" s="117">
        <f>VLOOKUP($I112,output!$A$9:$AI$2200,U$1-$L$1+2)</f>
        <v>2.504</v>
      </c>
      <c r="V112" s="117">
        <f>VLOOKUP($I112,output!$A$9:$AI$2200,V$1-$L$1+2)</f>
        <v>2.4169999999999998</v>
      </c>
      <c r="W112" s="117">
        <f>VLOOKUP($I112,output!$A$9:$AI$2200,W$1-$L$1+2)</f>
        <v>2.3050000000000002</v>
      </c>
      <c r="X112" s="117">
        <f>VLOOKUP($I112,output!$A$9:$AI$2200,X$1-$L$1+2)</f>
        <v>2.2290000000000001</v>
      </c>
      <c r="Y112" s="117">
        <f>VLOOKUP($I112,output!$A$9:$AI$2200,Y$1-$L$1+2)</f>
        <v>6.0999999999999999E-2</v>
      </c>
      <c r="Z112" s="117">
        <f>VLOOKUP($I112,output!$A$9:$AI$2200,Z$1-$L$1+2)</f>
        <v>6.6000000000000003E-2</v>
      </c>
      <c r="AA112" s="117">
        <f>VLOOKUP($I112,output!$A$9:$AI$2200,AA$1-$L$1+2)</f>
        <v>6.7000000000000004E-2</v>
      </c>
      <c r="AB112" s="117">
        <f>VLOOKUP($I112,output!$A$9:$AI$2200,AB$1-$L$1+2)</f>
        <v>5.0999999999999997E-2</v>
      </c>
      <c r="AC112" s="117">
        <f>VLOOKUP($I112,output!$A$9:$AI$2200,AC$1-$L$1+2)</f>
        <v>6.5000000000000002E-2</v>
      </c>
      <c r="AD112" s="117">
        <f>VLOOKUP($I112,output!$A$9:$AI$2200,AD$1-$L$1+2)</f>
        <v>4.7E-2</v>
      </c>
      <c r="AE112" s="117">
        <f>VLOOKUP($I112,output!$A$9:$AI$2200,AE$1-$L$1+2)</f>
        <v>4.2999999999999997E-2</v>
      </c>
      <c r="AF112" s="117">
        <f>VLOOKUP($I112,output!$A$9:$AI$2200,AF$1-$L$1+2)</f>
        <v>3.2000000000000001E-2</v>
      </c>
      <c r="AG112" s="117">
        <f>VLOOKUP($I112,output!$A$9:$AI$2200,AG$1-$L$1+2)</f>
        <v>2.1999999999999999E-2</v>
      </c>
      <c r="AH112" s="117">
        <f>VLOOKUP($I112,output!$A$9:$AI$2200,AH$1-$L$1+2)</f>
        <v>1.4E-2</v>
      </c>
      <c r="AI112" s="117">
        <f>VLOOKUP($I112,output!$A$9:$AI$2200,AI$1-$L$1+2)</f>
        <v>1.7999999999999999E-2</v>
      </c>
      <c r="AJ112" s="117">
        <f>VLOOKUP($I112,output!$A$9:$AI$2200,AJ$1-$L$1+2)</f>
        <v>1.0999999999999999E-2</v>
      </c>
      <c r="AK112" s="117">
        <f>VLOOKUP($I112,output!$A$9:$AI$2200,AK$1-$L$1+2)</f>
        <v>0.01</v>
      </c>
      <c r="AL112" s="117">
        <f>VLOOKUP($I112,output!$A$9:$AI$2200,AL$1-$L$1+2)</f>
        <v>8.9999999999999993E-3</v>
      </c>
      <c r="AM112" s="117">
        <f>VLOOKUP($I112,output!$A$9:$AI$2200,AM$1-$L$1+2)</f>
        <v>7.0000000000000001E-3</v>
      </c>
    </row>
    <row r="113" spans="9:39" x14ac:dyDescent="0.25">
      <c r="I113" s="115" t="s">
        <v>405</v>
      </c>
      <c r="J113" s="115" t="s">
        <v>114</v>
      </c>
      <c r="K113" s="115" t="s">
        <v>116</v>
      </c>
      <c r="L113" s="117">
        <f>VLOOKUP($I113,output!$A$9:$AI$2200,L$1-$L$1+2)</f>
        <v>0</v>
      </c>
      <c r="M113" s="117">
        <f>VLOOKUP($I113,output!$A$9:$AI$2200,M$1-$L$1+2)</f>
        <v>0.437</v>
      </c>
      <c r="N113" s="117">
        <f>VLOOKUP($I113,output!$A$9:$AI$2200,N$1-$L$1+2)</f>
        <v>0.57299999999999995</v>
      </c>
      <c r="O113" s="117">
        <f>VLOOKUP($I113,output!$A$9:$AI$2200,O$1-$L$1+2)</f>
        <v>0.41399999999999998</v>
      </c>
      <c r="P113" s="117">
        <f>VLOOKUP($I113,output!$A$9:$AI$2200,P$1-$L$1+2)</f>
        <v>0.73299999999999998</v>
      </c>
      <c r="Q113" s="117">
        <f>VLOOKUP($I113,output!$A$9:$AI$2200,Q$1-$L$1+2)</f>
        <v>0.54200000000000004</v>
      </c>
      <c r="R113" s="117">
        <f>VLOOKUP($I113,output!$A$9:$AI$2200,R$1-$L$1+2)</f>
        <v>0.32600000000000001</v>
      </c>
      <c r="S113" s="117">
        <f>VLOOKUP($I113,output!$A$9:$AI$2200,S$1-$L$1+2)</f>
        <v>0.11600000000000001</v>
      </c>
      <c r="T113" s="117">
        <f>VLOOKUP($I113,output!$A$9:$AI$2200,T$1-$L$1+2)</f>
        <v>0.45300000000000001</v>
      </c>
      <c r="U113" s="117">
        <f>VLOOKUP($I113,output!$A$9:$AI$2200,U$1-$L$1+2)</f>
        <v>0.183</v>
      </c>
      <c r="V113" s="117">
        <f>VLOOKUP($I113,output!$A$9:$AI$2200,V$1-$L$1+2)</f>
        <v>0.23400000000000001</v>
      </c>
      <c r="W113" s="117">
        <f>VLOOKUP($I113,output!$A$9:$AI$2200,W$1-$L$1+2)</f>
        <v>0.28599999999999998</v>
      </c>
      <c r="X113" s="117">
        <f>VLOOKUP($I113,output!$A$9:$AI$2200,X$1-$L$1+2)</f>
        <v>0.34899999999999998</v>
      </c>
      <c r="Y113" s="117">
        <f>VLOOKUP($I113,output!$A$9:$AI$2200,Y$1-$L$1+2)</f>
        <v>0.37</v>
      </c>
      <c r="Z113" s="117">
        <f>VLOOKUP($I113,output!$A$9:$AI$2200,Z$1-$L$1+2)</f>
        <v>0.42499999999999999</v>
      </c>
      <c r="AA113" s="117">
        <f>VLOOKUP($I113,output!$A$9:$AI$2200,AA$1-$L$1+2)</f>
        <v>0.42799999999999999</v>
      </c>
      <c r="AB113" s="117">
        <f>VLOOKUP($I113,output!$A$9:$AI$2200,AB$1-$L$1+2)</f>
        <v>0.32300000000000001</v>
      </c>
      <c r="AC113" s="117">
        <f>VLOOKUP($I113,output!$A$9:$AI$2200,AC$1-$L$1+2)</f>
        <v>0.40799999999999997</v>
      </c>
      <c r="AD113" s="117">
        <f>VLOOKUP($I113,output!$A$9:$AI$2200,AD$1-$L$1+2)</f>
        <v>0.26100000000000001</v>
      </c>
      <c r="AE113" s="117">
        <f>VLOOKUP($I113,output!$A$9:$AI$2200,AE$1-$L$1+2)</f>
        <v>0.21099999999999999</v>
      </c>
      <c r="AF113" s="117">
        <f>VLOOKUP($I113,output!$A$9:$AI$2200,AF$1-$L$1+2)</f>
        <v>0.155</v>
      </c>
      <c r="AG113" s="117">
        <f>VLOOKUP($I113,output!$A$9:$AI$2200,AG$1-$L$1+2)</f>
        <v>0.1</v>
      </c>
      <c r="AH113" s="117">
        <f>VLOOKUP($I113,output!$A$9:$AI$2200,AH$1-$L$1+2)</f>
        <v>6.2E-2</v>
      </c>
      <c r="AI113" s="117">
        <f>VLOOKUP($I113,output!$A$9:$AI$2200,AI$1-$L$1+2)</f>
        <v>7.5999999999999998E-2</v>
      </c>
      <c r="AJ113" s="117">
        <f>VLOOKUP($I113,output!$A$9:$AI$2200,AJ$1-$L$1+2)</f>
        <v>4.5999999999999999E-2</v>
      </c>
      <c r="AK113" s="117">
        <f>VLOOKUP($I113,output!$A$9:$AI$2200,AK$1-$L$1+2)</f>
        <v>0.04</v>
      </c>
      <c r="AL113" s="117">
        <f>VLOOKUP($I113,output!$A$9:$AI$2200,AL$1-$L$1+2)</f>
        <v>3.5000000000000003E-2</v>
      </c>
      <c r="AM113" s="117">
        <f>VLOOKUP($I113,output!$A$9:$AI$2200,AM$1-$L$1+2)</f>
        <v>2.5999999999999999E-2</v>
      </c>
    </row>
    <row r="114" spans="9:39" x14ac:dyDescent="0.25">
      <c r="I114" s="36" t="s">
        <v>406</v>
      </c>
      <c r="J114" s="36" t="s">
        <v>115</v>
      </c>
      <c r="K114" s="36" t="s">
        <v>111</v>
      </c>
      <c r="L114" s="67">
        <f>VLOOKUP($I114,output!$A$9:$AI$2200,L$1-$L$1+2)</f>
        <v>0</v>
      </c>
      <c r="M114" s="67">
        <f>VLOOKUP($I114,output!$A$9:$AI$2200,M$1-$L$1+2)</f>
        <v>0</v>
      </c>
      <c r="N114" s="67">
        <f>VLOOKUP($I114,output!$A$9:$AI$2200,N$1-$L$1+2)</f>
        <v>0</v>
      </c>
      <c r="O114" s="67">
        <f>VLOOKUP($I114,output!$A$9:$AI$2200,O$1-$L$1+2)</f>
        <v>0</v>
      </c>
      <c r="P114" s="67">
        <f>VLOOKUP($I114,output!$A$9:$AI$2200,P$1-$L$1+2)</f>
        <v>0</v>
      </c>
      <c r="Q114" s="67">
        <f>VLOOKUP($I114,output!$A$9:$AI$2200,Q$1-$L$1+2)</f>
        <v>0</v>
      </c>
      <c r="R114" s="67">
        <f>VLOOKUP($I114,output!$A$9:$AI$2200,R$1-$L$1+2)</f>
        <v>0</v>
      </c>
      <c r="S114" s="67">
        <f>VLOOKUP($I114,output!$A$9:$AI$2200,S$1-$L$1+2)</f>
        <v>0</v>
      </c>
      <c r="T114" s="67">
        <f>VLOOKUP($I114,output!$A$9:$AI$2200,T$1-$L$1+2)</f>
        <v>0</v>
      </c>
      <c r="U114" s="67">
        <f>VLOOKUP($I114,output!$A$9:$AI$2200,U$1-$L$1+2)</f>
        <v>0</v>
      </c>
      <c r="V114" s="67">
        <f>VLOOKUP($I114,output!$A$9:$AI$2200,V$1-$L$1+2)</f>
        <v>0</v>
      </c>
      <c r="W114" s="67">
        <f>VLOOKUP($I114,output!$A$9:$AI$2200,W$1-$L$1+2)</f>
        <v>0</v>
      </c>
      <c r="X114" s="67">
        <f>VLOOKUP($I114,output!$A$9:$AI$2200,X$1-$L$1+2)</f>
        <v>0</v>
      </c>
      <c r="Y114" s="67">
        <f>VLOOKUP($I114,output!$A$9:$AI$2200,Y$1-$L$1+2)</f>
        <v>0</v>
      </c>
      <c r="Z114" s="67">
        <f>VLOOKUP($I114,output!$A$9:$AI$2200,Z$1-$L$1+2)</f>
        <v>0</v>
      </c>
      <c r="AA114" s="67">
        <f>VLOOKUP($I114,output!$A$9:$AI$2200,AA$1-$L$1+2)</f>
        <v>0</v>
      </c>
      <c r="AB114" s="67">
        <f>VLOOKUP($I114,output!$A$9:$AI$2200,AB$1-$L$1+2)</f>
        <v>0</v>
      </c>
      <c r="AC114" s="67">
        <f>VLOOKUP($I114,output!$A$9:$AI$2200,AC$1-$L$1+2)</f>
        <v>0</v>
      </c>
      <c r="AD114" s="67">
        <f>VLOOKUP($I114,output!$A$9:$AI$2200,AD$1-$L$1+2)</f>
        <v>0</v>
      </c>
      <c r="AE114" s="67">
        <f>VLOOKUP($I114,output!$A$9:$AI$2200,AE$1-$L$1+2)</f>
        <v>0</v>
      </c>
      <c r="AF114" s="67">
        <f>VLOOKUP($I114,output!$A$9:$AI$2200,AF$1-$L$1+2)</f>
        <v>0</v>
      </c>
      <c r="AG114" s="67">
        <f>VLOOKUP($I114,output!$A$9:$AI$2200,AG$1-$L$1+2)</f>
        <v>0</v>
      </c>
      <c r="AH114" s="67">
        <f>VLOOKUP($I114,output!$A$9:$AI$2200,AH$1-$L$1+2)</f>
        <v>0</v>
      </c>
      <c r="AI114" s="67">
        <f>VLOOKUP($I114,output!$A$9:$AI$2200,AI$1-$L$1+2)</f>
        <v>0</v>
      </c>
      <c r="AJ114" s="67">
        <f>VLOOKUP($I114,output!$A$9:$AI$2200,AJ$1-$L$1+2)</f>
        <v>0</v>
      </c>
      <c r="AK114" s="67">
        <f>VLOOKUP($I114,output!$A$9:$AI$2200,AK$1-$L$1+2)</f>
        <v>0</v>
      </c>
      <c r="AL114" s="67">
        <f>VLOOKUP($I114,output!$A$9:$AI$2200,AL$1-$L$1+2)</f>
        <v>0</v>
      </c>
      <c r="AM114" s="67">
        <f>VLOOKUP($I114,output!$A$9:$AI$2200,AM$1-$L$1+2)</f>
        <v>0</v>
      </c>
    </row>
    <row r="115" spans="9:39" x14ac:dyDescent="0.25">
      <c r="I115" s="36" t="s">
        <v>407</v>
      </c>
      <c r="J115" s="36" t="s">
        <v>115</v>
      </c>
      <c r="K115" s="36" t="s">
        <v>112</v>
      </c>
      <c r="L115" s="67">
        <f>VLOOKUP($I115,output!$A$9:$AI$2200,L$1-$L$1+2)</f>
        <v>0</v>
      </c>
      <c r="M115" s="67">
        <f>VLOOKUP($I115,output!$A$9:$AI$2200,M$1-$L$1+2)</f>
        <v>76.981999999999999</v>
      </c>
      <c r="N115" s="67">
        <f>VLOOKUP($I115,output!$A$9:$AI$2200,N$1-$L$1+2)</f>
        <v>69.676000000000002</v>
      </c>
      <c r="O115" s="67">
        <f>VLOOKUP($I115,output!$A$9:$AI$2200,O$1-$L$1+2)</f>
        <v>65.052000000000007</v>
      </c>
      <c r="P115" s="67">
        <f>VLOOKUP($I115,output!$A$9:$AI$2200,P$1-$L$1+2)</f>
        <v>63.951999999999998</v>
      </c>
      <c r="Q115" s="67">
        <f>VLOOKUP($I115,output!$A$9:$AI$2200,Q$1-$L$1+2)</f>
        <v>58.610999999999997</v>
      </c>
      <c r="R115" s="67">
        <f>VLOOKUP($I115,output!$A$9:$AI$2200,R$1-$L$1+2)</f>
        <v>53.890999999999998</v>
      </c>
      <c r="S115" s="67">
        <f>VLOOKUP($I115,output!$A$9:$AI$2200,S$1-$L$1+2)</f>
        <v>49.813000000000002</v>
      </c>
      <c r="T115" s="67">
        <f>VLOOKUP($I115,output!$A$9:$AI$2200,T$1-$L$1+2)</f>
        <v>50.610999999999997</v>
      </c>
      <c r="U115" s="67">
        <f>VLOOKUP($I115,output!$A$9:$AI$2200,U$1-$L$1+2)</f>
        <v>44.999000000000002</v>
      </c>
      <c r="V115" s="67">
        <f>VLOOKUP($I115,output!$A$9:$AI$2200,V$1-$L$1+2)</f>
        <v>43.128999999999998</v>
      </c>
      <c r="W115" s="67">
        <f>VLOOKUP($I115,output!$A$9:$AI$2200,W$1-$L$1+2)</f>
        <v>41.456000000000003</v>
      </c>
      <c r="X115" s="67">
        <f>VLOOKUP($I115,output!$A$9:$AI$2200,X$1-$L$1+2)</f>
        <v>39.710999999999999</v>
      </c>
      <c r="Y115" s="67">
        <f>VLOOKUP($I115,output!$A$9:$AI$2200,Y$1-$L$1+2)</f>
        <v>31.016999999999999</v>
      </c>
      <c r="Z115" s="67">
        <f>VLOOKUP($I115,output!$A$9:$AI$2200,Z$1-$L$1+2)</f>
        <v>29.158000000000001</v>
      </c>
      <c r="AA115" s="67">
        <f>VLOOKUP($I115,output!$A$9:$AI$2200,AA$1-$L$1+2)</f>
        <v>27.035</v>
      </c>
      <c r="AB115" s="67">
        <f>VLOOKUP($I115,output!$A$9:$AI$2200,AB$1-$L$1+2)</f>
        <v>24.887</v>
      </c>
      <c r="AC115" s="67">
        <f>VLOOKUP($I115,output!$A$9:$AI$2200,AC$1-$L$1+2)</f>
        <v>22.611999999999998</v>
      </c>
      <c r="AD115" s="67">
        <f>VLOOKUP($I115,output!$A$9:$AI$2200,AD$1-$L$1+2)</f>
        <v>19.972000000000001</v>
      </c>
      <c r="AE115" s="67">
        <f>VLOOKUP($I115,output!$A$9:$AI$2200,AE$1-$L$1+2)</f>
        <v>17.600999999999999</v>
      </c>
      <c r="AF115" s="67">
        <f>VLOOKUP($I115,output!$A$9:$AI$2200,AF$1-$L$1+2)</f>
        <v>15.307</v>
      </c>
      <c r="AG115" s="67">
        <f>VLOOKUP($I115,output!$A$9:$AI$2200,AG$1-$L$1+2)</f>
        <v>3.323</v>
      </c>
      <c r="AH115" s="67">
        <f>VLOOKUP($I115,output!$A$9:$AI$2200,AH$1-$L$1+2)</f>
        <v>4.3499999999999996</v>
      </c>
      <c r="AI115" s="67">
        <f>VLOOKUP($I115,output!$A$9:$AI$2200,AI$1-$L$1+2)</f>
        <v>3.1</v>
      </c>
      <c r="AJ115" s="67">
        <f>VLOOKUP($I115,output!$A$9:$AI$2200,AJ$1-$L$1+2)</f>
        <v>2.786</v>
      </c>
      <c r="AK115" s="67">
        <f>VLOOKUP($I115,output!$A$9:$AI$2200,AK$1-$L$1+2)</f>
        <v>1.9550000000000001</v>
      </c>
      <c r="AL115" s="67">
        <f>VLOOKUP($I115,output!$A$9:$AI$2200,AL$1-$L$1+2)</f>
        <v>1.2549999999999999</v>
      </c>
      <c r="AM115" s="67">
        <f>VLOOKUP($I115,output!$A$9:$AI$2200,AM$1-$L$1+2)</f>
        <v>0.70799999999999996</v>
      </c>
    </row>
    <row r="116" spans="9:39" x14ac:dyDescent="0.25">
      <c r="I116" s="36" t="s">
        <v>408</v>
      </c>
      <c r="J116" s="36" t="s">
        <v>115</v>
      </c>
      <c r="K116" s="36" t="s">
        <v>113</v>
      </c>
      <c r="L116" s="67">
        <f>VLOOKUP($I116,output!$A$9:$AI$2200,L$1-$L$1+2)</f>
        <v>0</v>
      </c>
      <c r="M116" s="67">
        <f>VLOOKUP($I116,output!$A$9:$AI$2200,M$1-$L$1+2)</f>
        <v>43.173000000000002</v>
      </c>
      <c r="N116" s="67">
        <f>VLOOKUP($I116,output!$A$9:$AI$2200,N$1-$L$1+2)</f>
        <v>31.93</v>
      </c>
      <c r="O116" s="67">
        <f>VLOOKUP($I116,output!$A$9:$AI$2200,O$1-$L$1+2)</f>
        <v>35.764000000000003</v>
      </c>
      <c r="P116" s="67">
        <f>VLOOKUP($I116,output!$A$9:$AI$2200,P$1-$L$1+2)</f>
        <v>37.317</v>
      </c>
      <c r="Q116" s="67">
        <f>VLOOKUP($I116,output!$A$9:$AI$2200,Q$1-$L$1+2)</f>
        <v>38.173000000000002</v>
      </c>
      <c r="R116" s="67">
        <f>VLOOKUP($I116,output!$A$9:$AI$2200,R$1-$L$1+2)</f>
        <v>39.365000000000002</v>
      </c>
      <c r="S116" s="67">
        <f>VLOOKUP($I116,output!$A$9:$AI$2200,S$1-$L$1+2)</f>
        <v>40.051000000000002</v>
      </c>
      <c r="T116" s="67">
        <f>VLOOKUP($I116,output!$A$9:$AI$2200,T$1-$L$1+2)</f>
        <v>35.670999999999999</v>
      </c>
      <c r="U116" s="67">
        <f>VLOOKUP($I116,output!$A$9:$AI$2200,U$1-$L$1+2)</f>
        <v>35.006</v>
      </c>
      <c r="V116" s="67">
        <f>VLOOKUP($I116,output!$A$9:$AI$2200,V$1-$L$1+2)</f>
        <v>32.042999999999999</v>
      </c>
      <c r="W116" s="67">
        <f>VLOOKUP($I116,output!$A$9:$AI$2200,W$1-$L$1+2)</f>
        <v>28.914999999999999</v>
      </c>
      <c r="X116" s="67">
        <f>VLOOKUP($I116,output!$A$9:$AI$2200,X$1-$L$1+2)</f>
        <v>25.914000000000001</v>
      </c>
      <c r="Y116" s="67">
        <f>VLOOKUP($I116,output!$A$9:$AI$2200,Y$1-$L$1+2)</f>
        <v>20.818999999999999</v>
      </c>
      <c r="Z116" s="67">
        <f>VLOOKUP($I116,output!$A$9:$AI$2200,Z$1-$L$1+2)</f>
        <v>18.074999999999999</v>
      </c>
      <c r="AA116" s="67">
        <f>VLOOKUP($I116,output!$A$9:$AI$2200,AA$1-$L$1+2)</f>
        <v>15.705</v>
      </c>
      <c r="AB116" s="67">
        <f>VLOOKUP($I116,output!$A$9:$AI$2200,AB$1-$L$1+2)</f>
        <v>10.737</v>
      </c>
      <c r="AC116" s="67">
        <f>VLOOKUP($I116,output!$A$9:$AI$2200,AC$1-$L$1+2)</f>
        <v>11.276</v>
      </c>
      <c r="AD116" s="67">
        <f>VLOOKUP($I116,output!$A$9:$AI$2200,AD$1-$L$1+2)</f>
        <v>5.633</v>
      </c>
      <c r="AE116" s="67">
        <f>VLOOKUP($I116,output!$A$9:$AI$2200,AE$1-$L$1+2)</f>
        <v>4.9290000000000003</v>
      </c>
      <c r="AF116" s="67">
        <f>VLOOKUP($I116,output!$A$9:$AI$2200,AF$1-$L$1+2)</f>
        <v>3.7120000000000002</v>
      </c>
      <c r="AG116" s="67">
        <f>VLOOKUP($I116,output!$A$9:$AI$2200,AG$1-$L$1+2)</f>
        <v>2.2610000000000001</v>
      </c>
      <c r="AH116" s="67">
        <f>VLOOKUP($I116,output!$A$9:$AI$2200,AH$1-$L$1+2)</f>
        <v>1.58</v>
      </c>
      <c r="AI116" s="67">
        <f>VLOOKUP($I116,output!$A$9:$AI$2200,AI$1-$L$1+2)</f>
        <v>1.7749999999999999</v>
      </c>
      <c r="AJ116" s="67">
        <f>VLOOKUP($I116,output!$A$9:$AI$2200,AJ$1-$L$1+2)</f>
        <v>1.1419999999999999</v>
      </c>
      <c r="AK116" s="67">
        <f>VLOOKUP($I116,output!$A$9:$AI$2200,AK$1-$L$1+2)</f>
        <v>0.96799999999999997</v>
      </c>
      <c r="AL116" s="67">
        <f>VLOOKUP($I116,output!$A$9:$AI$2200,AL$1-$L$1+2)</f>
        <v>0.79700000000000004</v>
      </c>
      <c r="AM116" s="67">
        <f>VLOOKUP($I116,output!$A$9:$AI$2200,AM$1-$L$1+2)</f>
        <v>0.58099999999999996</v>
      </c>
    </row>
    <row r="117" spans="9:39" x14ac:dyDescent="0.25">
      <c r="I117" s="115" t="s">
        <v>409</v>
      </c>
      <c r="J117" s="115" t="s">
        <v>115</v>
      </c>
      <c r="K117" s="115" t="s">
        <v>114</v>
      </c>
      <c r="L117" s="117">
        <f>VLOOKUP($I117,output!$A$9:$AI$2200,L$1-$L$1+2)</f>
        <v>0</v>
      </c>
      <c r="M117" s="117">
        <f>VLOOKUP($I117,output!$A$9:$AI$2200,M$1-$L$1+2)</f>
        <v>13.519</v>
      </c>
      <c r="N117" s="117">
        <f>VLOOKUP($I117,output!$A$9:$AI$2200,N$1-$L$1+2)</f>
        <v>14.832000000000001</v>
      </c>
      <c r="O117" s="117">
        <f>VLOOKUP($I117,output!$A$9:$AI$2200,O$1-$L$1+2)</f>
        <v>15.215</v>
      </c>
      <c r="P117" s="117">
        <f>VLOOKUP($I117,output!$A$9:$AI$2200,P$1-$L$1+2)</f>
        <v>12.101000000000001</v>
      </c>
      <c r="Q117" s="117">
        <f>VLOOKUP($I117,output!$A$9:$AI$2200,Q$1-$L$1+2)</f>
        <v>11.775</v>
      </c>
      <c r="R117" s="117">
        <f>VLOOKUP($I117,output!$A$9:$AI$2200,R$1-$L$1+2)</f>
        <v>11.856</v>
      </c>
      <c r="S117" s="117">
        <f>VLOOKUP($I117,output!$A$9:$AI$2200,S$1-$L$1+2)</f>
        <v>12.068</v>
      </c>
      <c r="T117" s="117">
        <f>VLOOKUP($I117,output!$A$9:$AI$2200,T$1-$L$1+2)</f>
        <v>9.0739999999999998</v>
      </c>
      <c r="U117" s="117">
        <f>VLOOKUP($I117,output!$A$9:$AI$2200,U$1-$L$1+2)</f>
        <v>9.3330000000000002</v>
      </c>
      <c r="V117" s="117">
        <f>VLOOKUP($I117,output!$A$9:$AI$2200,V$1-$L$1+2)</f>
        <v>7.9320000000000004</v>
      </c>
      <c r="W117" s="117">
        <f>VLOOKUP($I117,output!$A$9:$AI$2200,W$1-$L$1+2)</f>
        <v>6.5380000000000003</v>
      </c>
      <c r="X117" s="117">
        <f>VLOOKUP($I117,output!$A$9:$AI$2200,X$1-$L$1+2)</f>
        <v>5.3209999999999997</v>
      </c>
      <c r="Y117" s="117">
        <f>VLOOKUP($I117,output!$A$9:$AI$2200,Y$1-$L$1+2)</f>
        <v>8.6999999999999994E-2</v>
      </c>
      <c r="Z117" s="117">
        <f>VLOOKUP($I117,output!$A$9:$AI$2200,Z$1-$L$1+2)</f>
        <v>8.4000000000000005E-2</v>
      </c>
      <c r="AA117" s="117">
        <f>VLOOKUP($I117,output!$A$9:$AI$2200,AA$1-$L$1+2)</f>
        <v>7.9000000000000001E-2</v>
      </c>
      <c r="AB117" s="117">
        <f>VLOOKUP($I117,output!$A$9:$AI$2200,AB$1-$L$1+2)</f>
        <v>5.6000000000000001E-2</v>
      </c>
      <c r="AC117" s="117">
        <f>VLOOKUP($I117,output!$A$9:$AI$2200,AC$1-$L$1+2)</f>
        <v>6.5000000000000002E-2</v>
      </c>
      <c r="AD117" s="117">
        <f>VLOOKUP($I117,output!$A$9:$AI$2200,AD$1-$L$1+2)</f>
        <v>3.4000000000000002E-2</v>
      </c>
      <c r="AE117" s="117">
        <f>VLOOKUP($I117,output!$A$9:$AI$2200,AE$1-$L$1+2)</f>
        <v>3.1E-2</v>
      </c>
      <c r="AF117" s="117">
        <f>VLOOKUP($I117,output!$A$9:$AI$2200,AF$1-$L$1+2)</f>
        <v>2.3E-2</v>
      </c>
      <c r="AG117" s="117">
        <f>VLOOKUP($I117,output!$A$9:$AI$2200,AG$1-$L$1+2)</f>
        <v>1.7000000000000001E-2</v>
      </c>
      <c r="AH117" s="117">
        <f>VLOOKUP($I117,output!$A$9:$AI$2200,AH$1-$L$1+2)</f>
        <v>1.0999999999999999E-2</v>
      </c>
      <c r="AI117" s="117">
        <f>VLOOKUP($I117,output!$A$9:$AI$2200,AI$1-$L$1+2)</f>
        <v>1.4E-2</v>
      </c>
      <c r="AJ117" s="117">
        <f>VLOOKUP($I117,output!$A$9:$AI$2200,AJ$1-$L$1+2)</f>
        <v>8.9999999999999993E-3</v>
      </c>
      <c r="AK117" s="117">
        <f>VLOOKUP($I117,output!$A$9:$AI$2200,AK$1-$L$1+2)</f>
        <v>8.0000000000000002E-3</v>
      </c>
      <c r="AL117" s="117">
        <f>VLOOKUP($I117,output!$A$9:$AI$2200,AL$1-$L$1+2)</f>
        <v>7.0000000000000001E-3</v>
      </c>
      <c r="AM117" s="117">
        <f>VLOOKUP($I117,output!$A$9:$AI$2200,AM$1-$L$1+2)</f>
        <v>5.0000000000000001E-3</v>
      </c>
    </row>
    <row r="118" spans="9:39" x14ac:dyDescent="0.25">
      <c r="I118" s="115" t="s">
        <v>410</v>
      </c>
      <c r="J118" s="115" t="s">
        <v>115</v>
      </c>
      <c r="K118" s="115" t="s">
        <v>115</v>
      </c>
      <c r="L118" s="117">
        <f>VLOOKUP($I118,output!$A$9:$AI$2200,L$1-$L$1+2)</f>
        <v>0</v>
      </c>
      <c r="M118" s="117">
        <f>VLOOKUP($I118,output!$A$9:$AI$2200,M$1-$L$1+2)</f>
        <v>32.359000000000002</v>
      </c>
      <c r="N118" s="117">
        <f>VLOOKUP($I118,output!$A$9:$AI$2200,N$1-$L$1+2)</f>
        <v>45.906999999999996</v>
      </c>
      <c r="O118" s="117">
        <f>VLOOKUP($I118,output!$A$9:$AI$2200,O$1-$L$1+2)</f>
        <v>42.408999999999999</v>
      </c>
      <c r="P118" s="117">
        <f>VLOOKUP($I118,output!$A$9:$AI$2200,P$1-$L$1+2)</f>
        <v>35.186</v>
      </c>
      <c r="Q118" s="117">
        <f>VLOOKUP($I118,output!$A$9:$AI$2200,Q$1-$L$1+2)</f>
        <v>31.728000000000002</v>
      </c>
      <c r="R118" s="117">
        <f>VLOOKUP($I118,output!$A$9:$AI$2200,R$1-$L$1+2)</f>
        <v>28.925000000000001</v>
      </c>
      <c r="S118" s="117">
        <f>VLOOKUP($I118,output!$A$9:$AI$2200,S$1-$L$1+2)</f>
        <v>26.652000000000001</v>
      </c>
      <c r="T118" s="117">
        <f>VLOOKUP($I118,output!$A$9:$AI$2200,T$1-$L$1+2)</f>
        <v>24.248000000000001</v>
      </c>
      <c r="U118" s="117">
        <f>VLOOKUP($I118,output!$A$9:$AI$2200,U$1-$L$1+2)</f>
        <v>21.309000000000001</v>
      </c>
      <c r="V118" s="117">
        <f>VLOOKUP($I118,output!$A$9:$AI$2200,V$1-$L$1+2)</f>
        <v>19.260999999999999</v>
      </c>
      <c r="W118" s="117">
        <f>VLOOKUP($I118,output!$A$9:$AI$2200,W$1-$L$1+2)</f>
        <v>17.475999999999999</v>
      </c>
      <c r="X118" s="117">
        <f>VLOOKUP($I118,output!$A$9:$AI$2200,X$1-$L$1+2)</f>
        <v>15.827999999999999</v>
      </c>
      <c r="Y118" s="117">
        <f>VLOOKUP($I118,output!$A$9:$AI$2200,Y$1-$L$1+2)</f>
        <v>14.351000000000001</v>
      </c>
      <c r="Z118" s="117">
        <f>VLOOKUP($I118,output!$A$9:$AI$2200,Z$1-$L$1+2)</f>
        <v>13.082000000000001</v>
      </c>
      <c r="AA118" s="117">
        <f>VLOOKUP($I118,output!$A$9:$AI$2200,AA$1-$L$1+2)</f>
        <v>11.878</v>
      </c>
      <c r="AB118" s="117">
        <f>VLOOKUP($I118,output!$A$9:$AI$2200,AB$1-$L$1+2)</f>
        <v>10.25</v>
      </c>
      <c r="AC118" s="117">
        <f>VLOOKUP($I118,output!$A$9:$AI$2200,AC$1-$L$1+2)</f>
        <v>9.5739999999999998</v>
      </c>
      <c r="AD118" s="117">
        <f>VLOOKUP($I118,output!$A$9:$AI$2200,AD$1-$L$1+2)</f>
        <v>8.2110000000000003</v>
      </c>
      <c r="AE118" s="117">
        <f>VLOOKUP($I118,output!$A$9:$AI$2200,AE$1-$L$1+2)</f>
        <v>7.2709999999999999</v>
      </c>
      <c r="AF118" s="117">
        <f>VLOOKUP($I118,output!$A$9:$AI$2200,AF$1-$L$1+2)</f>
        <v>6.2649999999999997</v>
      </c>
      <c r="AG118" s="117">
        <f>VLOOKUP($I118,output!$A$9:$AI$2200,AG$1-$L$1+2)</f>
        <v>4.2450000000000001</v>
      </c>
      <c r="AH118" s="117">
        <f>VLOOKUP($I118,output!$A$9:$AI$2200,AH$1-$L$1+2)</f>
        <v>3.6190000000000002</v>
      </c>
      <c r="AI118" s="117">
        <f>VLOOKUP($I118,output!$A$9:$AI$2200,AI$1-$L$1+2)</f>
        <v>3.085</v>
      </c>
      <c r="AJ118" s="117">
        <f>VLOOKUP($I118,output!$A$9:$AI$2200,AJ$1-$L$1+2)</f>
        <v>2.5819999999999999</v>
      </c>
      <c r="AK118" s="117">
        <f>VLOOKUP($I118,output!$A$9:$AI$2200,AK$1-$L$1+2)</f>
        <v>2.0739999999999998</v>
      </c>
      <c r="AL118" s="117">
        <f>VLOOKUP($I118,output!$A$9:$AI$2200,AL$1-$L$1+2)</f>
        <v>1.599</v>
      </c>
      <c r="AM118" s="117">
        <f>VLOOKUP($I118,output!$A$9:$AI$2200,AM$1-$L$1+2)</f>
        <v>1.113</v>
      </c>
    </row>
    <row r="119" spans="9:39" x14ac:dyDescent="0.25">
      <c r="I119" s="115" t="s">
        <v>411</v>
      </c>
      <c r="J119" s="115" t="s">
        <v>115</v>
      </c>
      <c r="K119" s="115" t="s">
        <v>116</v>
      </c>
      <c r="L119" s="117">
        <f>VLOOKUP($I119,output!$A$9:$AI$2200,L$1-$L$1+2)</f>
        <v>0</v>
      </c>
      <c r="M119" s="117">
        <f>VLOOKUP($I119,output!$A$9:$AI$2200,M$1-$L$1+2)</f>
        <v>0.314</v>
      </c>
      <c r="N119" s="117">
        <f>VLOOKUP($I119,output!$A$9:$AI$2200,N$1-$L$1+2)</f>
        <v>0.441</v>
      </c>
      <c r="O119" s="117">
        <f>VLOOKUP($I119,output!$A$9:$AI$2200,O$1-$L$1+2)</f>
        <v>0.35699999999999998</v>
      </c>
      <c r="P119" s="117">
        <f>VLOOKUP($I119,output!$A$9:$AI$2200,P$1-$L$1+2)</f>
        <v>0.40400000000000003</v>
      </c>
      <c r="Q119" s="117">
        <f>VLOOKUP($I119,output!$A$9:$AI$2200,Q$1-$L$1+2)</f>
        <v>0.32500000000000001</v>
      </c>
      <c r="R119" s="117">
        <f>VLOOKUP($I119,output!$A$9:$AI$2200,R$1-$L$1+2)</f>
        <v>0.25600000000000001</v>
      </c>
      <c r="S119" s="117">
        <f>VLOOKUP($I119,output!$A$9:$AI$2200,S$1-$L$1+2)</f>
        <v>0.20200000000000001</v>
      </c>
      <c r="T119" s="117">
        <f>VLOOKUP($I119,output!$A$9:$AI$2200,T$1-$L$1+2)</f>
        <v>0.26200000000000001</v>
      </c>
      <c r="U119" s="117">
        <f>VLOOKUP($I119,output!$A$9:$AI$2200,U$1-$L$1+2)</f>
        <v>0.20899999999999999</v>
      </c>
      <c r="V119" s="117">
        <f>VLOOKUP($I119,output!$A$9:$AI$2200,V$1-$L$1+2)</f>
        <v>0.216</v>
      </c>
      <c r="W119" s="117">
        <f>VLOOKUP($I119,output!$A$9:$AI$2200,W$1-$L$1+2)</f>
        <v>0.222</v>
      </c>
      <c r="X119" s="117">
        <f>VLOOKUP($I119,output!$A$9:$AI$2200,X$1-$L$1+2)</f>
        <v>0.224</v>
      </c>
      <c r="Y119" s="117">
        <f>VLOOKUP($I119,output!$A$9:$AI$2200,Y$1-$L$1+2)</f>
        <v>0.13200000000000001</v>
      </c>
      <c r="Z119" s="117">
        <f>VLOOKUP($I119,output!$A$9:$AI$2200,Z$1-$L$1+2)</f>
        <v>0.125</v>
      </c>
      <c r="AA119" s="117">
        <f>VLOOKUP($I119,output!$A$9:$AI$2200,AA$1-$L$1+2)</f>
        <v>0.11799999999999999</v>
      </c>
      <c r="AB119" s="117">
        <f>VLOOKUP($I119,output!$A$9:$AI$2200,AB$1-$L$1+2)</f>
        <v>8.5000000000000006E-2</v>
      </c>
      <c r="AC119" s="117">
        <f>VLOOKUP($I119,output!$A$9:$AI$2200,AC$1-$L$1+2)</f>
        <v>9.8000000000000004E-2</v>
      </c>
      <c r="AD119" s="117">
        <f>VLOOKUP($I119,output!$A$9:$AI$2200,AD$1-$L$1+2)</f>
        <v>7.0999999999999994E-2</v>
      </c>
      <c r="AE119" s="117">
        <f>VLOOKUP($I119,output!$A$9:$AI$2200,AE$1-$L$1+2)</f>
        <v>6.2E-2</v>
      </c>
      <c r="AF119" s="117">
        <f>VLOOKUP($I119,output!$A$9:$AI$2200,AF$1-$L$1+2)</f>
        <v>4.4999999999999998E-2</v>
      </c>
      <c r="AG119" s="117">
        <f>VLOOKUP($I119,output!$A$9:$AI$2200,AG$1-$L$1+2)</f>
        <v>0.03</v>
      </c>
      <c r="AH119" s="117">
        <f>VLOOKUP($I119,output!$A$9:$AI$2200,AH$1-$L$1+2)</f>
        <v>1.9E-2</v>
      </c>
      <c r="AI119" s="117">
        <f>VLOOKUP($I119,output!$A$9:$AI$2200,AI$1-$L$1+2)</f>
        <v>2.3E-2</v>
      </c>
      <c r="AJ119" s="117">
        <f>VLOOKUP($I119,output!$A$9:$AI$2200,AJ$1-$L$1+2)</f>
        <v>1.4E-2</v>
      </c>
      <c r="AK119" s="117">
        <f>VLOOKUP($I119,output!$A$9:$AI$2200,AK$1-$L$1+2)</f>
        <v>1.2E-2</v>
      </c>
      <c r="AL119" s="117">
        <f>VLOOKUP($I119,output!$A$9:$AI$2200,AL$1-$L$1+2)</f>
        <v>8.9999999999999993E-3</v>
      </c>
      <c r="AM119" s="117">
        <f>VLOOKUP($I119,output!$A$9:$AI$2200,AM$1-$L$1+2)</f>
        <v>7.0000000000000001E-3</v>
      </c>
    </row>
    <row r="120" spans="9:39" x14ac:dyDescent="0.25">
      <c r="I120" s="36" t="s">
        <v>412</v>
      </c>
      <c r="J120" s="36" t="s">
        <v>116</v>
      </c>
      <c r="K120" s="36" t="s">
        <v>112</v>
      </c>
      <c r="L120" s="67">
        <f>VLOOKUP($I120,output!$A$9:$AI$2200,L$1-$L$1+2)</f>
        <v>0</v>
      </c>
      <c r="M120" s="67">
        <f>VLOOKUP($I120,output!$A$9:$AI$2200,M$1-$L$1+2)</f>
        <v>12.967000000000001</v>
      </c>
      <c r="N120" s="67">
        <f>VLOOKUP($I120,output!$A$9:$AI$2200,N$1-$L$1+2)</f>
        <v>11.289</v>
      </c>
      <c r="O120" s="67">
        <f>VLOOKUP($I120,output!$A$9:$AI$2200,O$1-$L$1+2)</f>
        <v>7.5730000000000004</v>
      </c>
      <c r="P120" s="67">
        <f>VLOOKUP($I120,output!$A$9:$AI$2200,P$1-$L$1+2)</f>
        <v>7.4450000000000003</v>
      </c>
      <c r="Q120" s="67">
        <f>VLOOKUP($I120,output!$A$9:$AI$2200,Q$1-$L$1+2)</f>
        <v>5.1479999999999997</v>
      </c>
      <c r="R120" s="67">
        <f>VLOOKUP($I120,output!$A$9:$AI$2200,R$1-$L$1+2)</f>
        <v>3.1840000000000002</v>
      </c>
      <c r="S120" s="67">
        <f>VLOOKUP($I120,output!$A$9:$AI$2200,S$1-$L$1+2)</f>
        <v>1.7190000000000001</v>
      </c>
      <c r="T120" s="67">
        <f>VLOOKUP($I120,output!$A$9:$AI$2200,T$1-$L$1+2)</f>
        <v>3.016</v>
      </c>
      <c r="U120" s="67">
        <f>VLOOKUP($I120,output!$A$9:$AI$2200,U$1-$L$1+2)</f>
        <v>1.7390000000000001</v>
      </c>
      <c r="V120" s="67">
        <f>VLOOKUP($I120,output!$A$9:$AI$2200,V$1-$L$1+2)</f>
        <v>1.8320000000000001</v>
      </c>
      <c r="W120" s="67">
        <f>VLOOKUP($I120,output!$A$9:$AI$2200,W$1-$L$1+2)</f>
        <v>1.9450000000000001</v>
      </c>
      <c r="X120" s="67">
        <f>VLOOKUP($I120,output!$A$9:$AI$2200,X$1-$L$1+2)</f>
        <v>1.9770000000000001</v>
      </c>
      <c r="Y120" s="67">
        <f>VLOOKUP($I120,output!$A$9:$AI$2200,Y$1-$L$1+2)</f>
        <v>1.7649999999999999</v>
      </c>
      <c r="Z120" s="67">
        <f>VLOOKUP($I120,output!$A$9:$AI$2200,Z$1-$L$1+2)</f>
        <v>1.86</v>
      </c>
      <c r="AA120" s="67">
        <f>VLOOKUP($I120,output!$A$9:$AI$2200,AA$1-$L$1+2)</f>
        <v>1.7709999999999999</v>
      </c>
      <c r="AB120" s="67">
        <f>VLOOKUP($I120,output!$A$9:$AI$2200,AB$1-$L$1+2)</f>
        <v>1.651</v>
      </c>
      <c r="AC120" s="67">
        <f>VLOOKUP($I120,output!$A$9:$AI$2200,AC$1-$L$1+2)</f>
        <v>1.5509999999999999</v>
      </c>
      <c r="AD120" s="67">
        <f>VLOOKUP($I120,output!$A$9:$AI$2200,AD$1-$L$1+2)</f>
        <v>1.2769999999999999</v>
      </c>
      <c r="AE120" s="67">
        <f>VLOOKUP($I120,output!$A$9:$AI$2200,AE$1-$L$1+2)</f>
        <v>1.0880000000000001</v>
      </c>
      <c r="AF120" s="67">
        <f>VLOOKUP($I120,output!$A$9:$AI$2200,AF$1-$L$1+2)</f>
        <v>0.91100000000000003</v>
      </c>
      <c r="AG120" s="67">
        <f>VLOOKUP($I120,output!$A$9:$AI$2200,AG$1-$L$1+2)</f>
        <v>0.185</v>
      </c>
      <c r="AH120" s="67">
        <f>VLOOKUP($I120,output!$A$9:$AI$2200,AH$1-$L$1+2)</f>
        <v>0.23200000000000001</v>
      </c>
      <c r="AI120" s="67">
        <f>VLOOKUP($I120,output!$A$9:$AI$2200,AI$1-$L$1+2)</f>
        <v>0.16300000000000001</v>
      </c>
      <c r="AJ120" s="67">
        <f>VLOOKUP($I120,output!$A$9:$AI$2200,AJ$1-$L$1+2)</f>
        <v>0.14000000000000001</v>
      </c>
      <c r="AK120" s="67">
        <f>VLOOKUP($I120,output!$A$9:$AI$2200,AK$1-$L$1+2)</f>
        <v>9.5000000000000001E-2</v>
      </c>
      <c r="AL120" s="67">
        <f>VLOOKUP($I120,output!$A$9:$AI$2200,AL$1-$L$1+2)</f>
        <v>5.8999999999999997E-2</v>
      </c>
      <c r="AM120" s="67">
        <f>VLOOKUP($I120,output!$A$9:$AI$2200,AM$1-$L$1+2)</f>
        <v>3.3000000000000002E-2</v>
      </c>
    </row>
    <row r="121" spans="9:39" x14ac:dyDescent="0.25">
      <c r="I121" s="36" t="s">
        <v>413</v>
      </c>
      <c r="J121" s="36" t="s">
        <v>116</v>
      </c>
      <c r="K121" s="36" t="s">
        <v>113</v>
      </c>
      <c r="L121" s="67">
        <f>VLOOKUP($I121,output!$A$9:$AI$2200,L$1-$L$1+2)</f>
        <v>0</v>
      </c>
      <c r="M121" s="67">
        <f>VLOOKUP($I121,output!$A$9:$AI$2200,M$1-$L$1+2)</f>
        <v>44.783000000000001</v>
      </c>
      <c r="N121" s="67">
        <f>VLOOKUP($I121,output!$A$9:$AI$2200,N$1-$L$1+2)</f>
        <v>37.072000000000003</v>
      </c>
      <c r="O121" s="67">
        <f>VLOOKUP($I121,output!$A$9:$AI$2200,O$1-$L$1+2)</f>
        <v>35.924999999999997</v>
      </c>
      <c r="P121" s="67">
        <f>VLOOKUP($I121,output!$A$9:$AI$2200,P$1-$L$1+2)</f>
        <v>37.976999999999997</v>
      </c>
      <c r="Q121" s="67">
        <f>VLOOKUP($I121,output!$A$9:$AI$2200,Q$1-$L$1+2)</f>
        <v>35.883000000000003</v>
      </c>
      <c r="R121" s="67">
        <f>VLOOKUP($I121,output!$A$9:$AI$2200,R$1-$L$1+2)</f>
        <v>33.938000000000002</v>
      </c>
      <c r="S121" s="67">
        <f>VLOOKUP($I121,output!$A$9:$AI$2200,S$1-$L$1+2)</f>
        <v>32.085999999999999</v>
      </c>
      <c r="T121" s="67">
        <f>VLOOKUP($I121,output!$A$9:$AI$2200,T$1-$L$1+2)</f>
        <v>31.106999999999999</v>
      </c>
      <c r="U121" s="67">
        <f>VLOOKUP($I121,output!$A$9:$AI$2200,U$1-$L$1+2)</f>
        <v>29.474</v>
      </c>
      <c r="V121" s="67">
        <f>VLOOKUP($I121,output!$A$9:$AI$2200,V$1-$L$1+2)</f>
        <v>27.46</v>
      </c>
      <c r="W121" s="67">
        <f>VLOOKUP($I121,output!$A$9:$AI$2200,W$1-$L$1+2)</f>
        <v>25.378</v>
      </c>
      <c r="X121" s="67">
        <f>VLOOKUP($I121,output!$A$9:$AI$2200,X$1-$L$1+2)</f>
        <v>23.306999999999999</v>
      </c>
      <c r="Y121" s="67">
        <f>VLOOKUP($I121,output!$A$9:$AI$2200,Y$1-$L$1+2)</f>
        <v>2.0880000000000001</v>
      </c>
      <c r="Z121" s="67">
        <f>VLOOKUP($I121,output!$A$9:$AI$2200,Z$1-$L$1+2)</f>
        <v>1.92</v>
      </c>
      <c r="AA121" s="67">
        <f>VLOOKUP($I121,output!$A$9:$AI$2200,AA$1-$L$1+2)</f>
        <v>1.7310000000000001</v>
      </c>
      <c r="AB121" s="67">
        <f>VLOOKUP($I121,output!$A$9:$AI$2200,AB$1-$L$1+2)</f>
        <v>1.53</v>
      </c>
      <c r="AC121" s="67">
        <f>VLOOKUP($I121,output!$A$9:$AI$2200,AC$1-$L$1+2)</f>
        <v>1.3779999999999999</v>
      </c>
      <c r="AD121" s="67">
        <f>VLOOKUP($I121,output!$A$9:$AI$2200,AD$1-$L$1+2)</f>
        <v>1.163</v>
      </c>
      <c r="AE121" s="67">
        <f>VLOOKUP($I121,output!$A$9:$AI$2200,AE$1-$L$1+2)</f>
        <v>1.004</v>
      </c>
      <c r="AF121" s="67">
        <f>VLOOKUP($I121,output!$A$9:$AI$2200,AF$1-$L$1+2)</f>
        <v>0.85099999999999998</v>
      </c>
      <c r="AG121" s="67">
        <f>VLOOKUP($I121,output!$A$9:$AI$2200,AG$1-$L$1+2)</f>
        <v>0.191</v>
      </c>
      <c r="AH121" s="67">
        <f>VLOOKUP($I121,output!$A$9:$AI$2200,AH$1-$L$1+2)</f>
        <v>0.23799999999999999</v>
      </c>
      <c r="AI121" s="67">
        <f>VLOOKUP($I121,output!$A$9:$AI$2200,AI$1-$L$1+2)</f>
        <v>0.17199999999999999</v>
      </c>
      <c r="AJ121" s="67">
        <f>VLOOKUP($I121,output!$A$9:$AI$2200,AJ$1-$L$1+2)</f>
        <v>0.15</v>
      </c>
      <c r="AK121" s="67">
        <f>VLOOKUP($I121,output!$A$9:$AI$2200,AK$1-$L$1+2)</f>
        <v>0.105</v>
      </c>
      <c r="AL121" s="67">
        <f>VLOOKUP($I121,output!$A$9:$AI$2200,AL$1-$L$1+2)</f>
        <v>6.8000000000000005E-2</v>
      </c>
      <c r="AM121" s="67">
        <f>VLOOKUP($I121,output!$A$9:$AI$2200,AM$1-$L$1+2)</f>
        <v>3.7999999999999999E-2</v>
      </c>
    </row>
    <row r="122" spans="9:39" x14ac:dyDescent="0.25">
      <c r="I122" s="36" t="s">
        <v>414</v>
      </c>
      <c r="J122" s="36" t="s">
        <v>116</v>
      </c>
      <c r="K122" s="36" t="s">
        <v>114</v>
      </c>
      <c r="L122" s="67">
        <f>VLOOKUP($I122,output!$A$9:$AI$2200,L$1-$L$1+2)</f>
        <v>0</v>
      </c>
      <c r="M122" s="67">
        <f>VLOOKUP($I122,output!$A$9:$AI$2200,M$1-$L$1+2)</f>
        <v>17.585000000000001</v>
      </c>
      <c r="N122" s="67">
        <f>VLOOKUP($I122,output!$A$9:$AI$2200,N$1-$L$1+2)</f>
        <v>11.581</v>
      </c>
      <c r="O122" s="67">
        <f>VLOOKUP($I122,output!$A$9:$AI$2200,O$1-$L$1+2)</f>
        <v>13.96</v>
      </c>
      <c r="P122" s="67">
        <f>VLOOKUP($I122,output!$A$9:$AI$2200,P$1-$L$1+2)</f>
        <v>12.321</v>
      </c>
      <c r="Q122" s="67">
        <f>VLOOKUP($I122,output!$A$9:$AI$2200,Q$1-$L$1+2)</f>
        <v>12.614000000000001</v>
      </c>
      <c r="R122" s="67">
        <f>VLOOKUP($I122,output!$A$9:$AI$2200,R$1-$L$1+2)</f>
        <v>12.852</v>
      </c>
      <c r="S122" s="67">
        <f>VLOOKUP($I122,output!$A$9:$AI$2200,S$1-$L$1+2)</f>
        <v>12.73</v>
      </c>
      <c r="T122" s="67">
        <f>VLOOKUP($I122,output!$A$9:$AI$2200,T$1-$L$1+2)</f>
        <v>9.1219999999999999</v>
      </c>
      <c r="U122" s="67">
        <f>VLOOKUP($I122,output!$A$9:$AI$2200,U$1-$L$1+2)</f>
        <v>9.2639999999999993</v>
      </c>
      <c r="V122" s="67">
        <f>VLOOKUP($I122,output!$A$9:$AI$2200,V$1-$L$1+2)</f>
        <v>7.5039999999999996</v>
      </c>
      <c r="W122" s="67">
        <f>VLOOKUP($I122,output!$A$9:$AI$2200,W$1-$L$1+2)</f>
        <v>5.9749999999999996</v>
      </c>
      <c r="X122" s="67">
        <f>VLOOKUP($I122,output!$A$9:$AI$2200,X$1-$L$1+2)</f>
        <v>4.7759999999999998</v>
      </c>
      <c r="Y122" s="67">
        <f>VLOOKUP($I122,output!$A$9:$AI$2200,Y$1-$L$1+2)</f>
        <v>2.1779999999999999</v>
      </c>
      <c r="Z122" s="67">
        <f>VLOOKUP($I122,output!$A$9:$AI$2200,Z$1-$L$1+2)</f>
        <v>1.484</v>
      </c>
      <c r="AA122" s="67">
        <f>VLOOKUP($I122,output!$A$9:$AI$2200,AA$1-$L$1+2)</f>
        <v>1.1040000000000001</v>
      </c>
      <c r="AB122" s="67">
        <f>VLOOKUP($I122,output!$A$9:$AI$2200,AB$1-$L$1+2)</f>
        <v>0.68899999999999995</v>
      </c>
      <c r="AC122" s="67">
        <f>VLOOKUP($I122,output!$A$9:$AI$2200,AC$1-$L$1+2)</f>
        <v>0.52200000000000002</v>
      </c>
      <c r="AD122" s="67">
        <f>VLOOKUP($I122,output!$A$9:$AI$2200,AD$1-$L$1+2)</f>
        <v>0.40400000000000003</v>
      </c>
      <c r="AE122" s="67">
        <f>VLOOKUP($I122,output!$A$9:$AI$2200,AE$1-$L$1+2)</f>
        <v>0.33500000000000002</v>
      </c>
      <c r="AF122" s="67">
        <f>VLOOKUP($I122,output!$A$9:$AI$2200,AF$1-$L$1+2)</f>
        <v>0.251</v>
      </c>
      <c r="AG122" s="67">
        <f>VLOOKUP($I122,output!$A$9:$AI$2200,AG$1-$L$1+2)</f>
        <v>0.13300000000000001</v>
      </c>
      <c r="AH122" s="67">
        <f>VLOOKUP($I122,output!$A$9:$AI$2200,AH$1-$L$1+2)</f>
        <v>0.10299999999999999</v>
      </c>
      <c r="AI122" s="67">
        <f>VLOOKUP($I122,output!$A$9:$AI$2200,AI$1-$L$1+2)</f>
        <v>9.5000000000000001E-2</v>
      </c>
      <c r="AJ122" s="67">
        <f>VLOOKUP($I122,output!$A$9:$AI$2200,AJ$1-$L$1+2)</f>
        <v>6.5000000000000002E-2</v>
      </c>
      <c r="AK122" s="67">
        <f>VLOOKUP($I122,output!$A$9:$AI$2200,AK$1-$L$1+2)</f>
        <v>4.9000000000000002E-2</v>
      </c>
      <c r="AL122" s="67">
        <f>VLOOKUP($I122,output!$A$9:$AI$2200,AL$1-$L$1+2)</f>
        <v>3.5999999999999997E-2</v>
      </c>
      <c r="AM122" s="67">
        <f>VLOOKUP($I122,output!$A$9:$AI$2200,AM$1-$L$1+2)</f>
        <v>2.3E-2</v>
      </c>
    </row>
    <row r="123" spans="9:39" x14ac:dyDescent="0.25">
      <c r="I123" s="115" t="s">
        <v>415</v>
      </c>
      <c r="J123" s="115" t="s">
        <v>116</v>
      </c>
      <c r="K123" s="115" t="s">
        <v>115</v>
      </c>
      <c r="L123" s="117">
        <f>VLOOKUP($I123,output!$A$9:$AI$2200,L$1-$L$1+2)</f>
        <v>0</v>
      </c>
      <c r="M123" s="117">
        <f>VLOOKUP($I123,output!$A$9:$AI$2200,M$1-$L$1+2)</f>
        <v>8.3759999999999994</v>
      </c>
      <c r="N123" s="117">
        <f>VLOOKUP($I123,output!$A$9:$AI$2200,N$1-$L$1+2)</f>
        <v>13.169</v>
      </c>
      <c r="O123" s="117">
        <f>VLOOKUP($I123,output!$A$9:$AI$2200,O$1-$L$1+2)</f>
        <v>11.92</v>
      </c>
      <c r="P123" s="117">
        <f>VLOOKUP($I123,output!$A$9:$AI$2200,P$1-$L$1+2)</f>
        <v>8.58</v>
      </c>
      <c r="Q123" s="117">
        <f>VLOOKUP($I123,output!$A$9:$AI$2200,Q$1-$L$1+2)</f>
        <v>7.4059999999999997</v>
      </c>
      <c r="R123" s="117">
        <f>VLOOKUP($I123,output!$A$9:$AI$2200,R$1-$L$1+2)</f>
        <v>6.3529999999999998</v>
      </c>
      <c r="S123" s="117">
        <f>VLOOKUP($I123,output!$A$9:$AI$2200,S$1-$L$1+2)</f>
        <v>5.4779999999999998</v>
      </c>
      <c r="T123" s="117">
        <f>VLOOKUP($I123,output!$A$9:$AI$2200,T$1-$L$1+2)</f>
        <v>4.5519999999999996</v>
      </c>
      <c r="U123" s="117">
        <f>VLOOKUP($I123,output!$A$9:$AI$2200,U$1-$L$1+2)</f>
        <v>3.7669999999999999</v>
      </c>
      <c r="V123" s="117">
        <f>VLOOKUP($I123,output!$A$9:$AI$2200,V$1-$L$1+2)</f>
        <v>3.1309999999999998</v>
      </c>
      <c r="W123" s="117">
        <f>VLOOKUP($I123,output!$A$9:$AI$2200,W$1-$L$1+2)</f>
        <v>2.6179999999999999</v>
      </c>
      <c r="X123" s="117">
        <f>VLOOKUP($I123,output!$A$9:$AI$2200,X$1-$L$1+2)</f>
        <v>2.173</v>
      </c>
      <c r="Y123" s="117">
        <f>VLOOKUP($I123,output!$A$9:$AI$2200,Y$1-$L$1+2)</f>
        <v>0.04</v>
      </c>
      <c r="Z123" s="117">
        <f>VLOOKUP($I123,output!$A$9:$AI$2200,Z$1-$L$1+2)</f>
        <v>3.5999999999999997E-2</v>
      </c>
      <c r="AA123" s="117">
        <f>VLOOKUP($I123,output!$A$9:$AI$2200,AA$1-$L$1+2)</f>
        <v>3.2000000000000001E-2</v>
      </c>
      <c r="AB123" s="117">
        <f>VLOOKUP($I123,output!$A$9:$AI$2200,AB$1-$L$1+2)</f>
        <v>2.9000000000000001E-2</v>
      </c>
      <c r="AC123" s="117">
        <f>VLOOKUP($I123,output!$A$9:$AI$2200,AC$1-$L$1+2)</f>
        <v>2.5999999999999999E-2</v>
      </c>
      <c r="AD123" s="117">
        <f>VLOOKUP($I123,output!$A$9:$AI$2200,AD$1-$L$1+2)</f>
        <v>2.1999999999999999E-2</v>
      </c>
      <c r="AE123" s="117">
        <f>VLOOKUP($I123,output!$A$9:$AI$2200,AE$1-$L$1+2)</f>
        <v>0.02</v>
      </c>
      <c r="AF123" s="117">
        <f>VLOOKUP($I123,output!$A$9:$AI$2200,AF$1-$L$1+2)</f>
        <v>1.7000000000000001E-2</v>
      </c>
      <c r="AG123" s="117">
        <f>VLOOKUP($I123,output!$A$9:$AI$2200,AG$1-$L$1+2)</f>
        <v>4.0000000000000001E-3</v>
      </c>
      <c r="AH123" s="117">
        <f>VLOOKUP($I123,output!$A$9:$AI$2200,AH$1-$L$1+2)</f>
        <v>5.0000000000000001E-3</v>
      </c>
      <c r="AI123" s="117">
        <f>VLOOKUP($I123,output!$A$9:$AI$2200,AI$1-$L$1+2)</f>
        <v>3.0000000000000001E-3</v>
      </c>
      <c r="AJ123" s="117">
        <f>VLOOKUP($I123,output!$A$9:$AI$2200,AJ$1-$L$1+2)</f>
        <v>3.0000000000000001E-3</v>
      </c>
      <c r="AK123" s="117">
        <f>VLOOKUP($I123,output!$A$9:$AI$2200,AK$1-$L$1+2)</f>
        <v>2E-3</v>
      </c>
      <c r="AL123" s="117">
        <f>VLOOKUP($I123,output!$A$9:$AI$2200,AL$1-$L$1+2)</f>
        <v>1E-3</v>
      </c>
      <c r="AM123" s="117">
        <f>VLOOKUP($I123,output!$A$9:$AI$2200,AM$1-$L$1+2)</f>
        <v>1E-3</v>
      </c>
    </row>
    <row r="124" spans="9:39" x14ac:dyDescent="0.25">
      <c r="I124" s="115" t="s">
        <v>416</v>
      </c>
      <c r="J124" s="115" t="s">
        <v>116</v>
      </c>
      <c r="K124" s="115" t="s">
        <v>116</v>
      </c>
      <c r="L124" s="117">
        <f>VLOOKUP($I124,output!$A$9:$AI$2200,L$1-$L$1+2)</f>
        <v>0</v>
      </c>
      <c r="M124" s="117">
        <f>VLOOKUP($I124,output!$A$9:$AI$2200,M$1-$L$1+2)</f>
        <v>6.6440000000000001</v>
      </c>
      <c r="N124" s="117">
        <f>VLOOKUP($I124,output!$A$9:$AI$2200,N$1-$L$1+2)</f>
        <v>9.1660000000000004</v>
      </c>
      <c r="O124" s="117">
        <f>VLOOKUP($I124,output!$A$9:$AI$2200,O$1-$L$1+2)</f>
        <v>7.3440000000000003</v>
      </c>
      <c r="P124" s="117">
        <f>VLOOKUP($I124,output!$A$9:$AI$2200,P$1-$L$1+2)</f>
        <v>5.9409999999999998</v>
      </c>
      <c r="Q124" s="117">
        <f>VLOOKUP($I124,output!$A$9:$AI$2200,Q$1-$L$1+2)</f>
        <v>4.734</v>
      </c>
      <c r="R124" s="117">
        <f>VLOOKUP($I124,output!$A$9:$AI$2200,R$1-$L$1+2)</f>
        <v>3.754</v>
      </c>
      <c r="S124" s="117">
        <f>VLOOKUP($I124,output!$A$9:$AI$2200,S$1-$L$1+2)</f>
        <v>3.0059999999999998</v>
      </c>
      <c r="T124" s="117">
        <f>VLOOKUP($I124,output!$A$9:$AI$2200,T$1-$L$1+2)</f>
        <v>2.843</v>
      </c>
      <c r="U124" s="117">
        <f>VLOOKUP($I124,output!$A$9:$AI$2200,U$1-$L$1+2)</f>
        <v>2.246</v>
      </c>
      <c r="V124" s="117">
        <f>VLOOKUP($I124,output!$A$9:$AI$2200,V$1-$L$1+2)</f>
        <v>1.976</v>
      </c>
      <c r="W124" s="117">
        <f>VLOOKUP($I124,output!$A$9:$AI$2200,W$1-$L$1+2)</f>
        <v>1.754</v>
      </c>
      <c r="X124" s="117">
        <f>VLOOKUP($I124,output!$A$9:$AI$2200,X$1-$L$1+2)</f>
        <v>1.55</v>
      </c>
      <c r="Y124" s="117">
        <f>VLOOKUP($I124,output!$A$9:$AI$2200,Y$1-$L$1+2)</f>
        <v>1.095</v>
      </c>
      <c r="Z124" s="117">
        <f>VLOOKUP($I124,output!$A$9:$AI$2200,Z$1-$L$1+2)</f>
        <v>1.002</v>
      </c>
      <c r="AA124" s="117">
        <f>VLOOKUP($I124,output!$A$9:$AI$2200,AA$1-$L$1+2)</f>
        <v>0.89500000000000002</v>
      </c>
      <c r="AB124" s="117">
        <f>VLOOKUP($I124,output!$A$9:$AI$2200,AB$1-$L$1+2)</f>
        <v>0.77200000000000002</v>
      </c>
      <c r="AC124" s="117">
        <f>VLOOKUP($I124,output!$A$9:$AI$2200,AC$1-$L$1+2)</f>
        <v>0.70099999999999996</v>
      </c>
      <c r="AD124" s="117">
        <f>VLOOKUP($I124,output!$A$9:$AI$2200,AD$1-$L$1+2)</f>
        <v>0.58099999999999996</v>
      </c>
      <c r="AE124" s="117">
        <f>VLOOKUP($I124,output!$A$9:$AI$2200,AE$1-$L$1+2)</f>
        <v>0.49399999999999999</v>
      </c>
      <c r="AF124" s="117">
        <f>VLOOKUP($I124,output!$A$9:$AI$2200,AF$1-$L$1+2)</f>
        <v>0.41299999999999998</v>
      </c>
      <c r="AG124" s="117">
        <f>VLOOKUP($I124,output!$A$9:$AI$2200,AG$1-$L$1+2)</f>
        <v>0.255</v>
      </c>
      <c r="AH124" s="117">
        <f>VLOOKUP($I124,output!$A$9:$AI$2200,AH$1-$L$1+2)</f>
        <v>0.21299999999999999</v>
      </c>
      <c r="AI124" s="117">
        <f>VLOOKUP($I124,output!$A$9:$AI$2200,AI$1-$L$1+2)</f>
        <v>0.17100000000000001</v>
      </c>
      <c r="AJ124" s="117">
        <f>VLOOKUP($I124,output!$A$9:$AI$2200,AJ$1-$L$1+2)</f>
        <v>0.13900000000000001</v>
      </c>
      <c r="AK124" s="117">
        <f>VLOOKUP($I124,output!$A$9:$AI$2200,AK$1-$L$1+2)</f>
        <v>0.106</v>
      </c>
      <c r="AL124" s="117">
        <f>VLOOKUP($I124,output!$A$9:$AI$2200,AL$1-$L$1+2)</f>
        <v>7.6999999999999999E-2</v>
      </c>
      <c r="AM124" s="117">
        <f>VLOOKUP($I124,output!$A$9:$AI$2200,AM$1-$L$1+2)</f>
        <v>5.0999999999999997E-2</v>
      </c>
    </row>
    <row r="125" spans="9:39" x14ac:dyDescent="0.25">
      <c r="I125" s="19"/>
      <c r="L125" s="117"/>
    </row>
    <row r="126" spans="9:39" x14ac:dyDescent="0.25">
      <c r="K126" s="115" t="s">
        <v>442</v>
      </c>
      <c r="L126" s="117"/>
    </row>
    <row r="127" spans="9:39" x14ac:dyDescent="0.25">
      <c r="J127" s="115" t="s">
        <v>441</v>
      </c>
      <c r="K127" s="115" t="s">
        <v>110</v>
      </c>
      <c r="L127" s="117" t="s">
        <v>111</v>
      </c>
      <c r="M127" s="115" t="s">
        <v>112</v>
      </c>
      <c r="N127" s="115" t="s">
        <v>113</v>
      </c>
      <c r="O127" s="115" t="s">
        <v>114</v>
      </c>
      <c r="P127" s="115" t="s">
        <v>115</v>
      </c>
      <c r="Q127" s="115" t="s">
        <v>116</v>
      </c>
    </row>
    <row r="128" spans="9:39" x14ac:dyDescent="0.25">
      <c r="J128" s="115" t="s">
        <v>110</v>
      </c>
      <c r="L128" s="117"/>
    </row>
    <row r="129" spans="10:39" x14ac:dyDescent="0.25">
      <c r="J129" s="115" t="s">
        <v>111</v>
      </c>
      <c r="L129" s="117"/>
    </row>
    <row r="130" spans="10:39" x14ac:dyDescent="0.25">
      <c r="J130" s="8" t="s">
        <v>112</v>
      </c>
      <c r="L130" s="117"/>
    </row>
    <row r="131" spans="10:39" x14ac:dyDescent="0.25">
      <c r="J131" s="115" t="s">
        <v>113</v>
      </c>
      <c r="L131" s="117"/>
    </row>
    <row r="132" spans="10:39" x14ac:dyDescent="0.25">
      <c r="J132" s="115" t="s">
        <v>114</v>
      </c>
      <c r="L132" s="117"/>
    </row>
    <row r="133" spans="10:39" x14ac:dyDescent="0.25">
      <c r="J133" s="115" t="s">
        <v>115</v>
      </c>
      <c r="L133" s="117"/>
    </row>
    <row r="134" spans="10:39" x14ac:dyDescent="0.25">
      <c r="J134" s="115" t="s">
        <v>116</v>
      </c>
      <c r="L134" s="117"/>
    </row>
    <row r="135" spans="10:39" x14ac:dyDescent="0.25">
      <c r="L135" s="117"/>
    </row>
    <row r="136" spans="10:39" x14ac:dyDescent="0.25">
      <c r="J136" s="115" t="s">
        <v>1314</v>
      </c>
      <c r="L136" s="117">
        <f>SUM(L97,L102:L103,L108:L109,L114:L116,L120:L122)</f>
        <v>0</v>
      </c>
      <c r="M136" s="117">
        <f t="shared" ref="M136:AM136" si="5">SUM(M97,M102:M103,M108:M109,M114:M116,M120:M122)</f>
        <v>493.06599999999997</v>
      </c>
      <c r="N136" s="117">
        <f t="shared" si="5"/>
        <v>397.483</v>
      </c>
      <c r="O136" s="117">
        <f t="shared" si="5"/>
        <v>387.84100000000001</v>
      </c>
      <c r="P136" s="117">
        <f t="shared" si="5"/>
        <v>415.08300000000003</v>
      </c>
      <c r="Q136" s="117">
        <f t="shared" si="5"/>
        <v>403.55099999999999</v>
      </c>
      <c r="R136" s="117">
        <f t="shared" si="5"/>
        <v>390.23500000000001</v>
      </c>
      <c r="S136" s="117">
        <f t="shared" si="5"/>
        <v>376.33699999999999</v>
      </c>
      <c r="T136" s="117">
        <f t="shared" si="5"/>
        <v>406.38600000000002</v>
      </c>
      <c r="U136" s="117">
        <f t="shared" si="5"/>
        <v>386.55799999999999</v>
      </c>
      <c r="V136" s="117">
        <f t="shared" si="5"/>
        <v>393.28500000000003</v>
      </c>
      <c r="W136" s="117">
        <f t="shared" si="5"/>
        <v>402.75100000000003</v>
      </c>
      <c r="X136" s="117">
        <f t="shared" si="5"/>
        <v>414.39</v>
      </c>
      <c r="Y136" s="117">
        <f t="shared" si="5"/>
        <v>276.61399999999998</v>
      </c>
      <c r="Z136" s="117">
        <f t="shared" si="5"/>
        <v>288.755</v>
      </c>
      <c r="AA136" s="117">
        <f t="shared" si="5"/>
        <v>293.65699999999998</v>
      </c>
      <c r="AB136" s="117">
        <f t="shared" si="5"/>
        <v>275.37600000000003</v>
      </c>
      <c r="AC136" s="117">
        <f t="shared" si="5"/>
        <v>299.18200000000002</v>
      </c>
      <c r="AD136" s="117">
        <f t="shared" si="5"/>
        <v>268.67599999999999</v>
      </c>
      <c r="AE136" s="117">
        <f t="shared" si="5"/>
        <v>262.87200000000001</v>
      </c>
      <c r="AF136" s="117">
        <f t="shared" si="5"/>
        <v>249.54399999999998</v>
      </c>
      <c r="AG136" s="117">
        <f t="shared" si="5"/>
        <v>90.899999999999977</v>
      </c>
      <c r="AH136" s="117">
        <f t="shared" si="5"/>
        <v>102.25299999999999</v>
      </c>
      <c r="AI136" s="117">
        <f t="shared" si="5"/>
        <v>103.37700000000001</v>
      </c>
      <c r="AJ136" s="117">
        <f t="shared" si="5"/>
        <v>93.814999999999984</v>
      </c>
      <c r="AK136" s="117">
        <f t="shared" si="5"/>
        <v>86.846000000000018</v>
      </c>
      <c r="AL136" s="117">
        <f t="shared" si="5"/>
        <v>79.935999999999993</v>
      </c>
      <c r="AM136" s="117">
        <f t="shared" si="5"/>
        <v>73.189000000000007</v>
      </c>
    </row>
    <row r="138" spans="10:39" x14ac:dyDescent="0.25"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</row>
    <row r="159" spans="10:39" x14ac:dyDescent="0.25">
      <c r="J159" s="31" t="s">
        <v>544</v>
      </c>
      <c r="K159" s="31" t="str">
        <f t="shared" ref="K159:AM159" si="6">K17</f>
        <v>Total ménages gestes isolation (pas de double comptage)</v>
      </c>
      <c r="L159" s="31">
        <f t="shared" si="6"/>
        <v>0</v>
      </c>
      <c r="M159" s="31">
        <f t="shared" si="6"/>
        <v>600.98400000000004</v>
      </c>
      <c r="N159" s="31">
        <f t="shared" si="6"/>
        <v>435.21600000000001</v>
      </c>
      <c r="O159" s="31">
        <f t="shared" si="6"/>
        <v>624.22199999999998</v>
      </c>
      <c r="P159" s="31">
        <f t="shared" si="6"/>
        <v>673.15200000000004</v>
      </c>
      <c r="Q159" s="31">
        <f t="shared" si="6"/>
        <v>685.49099999999999</v>
      </c>
      <c r="R159" s="31">
        <f t="shared" si="6"/>
        <v>664.053</v>
      </c>
      <c r="S159" s="31">
        <f t="shared" si="6"/>
        <v>710.43600000000004</v>
      </c>
      <c r="T159" s="31">
        <f t="shared" si="6"/>
        <v>934.53099999999995</v>
      </c>
      <c r="U159" s="31">
        <f t="shared" si="6"/>
        <v>880.7</v>
      </c>
      <c r="V159" s="31">
        <f t="shared" si="6"/>
        <v>852.71100000000001</v>
      </c>
      <c r="W159" s="31">
        <f t="shared" si="6"/>
        <v>866.88699999999994</v>
      </c>
      <c r="X159" s="31">
        <f t="shared" si="6"/>
        <v>831.27499999999998</v>
      </c>
      <c r="Y159" s="31">
        <f t="shared" si="6"/>
        <v>828.06100000000004</v>
      </c>
      <c r="Z159" s="31">
        <f t="shared" si="6"/>
        <v>1249.94</v>
      </c>
      <c r="AA159" s="31">
        <f t="shared" si="6"/>
        <v>1187.1849999999999</v>
      </c>
      <c r="AB159" s="31">
        <f t="shared" si="6"/>
        <v>1164.289</v>
      </c>
      <c r="AC159" s="31">
        <f t="shared" si="6"/>
        <v>1411.4090000000001</v>
      </c>
      <c r="AD159" s="31">
        <f t="shared" si="6"/>
        <v>1240.482</v>
      </c>
      <c r="AE159" s="31">
        <f t="shared" si="6"/>
        <v>1187.8009999999999</v>
      </c>
      <c r="AF159" s="31">
        <f t="shared" si="6"/>
        <v>1057.498</v>
      </c>
      <c r="AG159" s="31">
        <f t="shared" si="6"/>
        <v>1059.9280000000001</v>
      </c>
      <c r="AH159" s="31">
        <f t="shared" si="6"/>
        <v>1009.215</v>
      </c>
      <c r="AI159" s="31">
        <f t="shared" si="6"/>
        <v>962.01300000000003</v>
      </c>
      <c r="AJ159" s="31">
        <f t="shared" si="6"/>
        <v>917.62599999999998</v>
      </c>
      <c r="AK159" s="31">
        <f t="shared" si="6"/>
        <v>876.84199999999998</v>
      </c>
      <c r="AL159" s="31">
        <f t="shared" si="6"/>
        <v>838.50099999999998</v>
      </c>
      <c r="AM159" s="31">
        <f t="shared" si="6"/>
        <v>803.86300000000006</v>
      </c>
    </row>
    <row r="160" spans="10:39" x14ac:dyDescent="0.25">
      <c r="J160" s="115" t="s">
        <v>541</v>
      </c>
      <c r="K160" s="115" t="s">
        <v>539</v>
      </c>
      <c r="L160" s="117">
        <f>VLOOKUP($K160,output!$A$9:$AI$2200,L$1-$L$1+2)</f>
        <v>0</v>
      </c>
      <c r="M160" s="117">
        <f>VLOOKUP($K160,output!$A$9:$AI$2200,M$1-$L$1+2)</f>
        <v>1256.951</v>
      </c>
      <c r="N160" s="117">
        <f>VLOOKUP($K160,output!$A$9:$AI$2200,N$1-$L$1+2)</f>
        <v>0</v>
      </c>
      <c r="O160" s="117">
        <f>VLOOKUP($K160,output!$A$9:$AI$2200,O$1-$L$1+2)</f>
        <v>0</v>
      </c>
      <c r="P160" s="117">
        <f>VLOOKUP($K160,output!$A$9:$AI$2200,P$1-$L$1+2)</f>
        <v>0</v>
      </c>
      <c r="Q160" s="117">
        <f>VLOOKUP($K160,output!$A$9:$AI$2200,Q$1-$L$1+2)</f>
        <v>0</v>
      </c>
      <c r="R160" s="117">
        <f>VLOOKUP($K160,output!$A$9:$AI$2200,R$1-$L$1+2)</f>
        <v>0</v>
      </c>
      <c r="S160" s="117">
        <f>VLOOKUP($K160,output!$A$9:$AI$2200,S$1-$L$1+2)</f>
        <v>0</v>
      </c>
      <c r="T160" s="117">
        <f>VLOOKUP($K160,output!$A$9:$AI$2200,T$1-$L$1+2)</f>
        <v>0</v>
      </c>
      <c r="U160" s="117">
        <f>VLOOKUP($K160,output!$A$9:$AI$2200,U$1-$L$1+2)</f>
        <v>0</v>
      </c>
      <c r="V160" s="117">
        <f>VLOOKUP($K160,output!$A$9:$AI$2200,V$1-$L$1+2)</f>
        <v>0</v>
      </c>
      <c r="W160" s="117">
        <f>VLOOKUP($K160,output!$A$9:$AI$2200,W$1-$L$1+2)</f>
        <v>0</v>
      </c>
      <c r="X160" s="117">
        <f>VLOOKUP($K160,output!$A$9:$AI$2200,X$1-$L$1+2)</f>
        <v>0</v>
      </c>
      <c r="Y160" s="117">
        <f>VLOOKUP($K160,output!$A$9:$AI$2200,Y$1-$L$1+2)</f>
        <v>0</v>
      </c>
      <c r="Z160" s="117">
        <f>VLOOKUP($K160,output!$A$9:$AI$2200,Z$1-$L$1+2)</f>
        <v>0</v>
      </c>
      <c r="AA160" s="117">
        <f>VLOOKUP($K160,output!$A$9:$AI$2200,AA$1-$L$1+2)</f>
        <v>0</v>
      </c>
      <c r="AB160" s="117">
        <f>VLOOKUP($K160,output!$A$9:$AI$2200,AB$1-$L$1+2)</f>
        <v>0</v>
      </c>
      <c r="AC160" s="117">
        <f>VLOOKUP($K160,output!$A$9:$AI$2200,AC$1-$L$1+2)</f>
        <v>0</v>
      </c>
      <c r="AD160" s="117">
        <f>VLOOKUP($K160,output!$A$9:$AI$2200,AD$1-$L$1+2)</f>
        <v>0</v>
      </c>
      <c r="AE160" s="117">
        <f>VLOOKUP($K160,output!$A$9:$AI$2200,AE$1-$L$1+2)</f>
        <v>0</v>
      </c>
      <c r="AF160" s="117">
        <f>VLOOKUP($K160,output!$A$9:$AI$2200,AF$1-$L$1+2)</f>
        <v>0</v>
      </c>
      <c r="AG160" s="117">
        <f>VLOOKUP($K160,output!$A$9:$AI$2200,AG$1-$L$1+2)</f>
        <v>0</v>
      </c>
      <c r="AH160" s="117">
        <f>VLOOKUP($K160,output!$A$9:$AI$2200,AH$1-$L$1+2)</f>
        <v>0</v>
      </c>
      <c r="AI160" s="117">
        <f>VLOOKUP($K160,output!$A$9:$AI$2200,AI$1-$L$1+2)</f>
        <v>0</v>
      </c>
      <c r="AJ160" s="117">
        <f>VLOOKUP($K160,output!$A$9:$AI$2200,AJ$1-$L$1+2)</f>
        <v>0</v>
      </c>
      <c r="AK160" s="117">
        <f>VLOOKUP($K160,output!$A$9:$AI$2200,AK$1-$L$1+2)</f>
        <v>0</v>
      </c>
      <c r="AL160" s="117">
        <f>VLOOKUP($K160,output!$A$9:$AI$2200,AL$1-$L$1+2)</f>
        <v>0</v>
      </c>
      <c r="AM160" s="117">
        <f>VLOOKUP($K160,output!$A$9:$AI$2200,AM$1-$L$1+2)</f>
        <v>0</v>
      </c>
    </row>
    <row r="161" spans="10:39" x14ac:dyDescent="0.25">
      <c r="J161" s="115" t="s">
        <v>549</v>
      </c>
      <c r="K161" s="115" t="s">
        <v>201</v>
      </c>
      <c r="L161" s="117">
        <f>VLOOKUP($K161,output!$A$9:$AI$2200,L$1-$L$1+2)</f>
        <v>0</v>
      </c>
      <c r="M161" s="117">
        <f>VLOOKUP($K161,output!$A$9:$AI$2200,M$1-$L$1+2)</f>
        <v>0</v>
      </c>
      <c r="N161" s="117">
        <f>VLOOKUP($K161,output!$A$9:$AI$2200,N$1-$L$1+2)</f>
        <v>0</v>
      </c>
      <c r="O161" s="117">
        <f>VLOOKUP($K161,output!$A$9:$AI$2200,O$1-$L$1+2)</f>
        <v>0</v>
      </c>
      <c r="P161" s="117">
        <f>VLOOKUP($K161,output!$A$9:$AI$2200,P$1-$L$1+2)</f>
        <v>0</v>
      </c>
      <c r="Q161" s="117">
        <f>VLOOKUP($K161,output!$A$9:$AI$2200,Q$1-$L$1+2)</f>
        <v>0</v>
      </c>
      <c r="R161" s="117">
        <f>VLOOKUP($K161,output!$A$9:$AI$2200,R$1-$L$1+2)</f>
        <v>0</v>
      </c>
      <c r="S161" s="117">
        <f>VLOOKUP($K161,output!$A$9:$AI$2200,S$1-$L$1+2)</f>
        <v>0</v>
      </c>
      <c r="T161" s="117">
        <f>VLOOKUP($K161,output!$A$9:$AI$2200,T$1-$L$1+2)</f>
        <v>0</v>
      </c>
      <c r="U161" s="117">
        <f>VLOOKUP($K161,output!$A$9:$AI$2200,U$1-$L$1+2)</f>
        <v>0</v>
      </c>
      <c r="V161" s="117">
        <f>VLOOKUP($K161,output!$A$9:$AI$2200,V$1-$L$1+2)</f>
        <v>0</v>
      </c>
      <c r="W161" s="117">
        <f>VLOOKUP($K161,output!$A$9:$AI$2200,W$1-$L$1+2)</f>
        <v>0</v>
      </c>
      <c r="X161" s="117">
        <f>VLOOKUP($K161,output!$A$9:$AI$2200,X$1-$L$1+2)</f>
        <v>0</v>
      </c>
      <c r="Y161" s="117">
        <f>VLOOKUP($K161,output!$A$9:$AI$2200,Y$1-$L$1+2)</f>
        <v>0</v>
      </c>
      <c r="Z161" s="117">
        <f>VLOOKUP($K161,output!$A$9:$AI$2200,Z$1-$L$1+2)</f>
        <v>0</v>
      </c>
      <c r="AA161" s="117">
        <f>VLOOKUP($K161,output!$A$9:$AI$2200,AA$1-$L$1+2)</f>
        <v>0</v>
      </c>
      <c r="AB161" s="117">
        <f>VLOOKUP($K161,output!$A$9:$AI$2200,AB$1-$L$1+2)</f>
        <v>0</v>
      </c>
      <c r="AC161" s="117">
        <f>VLOOKUP($K161,output!$A$9:$AI$2200,AC$1-$L$1+2)</f>
        <v>0</v>
      </c>
      <c r="AD161" s="117">
        <f>VLOOKUP($K161,output!$A$9:$AI$2200,AD$1-$L$1+2)</f>
        <v>0</v>
      </c>
      <c r="AE161" s="117">
        <f>VLOOKUP($K161,output!$A$9:$AI$2200,AE$1-$L$1+2)</f>
        <v>0</v>
      </c>
      <c r="AF161" s="117">
        <f>VLOOKUP($K161,output!$A$9:$AI$2200,AF$1-$L$1+2)</f>
        <v>0</v>
      </c>
      <c r="AG161" s="117">
        <f>VLOOKUP($K161,output!$A$9:$AI$2200,AG$1-$L$1+2)</f>
        <v>0</v>
      </c>
      <c r="AH161" s="117">
        <f>VLOOKUP($K161,output!$A$9:$AI$2200,AH$1-$L$1+2)</f>
        <v>0</v>
      </c>
      <c r="AI161" s="117">
        <f>VLOOKUP($K161,output!$A$9:$AI$2200,AI$1-$L$1+2)</f>
        <v>0</v>
      </c>
      <c r="AJ161" s="117">
        <f>VLOOKUP($K161,output!$A$9:$AI$2200,AJ$1-$L$1+2)</f>
        <v>0</v>
      </c>
      <c r="AK161" s="117">
        <f>VLOOKUP($K161,output!$A$9:$AI$2200,AK$1-$L$1+2)</f>
        <v>0</v>
      </c>
      <c r="AL161" s="117">
        <f>VLOOKUP($K161,output!$A$9:$AI$2200,AL$1-$L$1+2)</f>
        <v>0</v>
      </c>
      <c r="AM161" s="117">
        <f>VLOOKUP($K161,output!$A$9:$AI$2200,AM$1-$L$1+2)</f>
        <v>0</v>
      </c>
    </row>
    <row r="162" spans="10:39" x14ac:dyDescent="0.25">
      <c r="J162" s="115" t="s">
        <v>550</v>
      </c>
      <c r="K162" s="115" t="s">
        <v>260</v>
      </c>
      <c r="L162" s="117">
        <f>VLOOKUP($K162,output!$A$9:$AI$2200,L$1-$L$1+2)</f>
        <v>0</v>
      </c>
      <c r="M162" s="117">
        <f>VLOOKUP($K162,output!$A$9:$AI$2200,M$1-$L$1+2)</f>
        <v>273.221</v>
      </c>
      <c r="N162" s="117">
        <f>VLOOKUP($K162,output!$A$9:$AI$2200,N$1-$L$1+2)</f>
        <v>0</v>
      </c>
      <c r="O162" s="117">
        <f>VLOOKUP($K162,output!$A$9:$AI$2200,O$1-$L$1+2)</f>
        <v>0</v>
      </c>
      <c r="P162" s="117">
        <f>VLOOKUP($K162,output!$A$9:$AI$2200,P$1-$L$1+2)</f>
        <v>0</v>
      </c>
      <c r="Q162" s="117">
        <f>VLOOKUP($K162,output!$A$9:$AI$2200,Q$1-$L$1+2)</f>
        <v>0</v>
      </c>
      <c r="R162" s="117">
        <f>VLOOKUP($K162,output!$A$9:$AI$2200,R$1-$L$1+2)</f>
        <v>0</v>
      </c>
      <c r="S162" s="117">
        <f>VLOOKUP($K162,output!$A$9:$AI$2200,S$1-$L$1+2)</f>
        <v>0</v>
      </c>
      <c r="T162" s="117">
        <f>VLOOKUP($K162,output!$A$9:$AI$2200,T$1-$L$1+2)</f>
        <v>0</v>
      </c>
      <c r="U162" s="117">
        <f>VLOOKUP($K162,output!$A$9:$AI$2200,U$1-$L$1+2)</f>
        <v>0</v>
      </c>
      <c r="V162" s="117">
        <f>VLOOKUP($K162,output!$A$9:$AI$2200,V$1-$L$1+2)</f>
        <v>0</v>
      </c>
      <c r="W162" s="117">
        <f>VLOOKUP($K162,output!$A$9:$AI$2200,W$1-$L$1+2)</f>
        <v>0</v>
      </c>
      <c r="X162" s="117">
        <f>VLOOKUP($K162,output!$A$9:$AI$2200,X$1-$L$1+2)</f>
        <v>0</v>
      </c>
      <c r="Y162" s="117">
        <f>VLOOKUP($K162,output!$A$9:$AI$2200,Y$1-$L$1+2)</f>
        <v>0</v>
      </c>
      <c r="Z162" s="117">
        <f>VLOOKUP($K162,output!$A$9:$AI$2200,Z$1-$L$1+2)</f>
        <v>0</v>
      </c>
      <c r="AA162" s="117">
        <f>VLOOKUP($K162,output!$A$9:$AI$2200,AA$1-$L$1+2)</f>
        <v>0</v>
      </c>
      <c r="AB162" s="117">
        <f>VLOOKUP($K162,output!$A$9:$AI$2200,AB$1-$L$1+2)</f>
        <v>0</v>
      </c>
      <c r="AC162" s="117">
        <f>VLOOKUP($K162,output!$A$9:$AI$2200,AC$1-$L$1+2)</f>
        <v>0</v>
      </c>
      <c r="AD162" s="117">
        <f>VLOOKUP($K162,output!$A$9:$AI$2200,AD$1-$L$1+2)</f>
        <v>0</v>
      </c>
      <c r="AE162" s="117">
        <f>VLOOKUP($K162,output!$A$9:$AI$2200,AE$1-$L$1+2)</f>
        <v>0</v>
      </c>
      <c r="AF162" s="117">
        <f>VLOOKUP($K162,output!$A$9:$AI$2200,AF$1-$L$1+2)</f>
        <v>0</v>
      </c>
      <c r="AG162" s="117">
        <f>VLOOKUP($K162,output!$A$9:$AI$2200,AG$1-$L$1+2)</f>
        <v>0</v>
      </c>
      <c r="AH162" s="117">
        <f>VLOOKUP($K162,output!$A$9:$AI$2200,AH$1-$L$1+2)</f>
        <v>0</v>
      </c>
      <c r="AI162" s="117">
        <f>VLOOKUP($K162,output!$A$9:$AI$2200,AI$1-$L$1+2)</f>
        <v>0</v>
      </c>
      <c r="AJ162" s="117">
        <f>VLOOKUP($K162,output!$A$9:$AI$2200,AJ$1-$L$1+2)</f>
        <v>0</v>
      </c>
      <c r="AK162" s="117">
        <f>VLOOKUP($K162,output!$A$9:$AI$2200,AK$1-$L$1+2)</f>
        <v>0</v>
      </c>
      <c r="AL162" s="117">
        <f>VLOOKUP($K162,output!$A$9:$AI$2200,AL$1-$L$1+2)</f>
        <v>0</v>
      </c>
      <c r="AM162" s="117">
        <f>VLOOKUP($K162,output!$A$9:$AI$2200,AM$1-$L$1+2)</f>
        <v>0</v>
      </c>
    </row>
    <row r="163" spans="10:39" x14ac:dyDescent="0.25">
      <c r="K163" s="115" t="s">
        <v>545</v>
      </c>
      <c r="L163" s="73">
        <f>L159-L160-L161-L162</f>
        <v>0</v>
      </c>
      <c r="M163" s="73">
        <f t="shared" ref="M163:AM163" si="7">M159-M160-M161-M162</f>
        <v>-929.18799999999999</v>
      </c>
      <c r="N163" s="73">
        <f t="shared" si="7"/>
        <v>435.21600000000001</v>
      </c>
      <c r="O163" s="73">
        <f t="shared" si="7"/>
        <v>624.22199999999998</v>
      </c>
      <c r="P163" s="73">
        <f t="shared" si="7"/>
        <v>673.15200000000004</v>
      </c>
      <c r="Q163" s="73">
        <f t="shared" si="7"/>
        <v>685.49099999999999</v>
      </c>
      <c r="R163" s="73">
        <f t="shared" si="7"/>
        <v>664.053</v>
      </c>
      <c r="S163" s="73">
        <f t="shared" si="7"/>
        <v>710.43600000000004</v>
      </c>
      <c r="T163" s="73">
        <f t="shared" si="7"/>
        <v>934.53099999999995</v>
      </c>
      <c r="U163" s="73">
        <f t="shared" si="7"/>
        <v>880.7</v>
      </c>
      <c r="V163" s="73">
        <f t="shared" si="7"/>
        <v>852.71100000000001</v>
      </c>
      <c r="W163" s="73">
        <f t="shared" si="7"/>
        <v>866.88699999999994</v>
      </c>
      <c r="X163" s="73">
        <f t="shared" si="7"/>
        <v>831.27499999999998</v>
      </c>
      <c r="Y163" s="73">
        <f t="shared" si="7"/>
        <v>828.06100000000004</v>
      </c>
      <c r="Z163" s="73">
        <f t="shared" si="7"/>
        <v>1249.94</v>
      </c>
      <c r="AA163" s="73">
        <f t="shared" si="7"/>
        <v>1187.1849999999999</v>
      </c>
      <c r="AB163" s="73">
        <f t="shared" si="7"/>
        <v>1164.289</v>
      </c>
      <c r="AC163" s="73">
        <f t="shared" si="7"/>
        <v>1411.4090000000001</v>
      </c>
      <c r="AD163" s="73">
        <f t="shared" si="7"/>
        <v>1240.482</v>
      </c>
      <c r="AE163" s="73">
        <f t="shared" si="7"/>
        <v>1187.8009999999999</v>
      </c>
      <c r="AF163" s="73">
        <f t="shared" si="7"/>
        <v>1057.498</v>
      </c>
      <c r="AG163" s="73">
        <f t="shared" si="7"/>
        <v>1059.9280000000001</v>
      </c>
      <c r="AH163" s="73">
        <f t="shared" si="7"/>
        <v>1009.215</v>
      </c>
      <c r="AI163" s="73">
        <f t="shared" si="7"/>
        <v>962.01300000000003</v>
      </c>
      <c r="AJ163" s="73">
        <f t="shared" si="7"/>
        <v>917.62599999999998</v>
      </c>
      <c r="AK163" s="73">
        <f t="shared" si="7"/>
        <v>876.84199999999998</v>
      </c>
      <c r="AL163" s="73">
        <f t="shared" si="7"/>
        <v>838.50099999999998</v>
      </c>
      <c r="AM163" s="73">
        <f t="shared" si="7"/>
        <v>803.86300000000006</v>
      </c>
    </row>
    <row r="164" spans="10:39" x14ac:dyDescent="0.25">
      <c r="K164" s="115" t="s">
        <v>552</v>
      </c>
      <c r="O164" s="115">
        <v>2</v>
      </c>
    </row>
    <row r="165" spans="10:39" x14ac:dyDescent="0.25">
      <c r="K165" s="115" t="s">
        <v>553</v>
      </c>
    </row>
    <row r="167" spans="10:39" x14ac:dyDescent="0.25">
      <c r="J167" s="115" t="s">
        <v>542</v>
      </c>
      <c r="K167" s="115" t="s">
        <v>540</v>
      </c>
      <c r="L167" s="117">
        <f>VLOOKUP($K167,output!$A$9:$AI$2200,L$1-$L$1+2)</f>
        <v>0</v>
      </c>
      <c r="M167" s="117">
        <f>VLOOKUP($K167,output!$A$9:$AI$2200,M$1-$L$1+2)</f>
        <v>1256.951</v>
      </c>
      <c r="N167" s="117">
        <f>VLOOKUP($K167,output!$A$9:$AI$2200,N$1-$L$1+2)</f>
        <v>0</v>
      </c>
      <c r="O167" s="117">
        <f>VLOOKUP($K167,output!$A$9:$AI$2200,O$1-$L$1+2)</f>
        <v>0</v>
      </c>
      <c r="P167" s="117">
        <f>VLOOKUP($K167,output!$A$9:$AI$2200,P$1-$L$1+2)</f>
        <v>0</v>
      </c>
      <c r="Q167" s="117">
        <f>VLOOKUP($K167,output!$A$9:$AI$2200,Q$1-$L$1+2)</f>
        <v>0</v>
      </c>
      <c r="R167" s="117">
        <f>VLOOKUP($K167,output!$A$9:$AI$2200,R$1-$L$1+2)</f>
        <v>0</v>
      </c>
      <c r="S167" s="117">
        <f>VLOOKUP($K167,output!$A$9:$AI$2200,S$1-$L$1+2)</f>
        <v>0</v>
      </c>
      <c r="T167" s="117">
        <f>VLOOKUP($K167,output!$A$9:$AI$2200,T$1-$L$1+2)</f>
        <v>0</v>
      </c>
      <c r="U167" s="117">
        <f>VLOOKUP($K167,output!$A$9:$AI$2200,U$1-$L$1+2)</f>
        <v>0</v>
      </c>
      <c r="V167" s="117">
        <f>VLOOKUP($K167,output!$A$9:$AI$2200,V$1-$L$1+2)</f>
        <v>0</v>
      </c>
      <c r="W167" s="117">
        <f>VLOOKUP($K167,output!$A$9:$AI$2200,W$1-$L$1+2)</f>
        <v>0</v>
      </c>
      <c r="X167" s="117">
        <f>VLOOKUP($K167,output!$A$9:$AI$2200,X$1-$L$1+2)</f>
        <v>0</v>
      </c>
      <c r="Y167" s="117">
        <f>VLOOKUP($K167,output!$A$9:$AI$2200,Y$1-$L$1+2)</f>
        <v>0</v>
      </c>
      <c r="Z167" s="117">
        <f>VLOOKUP($K167,output!$A$9:$AI$2200,Z$1-$L$1+2)</f>
        <v>0</v>
      </c>
      <c r="AA167" s="117">
        <f>VLOOKUP($K167,output!$A$9:$AI$2200,AA$1-$L$1+2)</f>
        <v>0</v>
      </c>
      <c r="AB167" s="117">
        <f>VLOOKUP($K167,output!$A$9:$AI$2200,AB$1-$L$1+2)</f>
        <v>0</v>
      </c>
      <c r="AC167" s="117">
        <f>VLOOKUP($K167,output!$A$9:$AI$2200,AC$1-$L$1+2)</f>
        <v>0</v>
      </c>
      <c r="AD167" s="117">
        <f>VLOOKUP($K167,output!$A$9:$AI$2200,AD$1-$L$1+2)</f>
        <v>0</v>
      </c>
      <c r="AE167" s="117">
        <f>VLOOKUP($K167,output!$A$9:$AI$2200,AE$1-$L$1+2)</f>
        <v>0</v>
      </c>
      <c r="AF167" s="117">
        <f>VLOOKUP($K167,output!$A$9:$AI$2200,AF$1-$L$1+2)</f>
        <v>0</v>
      </c>
      <c r="AG167" s="117">
        <f>VLOOKUP($K167,output!$A$9:$AI$2200,AG$1-$L$1+2)</f>
        <v>0</v>
      </c>
      <c r="AH167" s="117">
        <f>VLOOKUP($K167,output!$A$9:$AI$2200,AH$1-$L$1+2)</f>
        <v>0</v>
      </c>
      <c r="AI167" s="117">
        <f>VLOOKUP($K167,output!$A$9:$AI$2200,AI$1-$L$1+2)</f>
        <v>0</v>
      </c>
      <c r="AJ167" s="117">
        <f>VLOOKUP($K167,output!$A$9:$AI$2200,AJ$1-$L$1+2)</f>
        <v>0</v>
      </c>
      <c r="AK167" s="117">
        <f>VLOOKUP($K167,output!$A$9:$AI$2200,AK$1-$L$1+2)</f>
        <v>0</v>
      </c>
      <c r="AL167" s="117">
        <f>VLOOKUP($K167,output!$A$9:$AI$2200,AL$1-$L$1+2)</f>
        <v>0</v>
      </c>
      <c r="AM167" s="117">
        <f>VLOOKUP($K167,output!$A$9:$AI$2200,AM$1-$L$1+2)</f>
        <v>0</v>
      </c>
    </row>
    <row r="168" spans="10:39" x14ac:dyDescent="0.25">
      <c r="J168" s="115" t="s">
        <v>543</v>
      </c>
      <c r="K168" s="115" t="s">
        <v>202</v>
      </c>
      <c r="L168" s="117">
        <f>VLOOKUP($K168,output!$A$9:$AI$2200,L$1-$L$1+2)</f>
        <v>0</v>
      </c>
      <c r="M168" s="117">
        <f>VLOOKUP($K168,output!$A$9:$AI$2200,M$1-$L$1+2)</f>
        <v>0</v>
      </c>
      <c r="N168" s="117">
        <f>VLOOKUP($K168,output!$A$9:$AI$2200,N$1-$L$1+2)</f>
        <v>0</v>
      </c>
      <c r="O168" s="117">
        <f>VLOOKUP($K168,output!$A$9:$AI$2200,O$1-$L$1+2)</f>
        <v>0</v>
      </c>
      <c r="P168" s="117">
        <f>VLOOKUP($K168,output!$A$9:$AI$2200,P$1-$L$1+2)</f>
        <v>0</v>
      </c>
      <c r="Q168" s="117">
        <f>VLOOKUP($K168,output!$A$9:$AI$2200,Q$1-$L$1+2)</f>
        <v>0</v>
      </c>
      <c r="R168" s="117">
        <f>VLOOKUP($K168,output!$A$9:$AI$2200,R$1-$L$1+2)</f>
        <v>0</v>
      </c>
      <c r="S168" s="117">
        <f>VLOOKUP($K168,output!$A$9:$AI$2200,S$1-$L$1+2)</f>
        <v>0</v>
      </c>
      <c r="T168" s="117">
        <f>VLOOKUP($K168,output!$A$9:$AI$2200,T$1-$L$1+2)</f>
        <v>0</v>
      </c>
      <c r="U168" s="117">
        <f>VLOOKUP($K168,output!$A$9:$AI$2200,U$1-$L$1+2)</f>
        <v>0</v>
      </c>
      <c r="V168" s="117">
        <f>VLOOKUP($K168,output!$A$9:$AI$2200,V$1-$L$1+2)</f>
        <v>0</v>
      </c>
      <c r="W168" s="117">
        <f>VLOOKUP($K168,output!$A$9:$AI$2200,W$1-$L$1+2)</f>
        <v>0</v>
      </c>
      <c r="X168" s="117">
        <f>VLOOKUP($K168,output!$A$9:$AI$2200,X$1-$L$1+2)</f>
        <v>0</v>
      </c>
      <c r="Y168" s="117">
        <f>VLOOKUP($K168,output!$A$9:$AI$2200,Y$1-$L$1+2)</f>
        <v>0</v>
      </c>
      <c r="Z168" s="117">
        <f>VLOOKUP($K168,output!$A$9:$AI$2200,Z$1-$L$1+2)</f>
        <v>0</v>
      </c>
      <c r="AA168" s="117">
        <f>VLOOKUP($K168,output!$A$9:$AI$2200,AA$1-$L$1+2)</f>
        <v>0</v>
      </c>
      <c r="AB168" s="117">
        <f>VLOOKUP($K168,output!$A$9:$AI$2200,AB$1-$L$1+2)</f>
        <v>0</v>
      </c>
      <c r="AC168" s="117">
        <f>VLOOKUP($K168,output!$A$9:$AI$2200,AC$1-$L$1+2)</f>
        <v>0</v>
      </c>
      <c r="AD168" s="117">
        <f>VLOOKUP($K168,output!$A$9:$AI$2200,AD$1-$L$1+2)</f>
        <v>0</v>
      </c>
      <c r="AE168" s="117">
        <f>VLOOKUP($K168,output!$A$9:$AI$2200,AE$1-$L$1+2)</f>
        <v>0</v>
      </c>
      <c r="AF168" s="117">
        <f>VLOOKUP($K168,output!$A$9:$AI$2200,AF$1-$L$1+2)</f>
        <v>0</v>
      </c>
      <c r="AG168" s="117">
        <f>VLOOKUP($K168,output!$A$9:$AI$2200,AG$1-$L$1+2)</f>
        <v>0</v>
      </c>
      <c r="AH168" s="117">
        <f>VLOOKUP($K168,output!$A$9:$AI$2200,AH$1-$L$1+2)</f>
        <v>0</v>
      </c>
      <c r="AI168" s="117">
        <f>VLOOKUP($K168,output!$A$9:$AI$2200,AI$1-$L$1+2)</f>
        <v>0</v>
      </c>
      <c r="AJ168" s="117">
        <f>VLOOKUP($K168,output!$A$9:$AI$2200,AJ$1-$L$1+2)</f>
        <v>0</v>
      </c>
      <c r="AK168" s="117">
        <f>VLOOKUP($K168,output!$A$9:$AI$2200,AK$1-$L$1+2)</f>
        <v>0</v>
      </c>
      <c r="AL168" s="117">
        <f>VLOOKUP($K168,output!$A$9:$AI$2200,AL$1-$L$1+2)</f>
        <v>0</v>
      </c>
      <c r="AM168" s="117">
        <f>VLOOKUP($K168,output!$A$9:$AI$2200,AM$1-$L$1+2)</f>
        <v>0</v>
      </c>
    </row>
    <row r="169" spans="10:39" x14ac:dyDescent="0.25">
      <c r="K169" s="115" t="s">
        <v>538</v>
      </c>
      <c r="L169" s="117">
        <f>VLOOKUP($K169,output!$A$9:$AI$2200,L$1-$L$1+2)</f>
        <v>0</v>
      </c>
      <c r="M169" s="117">
        <f>VLOOKUP($K169,output!$A$9:$AI$2200,M$1-$L$1+2)</f>
        <v>273.221</v>
      </c>
      <c r="N169" s="117">
        <f>VLOOKUP($K169,output!$A$9:$AI$2200,N$1-$L$1+2)</f>
        <v>0</v>
      </c>
      <c r="O169" s="117">
        <f>VLOOKUP($K169,output!$A$9:$AI$2200,O$1-$L$1+2)</f>
        <v>0</v>
      </c>
      <c r="P169" s="117">
        <f>VLOOKUP($K169,output!$A$9:$AI$2200,P$1-$L$1+2)</f>
        <v>0</v>
      </c>
      <c r="Q169" s="117">
        <f>VLOOKUP($K169,output!$A$9:$AI$2200,Q$1-$L$1+2)</f>
        <v>0</v>
      </c>
      <c r="R169" s="117">
        <f>VLOOKUP($K169,output!$A$9:$AI$2200,R$1-$L$1+2)</f>
        <v>0</v>
      </c>
      <c r="S169" s="117">
        <f>VLOOKUP($K169,output!$A$9:$AI$2200,S$1-$L$1+2)</f>
        <v>0</v>
      </c>
      <c r="T169" s="117">
        <f>VLOOKUP($K169,output!$A$9:$AI$2200,T$1-$L$1+2)</f>
        <v>0</v>
      </c>
      <c r="U169" s="117">
        <f>VLOOKUP($K169,output!$A$9:$AI$2200,U$1-$L$1+2)</f>
        <v>0</v>
      </c>
      <c r="V169" s="117">
        <f>VLOOKUP($K169,output!$A$9:$AI$2200,V$1-$L$1+2)</f>
        <v>0</v>
      </c>
      <c r="W169" s="117">
        <f>VLOOKUP($K169,output!$A$9:$AI$2200,W$1-$L$1+2)</f>
        <v>0</v>
      </c>
      <c r="X169" s="117">
        <f>VLOOKUP($K169,output!$A$9:$AI$2200,X$1-$L$1+2)</f>
        <v>0</v>
      </c>
      <c r="Y169" s="117">
        <f>VLOOKUP($K169,output!$A$9:$AI$2200,Y$1-$L$1+2)</f>
        <v>0</v>
      </c>
      <c r="Z169" s="117">
        <f>VLOOKUP($K169,output!$A$9:$AI$2200,Z$1-$L$1+2)</f>
        <v>0</v>
      </c>
      <c r="AA169" s="117">
        <f>VLOOKUP($K169,output!$A$9:$AI$2200,AA$1-$L$1+2)</f>
        <v>0</v>
      </c>
      <c r="AB169" s="117">
        <f>VLOOKUP($K169,output!$A$9:$AI$2200,AB$1-$L$1+2)</f>
        <v>0</v>
      </c>
      <c r="AC169" s="117">
        <f>VLOOKUP($K169,output!$A$9:$AI$2200,AC$1-$L$1+2)</f>
        <v>0</v>
      </c>
      <c r="AD169" s="117">
        <f>VLOOKUP($K169,output!$A$9:$AI$2200,AD$1-$L$1+2)</f>
        <v>0</v>
      </c>
      <c r="AE169" s="117">
        <f>VLOOKUP($K169,output!$A$9:$AI$2200,AE$1-$L$1+2)</f>
        <v>0</v>
      </c>
      <c r="AF169" s="117">
        <f>VLOOKUP($K169,output!$A$9:$AI$2200,AF$1-$L$1+2)</f>
        <v>0</v>
      </c>
      <c r="AG169" s="117">
        <f>VLOOKUP($K169,output!$A$9:$AI$2200,AG$1-$L$1+2)</f>
        <v>0</v>
      </c>
      <c r="AH169" s="117">
        <f>VLOOKUP($K169,output!$A$9:$AI$2200,AH$1-$L$1+2)</f>
        <v>0</v>
      </c>
      <c r="AI169" s="117">
        <f>VLOOKUP($K169,output!$A$9:$AI$2200,AI$1-$L$1+2)</f>
        <v>0</v>
      </c>
      <c r="AJ169" s="117">
        <f>VLOOKUP($K169,output!$A$9:$AI$2200,AJ$1-$L$1+2)</f>
        <v>0</v>
      </c>
      <c r="AK169" s="117">
        <f>VLOOKUP($K169,output!$A$9:$AI$2200,AK$1-$L$1+2)</f>
        <v>0</v>
      </c>
      <c r="AL169" s="117">
        <f>VLOOKUP($K169,output!$A$9:$AI$2200,AL$1-$L$1+2)</f>
        <v>0</v>
      </c>
      <c r="AM169" s="117">
        <f>VLOOKUP($K169,output!$A$9:$AI$2200,AM$1-$L$1+2)</f>
        <v>0</v>
      </c>
    </row>
    <row r="170" spans="10:39" x14ac:dyDescent="0.25">
      <c r="K170" s="115" t="s">
        <v>546</v>
      </c>
      <c r="L170" s="31"/>
      <c r="M170" s="31"/>
      <c r="N170" s="31"/>
      <c r="O170" s="31" t="e">
        <f t="shared" ref="O170:AM170" si="8">O167*10^9/(O160*1000)</f>
        <v>#DIV/0!</v>
      </c>
      <c r="P170" s="31" t="e">
        <f t="shared" si="8"/>
        <v>#DIV/0!</v>
      </c>
      <c r="Q170" s="31" t="e">
        <f t="shared" si="8"/>
        <v>#DIV/0!</v>
      </c>
      <c r="R170" s="31" t="e">
        <f t="shared" si="8"/>
        <v>#DIV/0!</v>
      </c>
      <c r="S170" s="31" t="e">
        <f t="shared" si="8"/>
        <v>#DIV/0!</v>
      </c>
      <c r="T170" s="31" t="e">
        <f t="shared" si="8"/>
        <v>#DIV/0!</v>
      </c>
      <c r="U170" s="31" t="e">
        <f t="shared" si="8"/>
        <v>#DIV/0!</v>
      </c>
      <c r="V170" s="31" t="e">
        <f t="shared" si="8"/>
        <v>#DIV/0!</v>
      </c>
      <c r="W170" s="31" t="e">
        <f t="shared" si="8"/>
        <v>#DIV/0!</v>
      </c>
      <c r="X170" s="31" t="e">
        <f t="shared" si="8"/>
        <v>#DIV/0!</v>
      </c>
      <c r="Y170" s="31" t="e">
        <f t="shared" si="8"/>
        <v>#DIV/0!</v>
      </c>
      <c r="Z170" s="31" t="e">
        <f t="shared" si="8"/>
        <v>#DIV/0!</v>
      </c>
      <c r="AA170" s="31" t="e">
        <f t="shared" si="8"/>
        <v>#DIV/0!</v>
      </c>
      <c r="AB170" s="31" t="e">
        <f t="shared" si="8"/>
        <v>#DIV/0!</v>
      </c>
      <c r="AC170" s="31" t="e">
        <f t="shared" si="8"/>
        <v>#DIV/0!</v>
      </c>
      <c r="AD170" s="31" t="e">
        <f t="shared" si="8"/>
        <v>#DIV/0!</v>
      </c>
      <c r="AE170" s="31" t="e">
        <f t="shared" si="8"/>
        <v>#DIV/0!</v>
      </c>
      <c r="AF170" s="31" t="e">
        <f t="shared" si="8"/>
        <v>#DIV/0!</v>
      </c>
      <c r="AG170" s="31" t="e">
        <f t="shared" si="8"/>
        <v>#DIV/0!</v>
      </c>
      <c r="AH170" s="31" t="e">
        <f t="shared" si="8"/>
        <v>#DIV/0!</v>
      </c>
      <c r="AI170" s="31" t="e">
        <f t="shared" si="8"/>
        <v>#DIV/0!</v>
      </c>
      <c r="AJ170" s="31" t="e">
        <f t="shared" si="8"/>
        <v>#DIV/0!</v>
      </c>
      <c r="AK170" s="31" t="e">
        <f t="shared" si="8"/>
        <v>#DIV/0!</v>
      </c>
      <c r="AL170" s="31" t="e">
        <f t="shared" si="8"/>
        <v>#DIV/0!</v>
      </c>
      <c r="AM170" s="31" t="e">
        <f t="shared" si="8"/>
        <v>#DIV/0!</v>
      </c>
    </row>
    <row r="171" spans="10:39" x14ac:dyDescent="0.25">
      <c r="K171" s="115" t="s">
        <v>547</v>
      </c>
      <c r="L171" s="31"/>
      <c r="M171" s="31"/>
      <c r="N171" s="31"/>
      <c r="O171" s="31" t="e">
        <f t="shared" ref="O171:AM171" si="9">O168*10^9/(O161*1000)</f>
        <v>#DIV/0!</v>
      </c>
      <c r="P171" s="31" t="e">
        <f t="shared" si="9"/>
        <v>#DIV/0!</v>
      </c>
      <c r="Q171" s="31" t="e">
        <f t="shared" si="9"/>
        <v>#DIV/0!</v>
      </c>
      <c r="R171" s="31" t="e">
        <f t="shared" si="9"/>
        <v>#DIV/0!</v>
      </c>
      <c r="S171" s="31" t="e">
        <f t="shared" si="9"/>
        <v>#DIV/0!</v>
      </c>
      <c r="T171" s="31" t="e">
        <f t="shared" si="9"/>
        <v>#DIV/0!</v>
      </c>
      <c r="U171" s="31" t="e">
        <f t="shared" si="9"/>
        <v>#DIV/0!</v>
      </c>
      <c r="V171" s="31" t="e">
        <f t="shared" si="9"/>
        <v>#DIV/0!</v>
      </c>
      <c r="W171" s="31" t="e">
        <f t="shared" si="9"/>
        <v>#DIV/0!</v>
      </c>
      <c r="X171" s="31" t="e">
        <f t="shared" si="9"/>
        <v>#DIV/0!</v>
      </c>
      <c r="Y171" s="31" t="e">
        <f t="shared" si="9"/>
        <v>#DIV/0!</v>
      </c>
      <c r="Z171" s="31" t="e">
        <f t="shared" si="9"/>
        <v>#DIV/0!</v>
      </c>
      <c r="AA171" s="31" t="e">
        <f t="shared" si="9"/>
        <v>#DIV/0!</v>
      </c>
      <c r="AB171" s="31" t="e">
        <f t="shared" si="9"/>
        <v>#DIV/0!</v>
      </c>
      <c r="AC171" s="31" t="e">
        <f t="shared" si="9"/>
        <v>#DIV/0!</v>
      </c>
      <c r="AD171" s="31" t="e">
        <f t="shared" si="9"/>
        <v>#DIV/0!</v>
      </c>
      <c r="AE171" s="31" t="e">
        <f t="shared" si="9"/>
        <v>#DIV/0!</v>
      </c>
      <c r="AF171" s="31" t="e">
        <f t="shared" si="9"/>
        <v>#DIV/0!</v>
      </c>
      <c r="AG171" s="31" t="e">
        <f t="shared" si="9"/>
        <v>#DIV/0!</v>
      </c>
      <c r="AH171" s="31" t="e">
        <f t="shared" si="9"/>
        <v>#DIV/0!</v>
      </c>
      <c r="AI171" s="31" t="e">
        <f t="shared" si="9"/>
        <v>#DIV/0!</v>
      </c>
      <c r="AJ171" s="31" t="e">
        <f t="shared" si="9"/>
        <v>#DIV/0!</v>
      </c>
      <c r="AK171" s="31" t="e">
        <f t="shared" si="9"/>
        <v>#DIV/0!</v>
      </c>
      <c r="AL171" s="31" t="e">
        <f t="shared" si="9"/>
        <v>#DIV/0!</v>
      </c>
      <c r="AM171" s="31" t="e">
        <f t="shared" si="9"/>
        <v>#DIV/0!</v>
      </c>
    </row>
    <row r="172" spans="10:39" x14ac:dyDescent="0.25">
      <c r="K172" s="115" t="s">
        <v>551</v>
      </c>
      <c r="O172" s="31" t="e">
        <f>O169*10^9/(O162*1000)</f>
        <v>#DIV/0!</v>
      </c>
      <c r="P172" s="31" t="e">
        <f t="shared" ref="P172:AM172" si="10">P169*10^9/(P162*1000)</f>
        <v>#DIV/0!</v>
      </c>
      <c r="Q172" s="31" t="e">
        <f t="shared" si="10"/>
        <v>#DIV/0!</v>
      </c>
      <c r="R172" s="31" t="e">
        <f t="shared" si="10"/>
        <v>#DIV/0!</v>
      </c>
      <c r="S172" s="31" t="e">
        <f t="shared" si="10"/>
        <v>#DIV/0!</v>
      </c>
      <c r="T172" s="31" t="e">
        <f t="shared" si="10"/>
        <v>#DIV/0!</v>
      </c>
      <c r="U172" s="31" t="e">
        <f t="shared" si="10"/>
        <v>#DIV/0!</v>
      </c>
      <c r="V172" s="31" t="e">
        <f t="shared" si="10"/>
        <v>#DIV/0!</v>
      </c>
      <c r="W172" s="31" t="e">
        <f t="shared" si="10"/>
        <v>#DIV/0!</v>
      </c>
      <c r="X172" s="31" t="e">
        <f t="shared" si="10"/>
        <v>#DIV/0!</v>
      </c>
      <c r="Y172" s="31" t="e">
        <f t="shared" si="10"/>
        <v>#DIV/0!</v>
      </c>
      <c r="Z172" s="31" t="e">
        <f t="shared" si="10"/>
        <v>#DIV/0!</v>
      </c>
      <c r="AA172" s="31" t="e">
        <f t="shared" si="10"/>
        <v>#DIV/0!</v>
      </c>
      <c r="AB172" s="31" t="e">
        <f t="shared" si="10"/>
        <v>#DIV/0!</v>
      </c>
      <c r="AC172" s="31" t="e">
        <f t="shared" si="10"/>
        <v>#DIV/0!</v>
      </c>
      <c r="AD172" s="31" t="e">
        <f t="shared" si="10"/>
        <v>#DIV/0!</v>
      </c>
      <c r="AE172" s="31" t="e">
        <f t="shared" si="10"/>
        <v>#DIV/0!</v>
      </c>
      <c r="AF172" s="31" t="e">
        <f t="shared" si="10"/>
        <v>#DIV/0!</v>
      </c>
      <c r="AG172" s="31" t="e">
        <f t="shared" si="10"/>
        <v>#DIV/0!</v>
      </c>
      <c r="AH172" s="31" t="e">
        <f t="shared" si="10"/>
        <v>#DIV/0!</v>
      </c>
      <c r="AI172" s="31" t="e">
        <f t="shared" si="10"/>
        <v>#DIV/0!</v>
      </c>
      <c r="AJ172" s="31" t="e">
        <f t="shared" si="10"/>
        <v>#DIV/0!</v>
      </c>
      <c r="AK172" s="31" t="e">
        <f t="shared" si="10"/>
        <v>#DIV/0!</v>
      </c>
      <c r="AL172" s="31" t="e">
        <f t="shared" si="10"/>
        <v>#DIV/0!</v>
      </c>
      <c r="AM172" s="31" t="e">
        <f t="shared" si="10"/>
        <v>#DIV/0!</v>
      </c>
    </row>
    <row r="173" spans="10:39" x14ac:dyDescent="0.25">
      <c r="K173" s="115" t="s">
        <v>554</v>
      </c>
      <c r="O173" s="115">
        <v>40000</v>
      </c>
    </row>
    <row r="174" spans="10:39" x14ac:dyDescent="0.25">
      <c r="K174" s="115" t="s">
        <v>555</v>
      </c>
      <c r="O174" s="115">
        <v>10000</v>
      </c>
    </row>
    <row r="207" spans="10:39" x14ac:dyDescent="0.25">
      <c r="J207" s="36" t="s">
        <v>1243</v>
      </c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>
        <v>0.19600000000000001</v>
      </c>
      <c r="AA207" s="36">
        <v>0.2</v>
      </c>
      <c r="AB207" s="36">
        <v>0.2</v>
      </c>
      <c r="AC207" s="36">
        <v>0.19800000000000001</v>
      </c>
      <c r="AD207" s="36">
        <v>0.19400000000000001</v>
      </c>
      <c r="AE207" s="36">
        <v>0.189</v>
      </c>
      <c r="AF207" s="36">
        <v>0.182</v>
      </c>
      <c r="AG207" s="36">
        <v>0.17199999999999999</v>
      </c>
      <c r="AH207" s="36">
        <v>0.16600000000000001</v>
      </c>
      <c r="AI207" s="36">
        <v>0.159</v>
      </c>
      <c r="AJ207" s="36">
        <v>0.152</v>
      </c>
      <c r="AK207" s="36">
        <v>0.14499999999999999</v>
      </c>
      <c r="AL207" s="36">
        <v>0.13800000000000001</v>
      </c>
      <c r="AM207" s="36">
        <v>0.13100000000000001</v>
      </c>
    </row>
    <row r="208" spans="10:39" x14ac:dyDescent="0.25">
      <c r="J208" s="36" t="s">
        <v>1244</v>
      </c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>
        <v>15.11</v>
      </c>
      <c r="AA208" s="36">
        <v>15.25</v>
      </c>
      <c r="AB208" s="36">
        <v>15.178000000000001</v>
      </c>
      <c r="AC208" s="36">
        <v>14.948</v>
      </c>
      <c r="AD208" s="36">
        <v>14.685</v>
      </c>
      <c r="AE208" s="36">
        <v>14.366</v>
      </c>
      <c r="AF208" s="36">
        <v>14.003</v>
      </c>
      <c r="AG208" s="36">
        <v>13.637</v>
      </c>
      <c r="AH208" s="36">
        <v>13.223000000000001</v>
      </c>
      <c r="AI208" s="36">
        <v>12.797000000000001</v>
      </c>
      <c r="AJ208" s="36">
        <v>12.361000000000001</v>
      </c>
      <c r="AK208" s="36">
        <v>11.920999999999999</v>
      </c>
      <c r="AL208" s="36">
        <v>11.481</v>
      </c>
      <c r="AM208" s="36">
        <v>11.042999999999999</v>
      </c>
    </row>
    <row r="209" spans="10:39" x14ac:dyDescent="0.25">
      <c r="J209" s="115" t="s">
        <v>1245</v>
      </c>
      <c r="Z209" s="115">
        <v>176.685</v>
      </c>
      <c r="AA209" s="115">
        <v>152.19499999999999</v>
      </c>
      <c r="AB209" s="115">
        <v>132.01</v>
      </c>
      <c r="AC209" s="115">
        <v>129.999</v>
      </c>
      <c r="AD209" s="115">
        <v>97.846999999999994</v>
      </c>
      <c r="AE209" s="115">
        <v>84.632999999999996</v>
      </c>
      <c r="AF209" s="115">
        <v>73.290000000000006</v>
      </c>
      <c r="AG209" s="115">
        <v>65.435000000000002</v>
      </c>
      <c r="AH209" s="115">
        <v>58.363</v>
      </c>
      <c r="AI209" s="115">
        <v>51.975999999999999</v>
      </c>
      <c r="AJ209" s="115">
        <v>46.463999999999999</v>
      </c>
      <c r="AK209" s="115">
        <v>41.643999999999998</v>
      </c>
      <c r="AL209" s="115">
        <v>37.427</v>
      </c>
      <c r="AM209" s="115">
        <v>33.743000000000002</v>
      </c>
    </row>
    <row r="210" spans="10:39" x14ac:dyDescent="0.25">
      <c r="J210" s="115" t="s">
        <v>1246</v>
      </c>
      <c r="Z210" s="115">
        <v>313.47300000000001</v>
      </c>
      <c r="AA210" s="115">
        <v>288.17</v>
      </c>
      <c r="AB210" s="115">
        <v>264.56400000000002</v>
      </c>
      <c r="AC210" s="115">
        <v>225.565</v>
      </c>
      <c r="AD210" s="115">
        <v>217.702</v>
      </c>
      <c r="AE210" s="115">
        <v>197.28</v>
      </c>
      <c r="AF210" s="115">
        <v>178.214</v>
      </c>
      <c r="AG210" s="115">
        <v>166.59200000000001</v>
      </c>
      <c r="AH210" s="115">
        <v>154.73500000000001</v>
      </c>
      <c r="AI210" s="115">
        <v>143.78700000000001</v>
      </c>
      <c r="AJ210" s="115">
        <v>133.52099999999999</v>
      </c>
      <c r="AK210" s="115">
        <v>124.13500000000001</v>
      </c>
      <c r="AL210" s="115">
        <v>115.622</v>
      </c>
      <c r="AM210" s="115">
        <v>107.928</v>
      </c>
    </row>
    <row r="211" spans="10:39" x14ac:dyDescent="0.25">
      <c r="J211" s="115" t="s">
        <v>1247</v>
      </c>
      <c r="Z211" s="115">
        <v>0</v>
      </c>
      <c r="AA211" s="115">
        <v>0</v>
      </c>
      <c r="AB211" s="115">
        <v>0</v>
      </c>
      <c r="AC211" s="115">
        <v>0</v>
      </c>
      <c r="AD211" s="115">
        <v>0</v>
      </c>
      <c r="AE211" s="115">
        <v>0</v>
      </c>
      <c r="AF211" s="115">
        <v>0</v>
      </c>
      <c r="AG211" s="115">
        <v>0</v>
      </c>
      <c r="AH211" s="115">
        <v>0</v>
      </c>
      <c r="AI211" s="115">
        <v>0</v>
      </c>
      <c r="AJ211" s="115">
        <v>0</v>
      </c>
      <c r="AK211" s="115">
        <v>0</v>
      </c>
      <c r="AL211" s="115">
        <v>0</v>
      </c>
      <c r="AM211" s="115">
        <v>0</v>
      </c>
    </row>
    <row r="212" spans="10:39" x14ac:dyDescent="0.25">
      <c r="J212" s="36" t="s">
        <v>1237</v>
      </c>
      <c r="K212" s="36"/>
      <c r="L212" s="36"/>
      <c r="M212" s="36"/>
      <c r="N212" s="36"/>
      <c r="O212" s="36"/>
      <c r="P212" s="36"/>
      <c r="Q212" s="36"/>
      <c r="R212" s="36"/>
      <c r="S212" s="36"/>
      <c r="T212" s="36">
        <v>4.0000000000000001E-3</v>
      </c>
      <c r="U212" s="36">
        <v>4.0000000000000001E-3</v>
      </c>
      <c r="V212" s="36">
        <v>3.0000000000000001E-3</v>
      </c>
      <c r="W212" s="36">
        <v>3.0000000000000001E-3</v>
      </c>
      <c r="X212" s="36">
        <v>2E-3</v>
      </c>
      <c r="Y212" s="36">
        <v>2E-3</v>
      </c>
      <c r="Z212" s="36">
        <v>2E-3</v>
      </c>
      <c r="AA212" s="36">
        <v>1E-3</v>
      </c>
      <c r="AB212" s="36">
        <v>1E-3</v>
      </c>
      <c r="AC212" s="36">
        <v>1E-3</v>
      </c>
      <c r="AD212" s="36">
        <v>1E-3</v>
      </c>
      <c r="AE212" s="36">
        <v>1E-3</v>
      </c>
      <c r="AF212" s="36">
        <v>0</v>
      </c>
      <c r="AG212" s="36">
        <v>0</v>
      </c>
      <c r="AH212" s="36">
        <v>0</v>
      </c>
      <c r="AI212" s="36">
        <v>0</v>
      </c>
      <c r="AJ212" s="36">
        <v>0</v>
      </c>
      <c r="AK212" s="36">
        <v>0</v>
      </c>
      <c r="AL212" s="36">
        <v>0</v>
      </c>
      <c r="AM212" s="36">
        <v>0</v>
      </c>
    </row>
    <row r="213" spans="10:39" x14ac:dyDescent="0.25">
      <c r="J213" s="36" t="s">
        <v>1238</v>
      </c>
      <c r="K213" s="36"/>
      <c r="L213" s="36"/>
      <c r="M213" s="36"/>
      <c r="N213" s="36"/>
      <c r="O213" s="36"/>
      <c r="P213" s="36"/>
      <c r="Q213" s="36"/>
      <c r="R213" s="36"/>
      <c r="S213" s="36"/>
      <c r="T213" s="36">
        <v>4.9139999999999997</v>
      </c>
      <c r="U213" s="36">
        <v>5.0039999999999996</v>
      </c>
      <c r="V213" s="36">
        <v>4.5659999999999998</v>
      </c>
      <c r="W213" s="36">
        <v>4.0389999999999997</v>
      </c>
      <c r="X213" s="36">
        <v>3.492</v>
      </c>
      <c r="Y213" s="36">
        <v>2.9710000000000001</v>
      </c>
      <c r="Z213" s="36">
        <v>2.4710000000000001</v>
      </c>
      <c r="AA213" s="36">
        <v>2.0299999999999998</v>
      </c>
      <c r="AB213" s="36">
        <v>1.6459999999999999</v>
      </c>
      <c r="AC213" s="36">
        <v>1.3049999999999999</v>
      </c>
      <c r="AD213" s="36">
        <v>1.0309999999999999</v>
      </c>
      <c r="AE213" s="36">
        <v>0.80900000000000005</v>
      </c>
      <c r="AF213" s="36">
        <v>0.628</v>
      </c>
      <c r="AG213" s="36">
        <v>0.48299999999999998</v>
      </c>
      <c r="AH213" s="36">
        <v>0.36699999999999999</v>
      </c>
      <c r="AI213" s="36">
        <v>0.27400000000000002</v>
      </c>
      <c r="AJ213" s="36">
        <v>0.20100000000000001</v>
      </c>
      <c r="AK213" s="36">
        <v>0.14299999999999999</v>
      </c>
      <c r="AL213" s="36">
        <v>9.8000000000000004E-2</v>
      </c>
      <c r="AM213" s="36">
        <v>0.06</v>
      </c>
    </row>
    <row r="214" spans="10:39" x14ac:dyDescent="0.25">
      <c r="J214" s="36" t="s">
        <v>1239</v>
      </c>
      <c r="K214" s="36"/>
      <c r="L214" s="36"/>
      <c r="M214" s="36"/>
      <c r="N214" s="36"/>
      <c r="O214" s="36"/>
      <c r="P214" s="36"/>
      <c r="Q214" s="36"/>
      <c r="R214" s="36"/>
      <c r="S214" s="36"/>
      <c r="T214" s="36">
        <v>58.462000000000003</v>
      </c>
      <c r="U214" s="36">
        <v>48.526000000000003</v>
      </c>
      <c r="V214" s="36">
        <v>37.902999999999999</v>
      </c>
      <c r="W214" s="36">
        <v>29.571000000000002</v>
      </c>
      <c r="X214" s="36">
        <v>23.044</v>
      </c>
      <c r="Y214" s="36">
        <v>17.922000000000001</v>
      </c>
      <c r="Z214" s="36">
        <v>13.944000000000001</v>
      </c>
      <c r="AA214" s="36">
        <v>10.816000000000001</v>
      </c>
      <c r="AB214" s="36">
        <v>8.4250000000000007</v>
      </c>
      <c r="AC214" s="36">
        <v>7.952</v>
      </c>
      <c r="AD214" s="36">
        <v>4.7439999999999998</v>
      </c>
      <c r="AE214" s="36">
        <v>3.5670000000000002</v>
      </c>
      <c r="AF214" s="36">
        <v>2.6680000000000001</v>
      </c>
      <c r="AG214" s="36">
        <v>2.008</v>
      </c>
      <c r="AH214" s="36">
        <v>1.498</v>
      </c>
      <c r="AI214" s="36">
        <v>1.1020000000000001</v>
      </c>
      <c r="AJ214" s="36">
        <v>0.79900000000000004</v>
      </c>
      <c r="AK214" s="36">
        <v>0.57099999999999995</v>
      </c>
      <c r="AL214" s="36">
        <v>0.40100000000000002</v>
      </c>
      <c r="AM214" s="36">
        <v>0.26600000000000001</v>
      </c>
    </row>
    <row r="215" spans="10:39" x14ac:dyDescent="0.25">
      <c r="J215" s="115" t="s">
        <v>1240</v>
      </c>
      <c r="T215" s="115">
        <v>162.94</v>
      </c>
      <c r="U215" s="115">
        <v>123.184</v>
      </c>
      <c r="V215" s="115">
        <v>95.09</v>
      </c>
      <c r="W215" s="115">
        <v>73.072000000000003</v>
      </c>
      <c r="X215" s="115">
        <v>55.845999999999997</v>
      </c>
      <c r="Y215" s="115">
        <v>43.441000000000003</v>
      </c>
      <c r="Z215" s="115">
        <v>33.625</v>
      </c>
      <c r="AA215" s="115">
        <v>25.914999999999999</v>
      </c>
      <c r="AB215" s="115">
        <v>19.920999999999999</v>
      </c>
      <c r="AC215" s="115">
        <v>13.185</v>
      </c>
      <c r="AD215" s="115">
        <v>11.164</v>
      </c>
      <c r="AE215" s="115">
        <v>8.3130000000000006</v>
      </c>
      <c r="AF215" s="115">
        <v>6.1360000000000001</v>
      </c>
      <c r="AG215" s="115">
        <v>4.5759999999999996</v>
      </c>
      <c r="AH215" s="115">
        <v>3.3610000000000002</v>
      </c>
      <c r="AI215" s="115">
        <v>2.444</v>
      </c>
      <c r="AJ215" s="115">
        <v>1.7410000000000001</v>
      </c>
      <c r="AK215" s="115">
        <v>1.2130000000000001</v>
      </c>
      <c r="AL215" s="115">
        <v>0.81899999999999995</v>
      </c>
      <c r="AM215" s="115">
        <v>0.50800000000000001</v>
      </c>
    </row>
    <row r="216" spans="10:39" x14ac:dyDescent="0.25">
      <c r="J216" s="115" t="s">
        <v>1241</v>
      </c>
      <c r="T216" s="115">
        <v>0</v>
      </c>
      <c r="U216" s="115">
        <v>0</v>
      </c>
      <c r="V216" s="115">
        <v>0</v>
      </c>
      <c r="W216" s="115">
        <v>0</v>
      </c>
      <c r="X216" s="115">
        <v>0</v>
      </c>
      <c r="Y216" s="115">
        <v>0</v>
      </c>
      <c r="Z216" s="115">
        <v>0</v>
      </c>
      <c r="AA216" s="115">
        <v>0</v>
      </c>
      <c r="AB216" s="115">
        <v>0</v>
      </c>
      <c r="AC216" s="115">
        <v>0</v>
      </c>
      <c r="AD216" s="115">
        <v>0</v>
      </c>
      <c r="AE216" s="115">
        <v>0</v>
      </c>
      <c r="AF216" s="115">
        <v>0</v>
      </c>
      <c r="AG216" s="115">
        <v>0</v>
      </c>
      <c r="AH216" s="115">
        <v>0</v>
      </c>
      <c r="AI216" s="115">
        <v>0</v>
      </c>
      <c r="AJ216" s="115">
        <v>0</v>
      </c>
      <c r="AK216" s="115">
        <v>0</v>
      </c>
      <c r="AL216" s="115">
        <v>0</v>
      </c>
      <c r="AM216" s="115">
        <v>0</v>
      </c>
    </row>
    <row r="217" spans="10:39" x14ac:dyDescent="0.25">
      <c r="J217" s="115" t="s">
        <v>1242</v>
      </c>
      <c r="T217" s="115">
        <v>0</v>
      </c>
      <c r="U217" s="115">
        <v>0</v>
      </c>
      <c r="V217" s="115">
        <v>0</v>
      </c>
      <c r="W217" s="115">
        <v>0</v>
      </c>
      <c r="X217" s="115">
        <v>0</v>
      </c>
      <c r="Y217" s="115">
        <v>0</v>
      </c>
      <c r="Z217" s="115">
        <v>0</v>
      </c>
      <c r="AA217" s="115">
        <v>0</v>
      </c>
      <c r="AB217" s="115">
        <v>0</v>
      </c>
      <c r="AC217" s="115">
        <v>0</v>
      </c>
      <c r="AD217" s="115">
        <v>0</v>
      </c>
      <c r="AE217" s="115">
        <v>0</v>
      </c>
      <c r="AF217" s="115">
        <v>0</v>
      </c>
      <c r="AG217" s="115">
        <v>0</v>
      </c>
      <c r="AH217" s="115">
        <v>0</v>
      </c>
      <c r="AI217" s="115">
        <v>0</v>
      </c>
      <c r="AJ217" s="115">
        <v>0</v>
      </c>
      <c r="AK217" s="115">
        <v>0</v>
      </c>
      <c r="AL217" s="115">
        <v>0</v>
      </c>
      <c r="AM217" s="115">
        <v>0</v>
      </c>
    </row>
    <row r="218" spans="10:39" x14ac:dyDescent="0.25">
      <c r="J218" s="36" t="s">
        <v>1230</v>
      </c>
      <c r="K218" s="36"/>
      <c r="L218" s="36"/>
      <c r="M218" s="36"/>
      <c r="N218" s="36"/>
      <c r="O218" s="36">
        <v>0.26800000000000002</v>
      </c>
      <c r="P218" s="36">
        <v>0.221</v>
      </c>
      <c r="Q218" s="36">
        <v>0.183</v>
      </c>
      <c r="R218" s="36">
        <v>0.151</v>
      </c>
      <c r="S218" s="36">
        <v>0.124</v>
      </c>
      <c r="T218" s="36">
        <v>0.10199999999999999</v>
      </c>
      <c r="U218" s="36">
        <v>8.6999999999999994E-2</v>
      </c>
      <c r="V218" s="36">
        <v>7.0999999999999994E-2</v>
      </c>
      <c r="W218" s="36">
        <v>5.8999999999999997E-2</v>
      </c>
      <c r="X218" s="36">
        <v>4.8000000000000001E-2</v>
      </c>
      <c r="Y218" s="36">
        <v>3.9E-2</v>
      </c>
      <c r="Z218" s="36">
        <v>3.2000000000000001E-2</v>
      </c>
      <c r="AA218" s="36">
        <v>2.5999999999999999E-2</v>
      </c>
      <c r="AB218" s="36">
        <v>2.1000000000000001E-2</v>
      </c>
      <c r="AC218" s="36">
        <v>1.7000000000000001E-2</v>
      </c>
      <c r="AD218" s="36">
        <v>1.2999999999999999E-2</v>
      </c>
      <c r="AE218" s="36">
        <v>0.01</v>
      </c>
      <c r="AF218" s="36">
        <v>8.0000000000000002E-3</v>
      </c>
      <c r="AG218" s="36">
        <v>6.0000000000000001E-3</v>
      </c>
      <c r="AH218" s="36">
        <v>5.0000000000000001E-3</v>
      </c>
      <c r="AI218" s="36">
        <v>3.0000000000000001E-3</v>
      </c>
      <c r="AJ218" s="36">
        <v>3.0000000000000001E-3</v>
      </c>
      <c r="AK218" s="36">
        <v>2E-3</v>
      </c>
      <c r="AL218" s="36">
        <v>1E-3</v>
      </c>
      <c r="AM218" s="36">
        <v>1E-3</v>
      </c>
    </row>
    <row r="219" spans="10:39" x14ac:dyDescent="0.25">
      <c r="J219" s="36" t="s">
        <v>1231</v>
      </c>
      <c r="K219" s="36"/>
      <c r="L219" s="36"/>
      <c r="M219" s="36"/>
      <c r="N219" s="36"/>
      <c r="O219" s="36">
        <v>41.5</v>
      </c>
      <c r="P219" s="36">
        <v>32.531999999999996</v>
      </c>
      <c r="Q219" s="36">
        <v>25.315000000000001</v>
      </c>
      <c r="R219" s="36">
        <v>19.593</v>
      </c>
      <c r="S219" s="36">
        <v>15.07</v>
      </c>
      <c r="T219" s="36">
        <v>11.582000000000001</v>
      </c>
      <c r="U219" s="36">
        <v>8.9280000000000008</v>
      </c>
      <c r="V219" s="36">
        <v>6.7619999999999996</v>
      </c>
      <c r="W219" s="36">
        <v>5.0999999999999996</v>
      </c>
      <c r="X219" s="36">
        <v>3.8330000000000002</v>
      </c>
      <c r="Y219" s="36">
        <v>2.931</v>
      </c>
      <c r="Z219" s="36">
        <v>2.2570000000000001</v>
      </c>
      <c r="AA219" s="36">
        <v>1.744</v>
      </c>
      <c r="AB219" s="36">
        <v>1.3460000000000001</v>
      </c>
      <c r="AC219" s="36">
        <v>0.98</v>
      </c>
      <c r="AD219" s="36">
        <v>0.75</v>
      </c>
      <c r="AE219" s="36">
        <v>0.57699999999999996</v>
      </c>
      <c r="AF219" s="36">
        <v>0.437</v>
      </c>
      <c r="AG219" s="36">
        <v>0.34599999999999997</v>
      </c>
      <c r="AH219" s="36">
        <v>0.26400000000000001</v>
      </c>
      <c r="AI219" s="36">
        <v>0.20799999999999999</v>
      </c>
      <c r="AJ219" s="36">
        <v>0.158</v>
      </c>
      <c r="AK219" s="36">
        <v>0.12</v>
      </c>
      <c r="AL219" s="36">
        <v>9.0999999999999998E-2</v>
      </c>
      <c r="AM219" s="36">
        <v>6.7000000000000004E-2</v>
      </c>
    </row>
    <row r="220" spans="10:39" x14ac:dyDescent="0.25">
      <c r="J220" s="36" t="s">
        <v>1232</v>
      </c>
      <c r="K220" s="36"/>
      <c r="L220" s="36"/>
      <c r="M220" s="36"/>
      <c r="N220" s="36"/>
      <c r="O220" s="36">
        <v>52.277000000000001</v>
      </c>
      <c r="P220" s="36">
        <v>39.887999999999998</v>
      </c>
      <c r="Q220" s="36">
        <v>30.384</v>
      </c>
      <c r="R220" s="36">
        <v>23.044</v>
      </c>
      <c r="S220" s="36">
        <v>17.395</v>
      </c>
      <c r="T220" s="36">
        <v>13.074</v>
      </c>
      <c r="U220" s="36">
        <v>9.6359999999999992</v>
      </c>
      <c r="V220" s="36">
        <v>7.1369999999999996</v>
      </c>
      <c r="W220" s="36">
        <v>5.2489999999999997</v>
      </c>
      <c r="X220" s="36">
        <v>3.8319999999999999</v>
      </c>
      <c r="Y220" s="36">
        <v>2.899</v>
      </c>
      <c r="Z220" s="36">
        <v>2.1930000000000001</v>
      </c>
      <c r="AA220" s="36">
        <v>1.6539999999999999</v>
      </c>
      <c r="AB220" s="36">
        <v>1.234</v>
      </c>
      <c r="AC220" s="36">
        <v>0.878</v>
      </c>
      <c r="AD220" s="36">
        <v>0.64700000000000002</v>
      </c>
      <c r="AE220" s="36">
        <v>0.46899999999999997</v>
      </c>
      <c r="AF220" s="36">
        <v>0.33400000000000002</v>
      </c>
      <c r="AG220" s="36">
        <v>0.25600000000000001</v>
      </c>
      <c r="AH220" s="36">
        <v>0.189</v>
      </c>
      <c r="AI220" s="36">
        <v>0.14299999999999999</v>
      </c>
      <c r="AJ220" s="36">
        <v>0.104</v>
      </c>
      <c r="AK220" s="36">
        <v>7.5999999999999998E-2</v>
      </c>
      <c r="AL220" s="36">
        <v>5.6000000000000001E-2</v>
      </c>
      <c r="AM220" s="36">
        <v>3.9E-2</v>
      </c>
    </row>
    <row r="221" spans="10:39" x14ac:dyDescent="0.25">
      <c r="J221" s="115" t="s">
        <v>1233</v>
      </c>
      <c r="O221" s="115">
        <v>0</v>
      </c>
      <c r="P221" s="115">
        <v>0</v>
      </c>
      <c r="Q221" s="115">
        <v>0</v>
      </c>
      <c r="R221" s="115">
        <v>0</v>
      </c>
      <c r="S221" s="115">
        <v>0</v>
      </c>
      <c r="T221" s="115">
        <v>0</v>
      </c>
      <c r="U221" s="115">
        <v>0</v>
      </c>
      <c r="V221" s="115">
        <v>0</v>
      </c>
      <c r="W221" s="115">
        <v>0</v>
      </c>
      <c r="X221" s="115">
        <v>0</v>
      </c>
      <c r="Y221" s="115">
        <v>0</v>
      </c>
      <c r="Z221" s="115">
        <v>0</v>
      </c>
      <c r="AA221" s="115">
        <v>0</v>
      </c>
      <c r="AB221" s="115">
        <v>0</v>
      </c>
      <c r="AC221" s="115">
        <v>0</v>
      </c>
      <c r="AD221" s="115">
        <v>0</v>
      </c>
      <c r="AE221" s="115">
        <v>0</v>
      </c>
      <c r="AF221" s="115">
        <v>0</v>
      </c>
      <c r="AG221" s="115">
        <v>0</v>
      </c>
      <c r="AH221" s="115">
        <v>0</v>
      </c>
      <c r="AI221" s="115">
        <v>0</v>
      </c>
      <c r="AJ221" s="115">
        <v>0</v>
      </c>
      <c r="AK221" s="115">
        <v>0</v>
      </c>
      <c r="AL221" s="115">
        <v>0</v>
      </c>
      <c r="AM221" s="115">
        <v>0</v>
      </c>
    </row>
    <row r="222" spans="10:39" x14ac:dyDescent="0.25">
      <c r="J222" s="115" t="s">
        <v>1234</v>
      </c>
      <c r="O222" s="115">
        <v>0</v>
      </c>
      <c r="P222" s="115">
        <v>0</v>
      </c>
      <c r="Q222" s="115">
        <v>0</v>
      </c>
      <c r="R222" s="115">
        <v>0</v>
      </c>
      <c r="S222" s="115">
        <v>0</v>
      </c>
      <c r="T222" s="115">
        <v>0</v>
      </c>
      <c r="U222" s="115">
        <v>0</v>
      </c>
      <c r="V222" s="115">
        <v>0</v>
      </c>
      <c r="W222" s="115">
        <v>0</v>
      </c>
      <c r="X222" s="115">
        <v>0</v>
      </c>
      <c r="Y222" s="115">
        <v>0</v>
      </c>
      <c r="Z222" s="115">
        <v>0</v>
      </c>
      <c r="AA222" s="115">
        <v>0</v>
      </c>
      <c r="AB222" s="115">
        <v>0</v>
      </c>
      <c r="AC222" s="115">
        <v>0</v>
      </c>
      <c r="AD222" s="115">
        <v>0</v>
      </c>
      <c r="AE222" s="115">
        <v>0</v>
      </c>
      <c r="AF222" s="115">
        <v>0</v>
      </c>
      <c r="AG222" s="115">
        <v>0</v>
      </c>
      <c r="AH222" s="115">
        <v>0</v>
      </c>
      <c r="AI222" s="115">
        <v>0</v>
      </c>
      <c r="AJ222" s="115">
        <v>0</v>
      </c>
      <c r="AK222" s="115">
        <v>0</v>
      </c>
      <c r="AL222" s="115">
        <v>0</v>
      </c>
      <c r="AM222" s="115">
        <v>0</v>
      </c>
    </row>
    <row r="223" spans="10:39" x14ac:dyDescent="0.25">
      <c r="J223" s="115" t="s">
        <v>1235</v>
      </c>
      <c r="O223" s="115">
        <v>0</v>
      </c>
      <c r="P223" s="115">
        <v>0</v>
      </c>
      <c r="Q223" s="115">
        <v>0</v>
      </c>
      <c r="R223" s="115">
        <v>0</v>
      </c>
      <c r="S223" s="115">
        <v>0</v>
      </c>
      <c r="T223" s="115">
        <v>0</v>
      </c>
      <c r="U223" s="115">
        <v>0</v>
      </c>
      <c r="V223" s="115">
        <v>0</v>
      </c>
      <c r="W223" s="115">
        <v>0</v>
      </c>
      <c r="X223" s="115">
        <v>0</v>
      </c>
      <c r="Y223" s="115">
        <v>0</v>
      </c>
      <c r="Z223" s="115">
        <v>0</v>
      </c>
      <c r="AA223" s="115">
        <v>0</v>
      </c>
      <c r="AB223" s="115">
        <v>0</v>
      </c>
      <c r="AC223" s="115">
        <v>0</v>
      </c>
      <c r="AD223" s="115">
        <v>0</v>
      </c>
      <c r="AE223" s="115">
        <v>0</v>
      </c>
      <c r="AF223" s="115">
        <v>0</v>
      </c>
      <c r="AG223" s="115">
        <v>0</v>
      </c>
      <c r="AH223" s="115">
        <v>0</v>
      </c>
      <c r="AI223" s="115">
        <v>0</v>
      </c>
      <c r="AJ223" s="115">
        <v>0</v>
      </c>
      <c r="AK223" s="115">
        <v>0</v>
      </c>
      <c r="AL223" s="115">
        <v>0</v>
      </c>
      <c r="AM223" s="115">
        <v>0</v>
      </c>
    </row>
    <row r="224" spans="10:39" x14ac:dyDescent="0.25">
      <c r="J224" s="36" t="s">
        <v>1222</v>
      </c>
      <c r="K224" s="36"/>
      <c r="L224" s="36"/>
      <c r="M224" s="36">
        <v>0.39200000000000002</v>
      </c>
      <c r="N224" s="36">
        <v>0.17899999999999999</v>
      </c>
      <c r="O224" s="36">
        <v>0.14599999999999999</v>
      </c>
      <c r="P224" s="36">
        <v>0.11899999999999999</v>
      </c>
      <c r="Q224" s="36">
        <v>9.7000000000000003E-2</v>
      </c>
      <c r="R224" s="36">
        <v>7.9000000000000001E-2</v>
      </c>
      <c r="S224" s="36">
        <v>6.4000000000000001E-2</v>
      </c>
      <c r="T224" s="36">
        <v>5.1999999999999998E-2</v>
      </c>
      <c r="U224" s="36">
        <v>4.3999999999999997E-2</v>
      </c>
      <c r="V224" s="36">
        <v>3.5999999999999997E-2</v>
      </c>
      <c r="W224" s="36">
        <v>2.9000000000000001E-2</v>
      </c>
      <c r="X224" s="36">
        <v>2.3E-2</v>
      </c>
      <c r="Y224" s="36">
        <v>1.9E-2</v>
      </c>
      <c r="Z224" s="36">
        <v>1.4999999999999999E-2</v>
      </c>
      <c r="AA224" s="36">
        <v>1.2E-2</v>
      </c>
      <c r="AB224" s="36">
        <v>0.01</v>
      </c>
      <c r="AC224" s="36">
        <v>8.0000000000000002E-3</v>
      </c>
      <c r="AD224" s="36">
        <v>6.0000000000000001E-3</v>
      </c>
      <c r="AE224" s="36">
        <v>5.0000000000000001E-3</v>
      </c>
      <c r="AF224" s="36">
        <v>4.0000000000000001E-3</v>
      </c>
      <c r="AG224" s="36">
        <v>3.0000000000000001E-3</v>
      </c>
      <c r="AH224" s="36">
        <v>2E-3</v>
      </c>
      <c r="AI224" s="36">
        <v>1E-3</v>
      </c>
      <c r="AJ224" s="36">
        <v>1E-3</v>
      </c>
      <c r="AK224" s="36">
        <v>1E-3</v>
      </c>
      <c r="AL224" s="36">
        <v>1E-3</v>
      </c>
      <c r="AM224" s="36">
        <v>0</v>
      </c>
    </row>
    <row r="225" spans="10:39" x14ac:dyDescent="0.25">
      <c r="J225" s="36" t="s">
        <v>1223</v>
      </c>
      <c r="K225" s="36"/>
      <c r="L225" s="36"/>
      <c r="M225" s="36">
        <v>33.600999999999999</v>
      </c>
      <c r="N225" s="36">
        <v>24.366</v>
      </c>
      <c r="O225" s="36">
        <v>18.808</v>
      </c>
      <c r="P225" s="36">
        <v>14.523999999999999</v>
      </c>
      <c r="Q225" s="36">
        <v>11.157</v>
      </c>
      <c r="R225" s="36">
        <v>8.5169999999999995</v>
      </c>
      <c r="S225" s="36">
        <v>6.4539999999999997</v>
      </c>
      <c r="T225" s="36">
        <v>4.915</v>
      </c>
      <c r="U225" s="36">
        <v>3.7629999999999999</v>
      </c>
      <c r="V225" s="36">
        <v>2.81</v>
      </c>
      <c r="W225" s="36">
        <v>2.0950000000000002</v>
      </c>
      <c r="X225" s="36">
        <v>1.5589999999999999</v>
      </c>
      <c r="Y225" s="36">
        <v>1.1539999999999999</v>
      </c>
      <c r="Z225" s="36">
        <v>0.85599999999999998</v>
      </c>
      <c r="AA225" s="36">
        <v>0.63200000000000001</v>
      </c>
      <c r="AB225" s="36">
        <v>0.46300000000000002</v>
      </c>
      <c r="AC225" s="36">
        <v>0.33300000000000002</v>
      </c>
      <c r="AD225" s="36">
        <v>0.23699999999999999</v>
      </c>
      <c r="AE225" s="36">
        <v>0.16700000000000001</v>
      </c>
      <c r="AF225" s="36">
        <v>0.115</v>
      </c>
      <c r="AG225" s="36">
        <v>8.5000000000000006E-2</v>
      </c>
      <c r="AH225" s="36">
        <v>0.06</v>
      </c>
      <c r="AI225" s="36">
        <v>4.2999999999999997E-2</v>
      </c>
      <c r="AJ225" s="36">
        <v>0.03</v>
      </c>
      <c r="AK225" s="36">
        <v>0.02</v>
      </c>
      <c r="AL225" s="36">
        <v>1.2999999999999999E-2</v>
      </c>
      <c r="AM225" s="36">
        <v>8.0000000000000002E-3</v>
      </c>
    </row>
    <row r="226" spans="10:39" x14ac:dyDescent="0.25">
      <c r="J226" s="36" t="s">
        <v>1224</v>
      </c>
      <c r="K226" s="36"/>
      <c r="L226" s="36"/>
      <c r="M226" s="36">
        <v>34.076999999999998</v>
      </c>
      <c r="N226" s="36">
        <v>27.521999999999998</v>
      </c>
      <c r="O226" s="36">
        <v>20.672999999999998</v>
      </c>
      <c r="P226" s="36">
        <v>15.446999999999999</v>
      </c>
      <c r="Q226" s="36">
        <v>11.461</v>
      </c>
      <c r="R226" s="36">
        <v>8.4260000000000002</v>
      </c>
      <c r="S226" s="36">
        <v>6.125</v>
      </c>
      <c r="T226" s="36">
        <v>4.4249999999999998</v>
      </c>
      <c r="U226" s="36">
        <v>3.0209999999999999</v>
      </c>
      <c r="V226" s="36">
        <v>2.0859999999999999</v>
      </c>
      <c r="W226" s="36">
        <v>1.4159999999999999</v>
      </c>
      <c r="X226" s="36">
        <v>0.94299999999999995</v>
      </c>
      <c r="Y226" s="36">
        <v>0.69199999999999995</v>
      </c>
      <c r="Z226" s="36">
        <v>0.50700000000000001</v>
      </c>
      <c r="AA226" s="36">
        <v>0.371</v>
      </c>
      <c r="AB226" s="36">
        <v>0.27</v>
      </c>
      <c r="AC226" s="36">
        <v>0.193</v>
      </c>
      <c r="AD226" s="36">
        <v>0.13700000000000001</v>
      </c>
      <c r="AE226" s="36">
        <v>9.5000000000000001E-2</v>
      </c>
      <c r="AF226" s="36">
        <v>6.5000000000000002E-2</v>
      </c>
      <c r="AG226" s="36">
        <v>4.8000000000000001E-2</v>
      </c>
      <c r="AH226" s="36">
        <v>3.4000000000000002E-2</v>
      </c>
      <c r="AI226" s="36">
        <v>2.4E-2</v>
      </c>
      <c r="AJ226" s="36">
        <v>1.6E-2</v>
      </c>
      <c r="AK226" s="36">
        <v>1.0999999999999999E-2</v>
      </c>
      <c r="AL226" s="36">
        <v>7.0000000000000001E-3</v>
      </c>
      <c r="AM226" s="36">
        <v>4.0000000000000001E-3</v>
      </c>
    </row>
    <row r="227" spans="10:39" x14ac:dyDescent="0.25">
      <c r="J227" s="36" t="s">
        <v>1225</v>
      </c>
      <c r="K227" s="36"/>
      <c r="L227" s="36"/>
      <c r="M227" s="36">
        <v>0</v>
      </c>
      <c r="N227" s="36">
        <v>0</v>
      </c>
      <c r="O227" s="36">
        <v>0</v>
      </c>
      <c r="P227" s="36">
        <v>0</v>
      </c>
      <c r="Q227" s="36">
        <v>0</v>
      </c>
      <c r="R227" s="36">
        <v>0</v>
      </c>
      <c r="S227" s="36">
        <v>0</v>
      </c>
      <c r="T227" s="36">
        <v>0</v>
      </c>
      <c r="U227" s="36">
        <v>0</v>
      </c>
      <c r="V227" s="36">
        <v>0</v>
      </c>
      <c r="W227" s="36">
        <v>0</v>
      </c>
      <c r="X227" s="36">
        <v>0</v>
      </c>
      <c r="Y227" s="36">
        <v>0</v>
      </c>
      <c r="Z227" s="36">
        <v>0</v>
      </c>
      <c r="AA227" s="36">
        <v>0</v>
      </c>
      <c r="AB227" s="36">
        <v>0</v>
      </c>
      <c r="AC227" s="36">
        <v>0</v>
      </c>
      <c r="AD227" s="36">
        <v>0</v>
      </c>
      <c r="AE227" s="36">
        <v>0</v>
      </c>
      <c r="AF227" s="36">
        <v>0</v>
      </c>
      <c r="AG227" s="36">
        <v>0</v>
      </c>
      <c r="AH227" s="36">
        <v>0</v>
      </c>
      <c r="AI227" s="36">
        <v>0</v>
      </c>
      <c r="AJ227" s="36">
        <v>0</v>
      </c>
      <c r="AK227" s="36">
        <v>0</v>
      </c>
      <c r="AL227" s="36">
        <v>0</v>
      </c>
      <c r="AM227" s="36">
        <v>0</v>
      </c>
    </row>
    <row r="228" spans="10:39" x14ac:dyDescent="0.25">
      <c r="J228" s="115" t="s">
        <v>1226</v>
      </c>
      <c r="M228" s="115">
        <v>0</v>
      </c>
      <c r="N228" s="115">
        <v>0</v>
      </c>
      <c r="O228" s="115">
        <v>0</v>
      </c>
      <c r="P228" s="115">
        <v>0</v>
      </c>
      <c r="Q228" s="115">
        <v>0</v>
      </c>
      <c r="R228" s="115">
        <v>0</v>
      </c>
      <c r="S228" s="115">
        <v>0</v>
      </c>
      <c r="T228" s="115">
        <v>0</v>
      </c>
      <c r="U228" s="115">
        <v>0</v>
      </c>
      <c r="V228" s="115">
        <v>0</v>
      </c>
      <c r="W228" s="115">
        <v>0</v>
      </c>
      <c r="X228" s="115">
        <v>0</v>
      </c>
      <c r="Y228" s="115">
        <v>0</v>
      </c>
      <c r="Z228" s="115">
        <v>0</v>
      </c>
      <c r="AA228" s="115">
        <v>0</v>
      </c>
      <c r="AB228" s="115">
        <v>0</v>
      </c>
      <c r="AC228" s="115">
        <v>0</v>
      </c>
      <c r="AD228" s="115">
        <v>0</v>
      </c>
      <c r="AE228" s="115">
        <v>0</v>
      </c>
      <c r="AF228" s="115">
        <v>0</v>
      </c>
      <c r="AG228" s="115">
        <v>0</v>
      </c>
      <c r="AH228" s="115">
        <v>0</v>
      </c>
      <c r="AI228" s="115">
        <v>0</v>
      </c>
      <c r="AJ228" s="115">
        <v>0</v>
      </c>
      <c r="AK228" s="115">
        <v>0</v>
      </c>
      <c r="AL228" s="115">
        <v>0</v>
      </c>
      <c r="AM228" s="115">
        <v>0</v>
      </c>
    </row>
    <row r="229" spans="10:39" x14ac:dyDescent="0.25">
      <c r="J229" s="115" t="s">
        <v>1227</v>
      </c>
      <c r="M229" s="115">
        <v>0</v>
      </c>
      <c r="N229" s="115">
        <v>0</v>
      </c>
      <c r="O229" s="115">
        <v>0</v>
      </c>
      <c r="P229" s="115">
        <v>0</v>
      </c>
      <c r="Q229" s="115">
        <v>0</v>
      </c>
      <c r="R229" s="115">
        <v>0</v>
      </c>
      <c r="S229" s="115">
        <v>0</v>
      </c>
      <c r="T229" s="115">
        <v>0</v>
      </c>
      <c r="U229" s="115">
        <v>0</v>
      </c>
      <c r="V229" s="115">
        <v>0</v>
      </c>
      <c r="W229" s="115">
        <v>0</v>
      </c>
      <c r="X229" s="115">
        <v>0</v>
      </c>
      <c r="Y229" s="115">
        <v>0</v>
      </c>
      <c r="Z229" s="115">
        <v>0</v>
      </c>
      <c r="AA229" s="115">
        <v>0</v>
      </c>
      <c r="AB229" s="115">
        <v>0</v>
      </c>
      <c r="AC229" s="115">
        <v>0</v>
      </c>
      <c r="AD229" s="115">
        <v>0</v>
      </c>
      <c r="AE229" s="115">
        <v>0</v>
      </c>
      <c r="AF229" s="115">
        <v>0</v>
      </c>
      <c r="AG229" s="115">
        <v>0</v>
      </c>
      <c r="AH229" s="115">
        <v>0</v>
      </c>
      <c r="AI229" s="115">
        <v>0</v>
      </c>
      <c r="AJ229" s="115">
        <v>0</v>
      </c>
      <c r="AK229" s="115">
        <v>0</v>
      </c>
      <c r="AL229" s="115">
        <v>0</v>
      </c>
      <c r="AM229" s="115">
        <v>0</v>
      </c>
    </row>
    <row r="231" spans="10:39" x14ac:dyDescent="0.25">
      <c r="J231" s="36" t="s">
        <v>1191</v>
      </c>
      <c r="K231" s="36"/>
      <c r="L231" s="36"/>
      <c r="M231" s="36">
        <v>0.38200000000000001</v>
      </c>
      <c r="N231" s="36">
        <v>0.16600000000000001</v>
      </c>
      <c r="O231" s="36">
        <v>0.17799999999999999</v>
      </c>
      <c r="P231" s="36">
        <v>0.19400000000000001</v>
      </c>
      <c r="Q231" s="36">
        <v>0.246</v>
      </c>
      <c r="R231" s="36">
        <v>0.26600000000000001</v>
      </c>
      <c r="S231" s="36">
        <v>0.26200000000000001</v>
      </c>
      <c r="T231" s="36">
        <v>0.318</v>
      </c>
      <c r="U231" s="36">
        <v>0.315</v>
      </c>
      <c r="V231" s="36">
        <v>0.36399999999999999</v>
      </c>
      <c r="W231" s="36">
        <v>0.44500000000000001</v>
      </c>
      <c r="X231" s="36">
        <v>0.53800000000000003</v>
      </c>
      <c r="Y231" s="36">
        <v>0.54600000000000004</v>
      </c>
      <c r="Z231" s="36">
        <v>0.63100000000000001</v>
      </c>
      <c r="AA231" s="36">
        <v>0.88400000000000001</v>
      </c>
      <c r="AB231" s="36">
        <v>1.159</v>
      </c>
      <c r="AC231" s="36">
        <v>1.556</v>
      </c>
      <c r="AD231" s="36">
        <v>1.593</v>
      </c>
      <c r="AE231" s="36">
        <v>1.78</v>
      </c>
      <c r="AF231" s="36">
        <v>1.881</v>
      </c>
      <c r="AG231" s="36">
        <v>1.5249999999999999</v>
      </c>
      <c r="AH231" s="36">
        <v>1.4610000000000001</v>
      </c>
      <c r="AI231" s="36">
        <v>1.6220000000000001</v>
      </c>
      <c r="AJ231" s="36">
        <v>1.4750000000000001</v>
      </c>
      <c r="AK231" s="36">
        <v>1.4910000000000001</v>
      </c>
      <c r="AL231" s="36">
        <v>1.52</v>
      </c>
      <c r="AM231" s="36">
        <v>1.552</v>
      </c>
    </row>
    <row r="232" spans="10:39" x14ac:dyDescent="0.25">
      <c r="J232" s="115" t="s">
        <v>1192</v>
      </c>
      <c r="M232" s="115">
        <v>6.5990000000000002</v>
      </c>
      <c r="N232" s="115">
        <v>4.8159999999999998</v>
      </c>
      <c r="O232" s="115">
        <v>5.9180000000000001</v>
      </c>
      <c r="P232" s="115">
        <v>6.6319999999999997</v>
      </c>
      <c r="Q232" s="115">
        <v>10.255000000000001</v>
      </c>
      <c r="R232" s="115">
        <v>13.201000000000001</v>
      </c>
      <c r="S232" s="115">
        <v>14.952999999999999</v>
      </c>
      <c r="T232" s="115">
        <v>17.991</v>
      </c>
      <c r="U232" s="115">
        <v>17.123999999999999</v>
      </c>
      <c r="V232" s="115">
        <v>21.744</v>
      </c>
      <c r="W232" s="115">
        <v>27.984000000000002</v>
      </c>
      <c r="X232" s="115">
        <v>33.137</v>
      </c>
      <c r="Y232" s="115">
        <v>31.265000000000001</v>
      </c>
      <c r="Z232" s="115">
        <v>32.58</v>
      </c>
      <c r="AA232" s="115">
        <v>43.688000000000002</v>
      </c>
      <c r="AB232" s="115">
        <v>57.612000000000002</v>
      </c>
      <c r="AC232" s="115">
        <v>63.679000000000002</v>
      </c>
      <c r="AD232" s="115">
        <v>66.811000000000007</v>
      </c>
      <c r="AE232" s="115">
        <v>70.384</v>
      </c>
      <c r="AF232" s="115">
        <v>74.137</v>
      </c>
      <c r="AG232" s="115">
        <v>77.575000000000003</v>
      </c>
      <c r="AH232" s="115">
        <v>73.135000000000005</v>
      </c>
      <c r="AI232" s="115">
        <v>70.162999999999997</v>
      </c>
      <c r="AJ232" s="115">
        <v>66.495000000000005</v>
      </c>
      <c r="AK232" s="115">
        <v>63.856999999999999</v>
      </c>
      <c r="AL232" s="115">
        <v>61.606999999999999</v>
      </c>
      <c r="AM232" s="115">
        <v>59.8</v>
      </c>
    </row>
    <row r="233" spans="10:39" x14ac:dyDescent="0.25">
      <c r="J233" s="115" t="s">
        <v>1193</v>
      </c>
      <c r="M233" s="115">
        <v>54.725999999999999</v>
      </c>
      <c r="N233" s="115">
        <v>38.851999999999997</v>
      </c>
      <c r="O233" s="115">
        <v>43.447000000000003</v>
      </c>
      <c r="P233" s="115">
        <v>46.225000000000001</v>
      </c>
      <c r="Q233" s="115">
        <v>69.998999999999995</v>
      </c>
      <c r="R233" s="115">
        <v>83.198999999999998</v>
      </c>
      <c r="S233" s="115">
        <v>86.028999999999996</v>
      </c>
      <c r="T233" s="115">
        <v>100.622</v>
      </c>
      <c r="U233" s="115">
        <v>89.647000000000006</v>
      </c>
      <c r="V233" s="115">
        <v>108.592</v>
      </c>
      <c r="W233" s="115">
        <v>134.38399999999999</v>
      </c>
      <c r="X233" s="115">
        <v>155.999</v>
      </c>
      <c r="Y233" s="115">
        <v>147.30500000000001</v>
      </c>
      <c r="Z233" s="115">
        <v>153.566</v>
      </c>
      <c r="AA233" s="115">
        <v>203.91399999999999</v>
      </c>
      <c r="AB233" s="115">
        <v>272.56700000000001</v>
      </c>
      <c r="AC233" s="115">
        <v>308.53699999999998</v>
      </c>
      <c r="AD233" s="115">
        <v>329.68700000000001</v>
      </c>
      <c r="AE233" s="115">
        <v>354.31599999999997</v>
      </c>
      <c r="AF233" s="115">
        <v>384.21699999999998</v>
      </c>
      <c r="AG233" s="115">
        <v>421.51600000000002</v>
      </c>
      <c r="AH233" s="115">
        <v>409.98</v>
      </c>
      <c r="AI233" s="115">
        <v>398.60599999999999</v>
      </c>
      <c r="AJ233" s="115">
        <v>388.30900000000003</v>
      </c>
      <c r="AK233" s="115">
        <v>377.85199999999998</v>
      </c>
      <c r="AL233" s="115">
        <v>367.35199999999998</v>
      </c>
      <c r="AM233" s="115">
        <v>357.673</v>
      </c>
    </row>
    <row r="234" spans="10:39" x14ac:dyDescent="0.25">
      <c r="J234" s="115" t="s">
        <v>1194</v>
      </c>
      <c r="M234" s="115">
        <v>0.16300000000000001</v>
      </c>
      <c r="N234" s="115">
        <v>9.4E-2</v>
      </c>
      <c r="O234" s="115">
        <v>0.1</v>
      </c>
      <c r="P234" s="115">
        <v>9.9000000000000005E-2</v>
      </c>
      <c r="Q234" s="115">
        <v>0.11600000000000001</v>
      </c>
      <c r="R234" s="115">
        <v>0.12</v>
      </c>
      <c r="S234" s="115">
        <v>0.113</v>
      </c>
      <c r="T234" s="115">
        <v>0.121</v>
      </c>
      <c r="U234" s="115">
        <v>0.104</v>
      </c>
      <c r="V234" s="115">
        <v>0.112</v>
      </c>
      <c r="W234" s="115">
        <v>0.127</v>
      </c>
      <c r="X234" s="115">
        <v>0.13900000000000001</v>
      </c>
      <c r="Y234" s="115">
        <v>0.13400000000000001</v>
      </c>
      <c r="Z234" s="115">
        <v>0.14499999999999999</v>
      </c>
      <c r="AA234" s="115">
        <v>0.193</v>
      </c>
      <c r="AB234" s="115">
        <v>0.223</v>
      </c>
      <c r="AC234" s="115">
        <v>0.307</v>
      </c>
      <c r="AD234" s="115">
        <v>0.28699999999999998</v>
      </c>
      <c r="AE234" s="115">
        <v>0.308</v>
      </c>
      <c r="AF234" s="115">
        <v>0.29299999999999998</v>
      </c>
      <c r="AG234" s="115">
        <v>0.27300000000000002</v>
      </c>
      <c r="AH234" s="115">
        <v>0.21</v>
      </c>
      <c r="AI234" s="115">
        <v>0.26100000000000001</v>
      </c>
      <c r="AJ234" s="115">
        <v>0.20399999999999999</v>
      </c>
      <c r="AK234" s="115">
        <v>0.20799999999999999</v>
      </c>
      <c r="AL234" s="115">
        <v>0.216</v>
      </c>
      <c r="AM234" s="115">
        <v>0.223</v>
      </c>
    </row>
    <row r="235" spans="10:39" x14ac:dyDescent="0.25">
      <c r="J235" s="36" t="s">
        <v>1195</v>
      </c>
      <c r="K235" s="36"/>
      <c r="L235" s="36"/>
      <c r="M235" s="36">
        <v>0.25800000000000001</v>
      </c>
      <c r="N235" s="36">
        <v>0.12</v>
      </c>
      <c r="O235" s="36">
        <v>0.20200000000000001</v>
      </c>
      <c r="P235" s="36">
        <v>0.308</v>
      </c>
      <c r="Q235" s="36">
        <v>0.29599999999999999</v>
      </c>
      <c r="R235" s="36">
        <v>0.23899999999999999</v>
      </c>
      <c r="S235" s="36">
        <v>0.17399999999999999</v>
      </c>
      <c r="T235" s="36">
        <v>0.36099999999999999</v>
      </c>
      <c r="U235" s="36">
        <v>0.30299999999999999</v>
      </c>
      <c r="V235" s="36">
        <v>0.41099999999999998</v>
      </c>
      <c r="W235" s="36">
        <v>0.65500000000000003</v>
      </c>
      <c r="X235" s="36">
        <v>0.88100000000000001</v>
      </c>
      <c r="Y235" s="36">
        <v>0.85599999999999998</v>
      </c>
      <c r="Z235" s="36">
        <v>0.93300000000000005</v>
      </c>
      <c r="AA235" s="36">
        <v>0.94699999999999995</v>
      </c>
      <c r="AB235" s="36">
        <v>0.90800000000000003</v>
      </c>
      <c r="AC235" s="36">
        <v>0.96299999999999997</v>
      </c>
      <c r="AD235" s="36">
        <v>0.86799999999999999</v>
      </c>
      <c r="AE235" s="36">
        <v>0.83899999999999997</v>
      </c>
      <c r="AF235" s="36">
        <v>0.23400000000000001</v>
      </c>
      <c r="AG235" s="36">
        <v>0.127</v>
      </c>
      <c r="AH235" s="36">
        <v>0.14499999999999999</v>
      </c>
      <c r="AI235" s="36">
        <v>0.14399999999999999</v>
      </c>
      <c r="AJ235" s="36">
        <v>0.14599999999999999</v>
      </c>
      <c r="AK235" s="36">
        <v>0.14299999999999999</v>
      </c>
      <c r="AL235" s="36">
        <v>0.13900000000000001</v>
      </c>
      <c r="AM235" s="36">
        <v>0.13500000000000001</v>
      </c>
    </row>
    <row r="236" spans="10:39" x14ac:dyDescent="0.25">
      <c r="J236" s="36" t="s">
        <v>1196</v>
      </c>
      <c r="K236" s="36"/>
      <c r="L236" s="36"/>
      <c r="M236" s="36">
        <v>3.0310000000000001</v>
      </c>
      <c r="N236" s="36">
        <v>2.1309999999999998</v>
      </c>
      <c r="O236" s="36">
        <v>4.0330000000000004</v>
      </c>
      <c r="P236" s="36">
        <v>5.4420000000000002</v>
      </c>
      <c r="Q236" s="36">
        <v>6.68</v>
      </c>
      <c r="R236" s="36">
        <v>7.798</v>
      </c>
      <c r="S236" s="36">
        <v>9.16</v>
      </c>
      <c r="T236" s="36">
        <v>10.41</v>
      </c>
      <c r="U236" s="36">
        <v>13.129</v>
      </c>
      <c r="V236" s="36">
        <v>15.603</v>
      </c>
      <c r="W236" s="36">
        <v>21.614999999999998</v>
      </c>
      <c r="X236" s="36">
        <v>25.359000000000002</v>
      </c>
      <c r="Y236" s="36">
        <v>25.994</v>
      </c>
      <c r="Z236" s="36">
        <v>24.503</v>
      </c>
      <c r="AA236" s="36">
        <v>23.042000000000002</v>
      </c>
      <c r="AB236" s="36">
        <v>20.963000000000001</v>
      </c>
      <c r="AC236" s="36">
        <v>20.302</v>
      </c>
      <c r="AD236" s="36">
        <v>18.385000000000002</v>
      </c>
      <c r="AE236" s="36">
        <v>17.175000000000001</v>
      </c>
      <c r="AF236" s="36">
        <v>4.6120000000000001</v>
      </c>
      <c r="AG236" s="36">
        <v>3.46</v>
      </c>
      <c r="AH236" s="36">
        <v>3.5550000000000002</v>
      </c>
      <c r="AI236" s="36">
        <v>3.6629999999999998</v>
      </c>
      <c r="AJ236" s="36">
        <v>3.5910000000000002</v>
      </c>
      <c r="AK236" s="36">
        <v>3.5910000000000002</v>
      </c>
      <c r="AL236" s="36">
        <v>3.5870000000000002</v>
      </c>
      <c r="AM236" s="36">
        <v>3.5950000000000002</v>
      </c>
    </row>
    <row r="237" spans="10:39" x14ac:dyDescent="0.25">
      <c r="J237" s="115" t="s">
        <v>1197</v>
      </c>
      <c r="M237" s="115">
        <v>28.545000000000002</v>
      </c>
      <c r="N237" s="115">
        <v>34.9</v>
      </c>
      <c r="O237" s="115">
        <v>83.143000000000001</v>
      </c>
      <c r="P237" s="115">
        <v>108.021</v>
      </c>
      <c r="Q237" s="115">
        <v>119.102</v>
      </c>
      <c r="R237" s="115">
        <v>119.783</v>
      </c>
      <c r="S237" s="115">
        <v>119.402</v>
      </c>
      <c r="T237" s="115">
        <v>117.364</v>
      </c>
      <c r="U237" s="115">
        <v>123.161</v>
      </c>
      <c r="V237" s="115">
        <v>123.926</v>
      </c>
      <c r="W237" s="115">
        <v>146.99600000000001</v>
      </c>
      <c r="X237" s="115">
        <v>145.547</v>
      </c>
      <c r="Y237" s="115">
        <v>132.29300000000001</v>
      </c>
      <c r="Z237" s="115">
        <v>104.01900000000001</v>
      </c>
      <c r="AA237" s="115">
        <v>84.194999999999993</v>
      </c>
      <c r="AB237" s="115">
        <v>69.525999999999996</v>
      </c>
      <c r="AC237" s="115">
        <v>89.284000000000006</v>
      </c>
      <c r="AD237" s="115">
        <v>48.844000000000001</v>
      </c>
      <c r="AE237" s="115">
        <v>42.158999999999999</v>
      </c>
      <c r="AF237" s="115">
        <v>16.265999999999998</v>
      </c>
      <c r="AG237" s="115">
        <v>15.544</v>
      </c>
      <c r="AH237" s="115">
        <v>14.991</v>
      </c>
      <c r="AI237" s="115">
        <v>14.541</v>
      </c>
      <c r="AJ237" s="115">
        <v>13.917</v>
      </c>
      <c r="AK237" s="115">
        <v>13.462</v>
      </c>
      <c r="AL237" s="115">
        <v>13.002000000000001</v>
      </c>
      <c r="AM237" s="115">
        <v>12.914999999999999</v>
      </c>
    </row>
    <row r="238" spans="10:39" x14ac:dyDescent="0.25">
      <c r="J238" s="115" t="s">
        <v>1198</v>
      </c>
      <c r="M238" s="115">
        <v>147.77500000000001</v>
      </c>
      <c r="N238" s="115">
        <v>109.59399999999999</v>
      </c>
      <c r="O238" s="115">
        <v>156.94499999999999</v>
      </c>
      <c r="P238" s="115">
        <v>180.23</v>
      </c>
      <c r="Q238" s="115">
        <v>192.38300000000001</v>
      </c>
      <c r="R238" s="115">
        <v>196.47399999999999</v>
      </c>
      <c r="S238" s="115">
        <v>200.63800000000001</v>
      </c>
      <c r="T238" s="115">
        <v>207.01400000000001</v>
      </c>
      <c r="U238" s="115">
        <v>213.38499999999999</v>
      </c>
      <c r="V238" s="115">
        <v>222.22399999999999</v>
      </c>
      <c r="W238" s="115">
        <v>261.32400000000001</v>
      </c>
      <c r="X238" s="115">
        <v>274.52199999999999</v>
      </c>
      <c r="Y238" s="115">
        <v>276.923</v>
      </c>
      <c r="Z238" s="115">
        <v>247.32499999999999</v>
      </c>
      <c r="AA238" s="115">
        <v>221.239</v>
      </c>
      <c r="AB238" s="115">
        <v>199.208</v>
      </c>
      <c r="AC238" s="115">
        <v>173.75800000000001</v>
      </c>
      <c r="AD238" s="115">
        <v>157.41200000000001</v>
      </c>
      <c r="AE238" s="115">
        <v>141.25399999999999</v>
      </c>
      <c r="AF238" s="115">
        <v>67.512</v>
      </c>
      <c r="AG238" s="115">
        <v>65.350999999999999</v>
      </c>
      <c r="AH238" s="115">
        <v>63.225999999999999</v>
      </c>
      <c r="AI238" s="115">
        <v>60.826999999999998</v>
      </c>
      <c r="AJ238" s="115">
        <v>58.731000000000002</v>
      </c>
      <c r="AK238" s="115">
        <v>56.658000000000001</v>
      </c>
      <c r="AL238" s="115">
        <v>54.616999999999997</v>
      </c>
      <c r="AM238" s="115">
        <v>53.128999999999998</v>
      </c>
    </row>
    <row r="239" spans="10:39" x14ac:dyDescent="0.25">
      <c r="J239" s="115" t="s">
        <v>1199</v>
      </c>
      <c r="M239" s="115">
        <v>3.5999999999999997E-2</v>
      </c>
      <c r="N239" s="115">
        <v>2.4E-2</v>
      </c>
      <c r="O239" s="115">
        <v>3.5999999999999997E-2</v>
      </c>
      <c r="P239" s="115">
        <v>4.5999999999999999E-2</v>
      </c>
      <c r="Q239" s="115">
        <v>4.9000000000000002E-2</v>
      </c>
      <c r="R239" s="115">
        <v>0.05</v>
      </c>
      <c r="S239" s="115">
        <v>5.1999999999999998E-2</v>
      </c>
      <c r="T239" s="115">
        <v>5.8999999999999997E-2</v>
      </c>
      <c r="U239" s="115">
        <v>6.3E-2</v>
      </c>
      <c r="V239" s="115">
        <v>6.9000000000000006E-2</v>
      </c>
      <c r="W239" s="115">
        <v>8.4000000000000005E-2</v>
      </c>
      <c r="X239" s="115">
        <v>9.4E-2</v>
      </c>
      <c r="Y239" s="115">
        <v>0.10100000000000001</v>
      </c>
      <c r="Z239" s="115">
        <v>9.8000000000000004E-2</v>
      </c>
      <c r="AA239" s="115">
        <v>9.5000000000000001E-2</v>
      </c>
      <c r="AB239" s="115">
        <v>7.0000000000000007E-2</v>
      </c>
      <c r="AC239" s="115">
        <v>8.4000000000000005E-2</v>
      </c>
      <c r="AD239" s="115">
        <v>6.0999999999999999E-2</v>
      </c>
      <c r="AE239" s="115">
        <v>5.3999999999999999E-2</v>
      </c>
      <c r="AF239" s="115">
        <v>2.5999999999999999E-2</v>
      </c>
      <c r="AG239" s="115">
        <v>0.02</v>
      </c>
      <c r="AH239" s="115">
        <v>1.4999999999999999E-2</v>
      </c>
      <c r="AI239" s="115">
        <v>0.02</v>
      </c>
      <c r="AJ239" s="115">
        <v>1.4999999999999999E-2</v>
      </c>
      <c r="AK239" s="115">
        <v>1.4999999999999999E-2</v>
      </c>
      <c r="AL239" s="115">
        <v>1.6E-2</v>
      </c>
      <c r="AM239" s="115">
        <v>1.7000000000000001E-2</v>
      </c>
    </row>
    <row r="240" spans="10:39" x14ac:dyDescent="0.25">
      <c r="J240" s="115" t="s">
        <v>1200</v>
      </c>
      <c r="M240" s="115">
        <v>6.0000000000000001E-3</v>
      </c>
      <c r="N240" s="115">
        <v>3.0000000000000001E-3</v>
      </c>
      <c r="O240" s="115">
        <v>6.0000000000000001E-3</v>
      </c>
      <c r="P240" s="115">
        <v>1.2E-2</v>
      </c>
      <c r="Q240" s="115">
        <v>1.2E-2</v>
      </c>
      <c r="R240" s="115">
        <v>1.0999999999999999E-2</v>
      </c>
      <c r="S240" s="115">
        <v>1.0999999999999999E-2</v>
      </c>
      <c r="T240" s="115">
        <v>1.4E-2</v>
      </c>
      <c r="U240" s="115">
        <v>1.2999999999999999E-2</v>
      </c>
      <c r="V240" s="115">
        <v>1.4999999999999999E-2</v>
      </c>
      <c r="W240" s="115">
        <v>1.7999999999999999E-2</v>
      </c>
      <c r="X240" s="115">
        <v>0.02</v>
      </c>
      <c r="Y240" s="115">
        <v>2.1000000000000001E-2</v>
      </c>
      <c r="Z240" s="115">
        <v>2.1000000000000001E-2</v>
      </c>
      <c r="AA240" s="115">
        <v>0.02</v>
      </c>
      <c r="AB240" s="115">
        <v>1.4999999999999999E-2</v>
      </c>
      <c r="AC240" s="115">
        <v>1.7999999999999999E-2</v>
      </c>
      <c r="AD240" s="115">
        <v>1.4E-2</v>
      </c>
      <c r="AE240" s="115">
        <v>1.2999999999999999E-2</v>
      </c>
      <c r="AF240" s="115">
        <v>0.01</v>
      </c>
      <c r="AG240" s="115">
        <v>8.0000000000000002E-3</v>
      </c>
      <c r="AH240" s="115">
        <v>6.0000000000000001E-3</v>
      </c>
      <c r="AI240" s="115">
        <v>8.0000000000000002E-3</v>
      </c>
      <c r="AJ240" s="115">
        <v>5.0000000000000001E-3</v>
      </c>
      <c r="AK240" s="115">
        <v>6.0000000000000001E-3</v>
      </c>
      <c r="AL240" s="115">
        <v>6.0000000000000001E-3</v>
      </c>
      <c r="AM240" s="115">
        <v>6.0000000000000001E-3</v>
      </c>
    </row>
    <row r="241" spans="10:39" x14ac:dyDescent="0.25">
      <c r="J241" s="36" t="s">
        <v>1201</v>
      </c>
      <c r="K241" s="36"/>
      <c r="L241" s="36"/>
      <c r="M241" s="36">
        <v>0.06</v>
      </c>
      <c r="N241" s="36">
        <v>3.3000000000000002E-2</v>
      </c>
      <c r="O241" s="36">
        <v>3.2000000000000001E-2</v>
      </c>
      <c r="P241" s="36">
        <v>4.4999999999999998E-2</v>
      </c>
      <c r="Q241" s="36">
        <v>4.5999999999999999E-2</v>
      </c>
      <c r="R241" s="36">
        <v>3.6999999999999998E-2</v>
      </c>
      <c r="S241" s="36">
        <v>2.7E-2</v>
      </c>
      <c r="T241" s="36">
        <v>5.8000000000000003E-2</v>
      </c>
      <c r="U241" s="36">
        <v>5.3999999999999999E-2</v>
      </c>
      <c r="V241" s="36">
        <v>7.8E-2</v>
      </c>
      <c r="W241" s="36">
        <v>6.9000000000000006E-2</v>
      </c>
      <c r="X241" s="36">
        <v>1.6E-2</v>
      </c>
      <c r="Y241" s="36">
        <v>1.2999999999999999E-2</v>
      </c>
      <c r="Z241" s="36">
        <v>1.4999999999999999E-2</v>
      </c>
      <c r="AA241" s="36">
        <v>1.4999999999999999E-2</v>
      </c>
      <c r="AB241" s="36">
        <v>1.2999999999999999E-2</v>
      </c>
      <c r="AC241" s="36">
        <v>1.4999999999999999E-2</v>
      </c>
      <c r="AD241" s="36">
        <v>0.01</v>
      </c>
      <c r="AE241" s="36">
        <v>8.9999999999999993E-3</v>
      </c>
      <c r="AF241" s="36">
        <v>7.0000000000000001E-3</v>
      </c>
      <c r="AG241" s="36">
        <v>3.0000000000000001E-3</v>
      </c>
      <c r="AH241" s="36">
        <v>3.0000000000000001E-3</v>
      </c>
      <c r="AI241" s="36">
        <v>3.0000000000000001E-3</v>
      </c>
      <c r="AJ241" s="36">
        <v>2E-3</v>
      </c>
      <c r="AK241" s="36">
        <v>2E-3</v>
      </c>
      <c r="AL241" s="36">
        <v>1E-3</v>
      </c>
      <c r="AM241" s="36">
        <v>1E-3</v>
      </c>
    </row>
    <row r="242" spans="10:39" x14ac:dyDescent="0.25">
      <c r="J242" s="36" t="s">
        <v>1202</v>
      </c>
      <c r="K242" s="36"/>
      <c r="L242" s="36"/>
      <c r="M242" s="36">
        <v>1.52</v>
      </c>
      <c r="N242" s="36">
        <v>1.4710000000000001</v>
      </c>
      <c r="O242" s="36">
        <v>1.8180000000000001</v>
      </c>
      <c r="P242" s="36">
        <v>2.0670000000000002</v>
      </c>
      <c r="Q242" s="36">
        <v>2.5329999999999999</v>
      </c>
      <c r="R242" s="36">
        <v>2.7639999999999998</v>
      </c>
      <c r="S242" s="36">
        <v>3.077</v>
      </c>
      <c r="T242" s="36">
        <v>3.3809999999999998</v>
      </c>
      <c r="U242" s="36">
        <v>4.0789999999999997</v>
      </c>
      <c r="V242" s="36">
        <v>4.1399999999999997</v>
      </c>
      <c r="W242" s="36">
        <v>2.536</v>
      </c>
      <c r="X242" s="36">
        <v>1.4059999999999999</v>
      </c>
      <c r="Y242" s="36">
        <v>1.18</v>
      </c>
      <c r="Z242" s="36">
        <v>1.133</v>
      </c>
      <c r="AA242" s="36">
        <v>1.073</v>
      </c>
      <c r="AB242" s="36">
        <v>0.997</v>
      </c>
      <c r="AC242" s="36">
        <v>0.92800000000000005</v>
      </c>
      <c r="AD242" s="36">
        <v>0.83199999999999996</v>
      </c>
      <c r="AE242" s="36">
        <v>0.753</v>
      </c>
      <c r="AF242" s="36">
        <v>0.67400000000000004</v>
      </c>
      <c r="AG242" s="36">
        <v>0.51900000000000002</v>
      </c>
      <c r="AH242" s="36">
        <v>0.46800000000000003</v>
      </c>
      <c r="AI242" s="36">
        <v>0.40400000000000003</v>
      </c>
      <c r="AJ242" s="36">
        <v>0.34499999999999997</v>
      </c>
      <c r="AK242" s="36">
        <v>0.28299999999999997</v>
      </c>
      <c r="AL242" s="36">
        <v>0.224</v>
      </c>
      <c r="AM242" s="36">
        <v>0.16</v>
      </c>
    </row>
    <row r="243" spans="10:39" x14ac:dyDescent="0.25">
      <c r="J243" s="36" t="s">
        <v>1203</v>
      </c>
      <c r="K243" s="36"/>
      <c r="L243" s="36"/>
      <c r="M243" s="36">
        <v>12.811999999999999</v>
      </c>
      <c r="N243" s="36">
        <v>10.972</v>
      </c>
      <c r="O243" s="36">
        <v>12.829000000000001</v>
      </c>
      <c r="P243" s="36">
        <v>14.936</v>
      </c>
      <c r="Q243" s="36">
        <v>17.434000000000001</v>
      </c>
      <c r="R243" s="36">
        <v>18.02</v>
      </c>
      <c r="S243" s="36">
        <v>18.516999999999999</v>
      </c>
      <c r="T243" s="36">
        <v>19.89</v>
      </c>
      <c r="U243" s="36">
        <v>24.635999999999999</v>
      </c>
      <c r="V243" s="36">
        <v>25.437000000000001</v>
      </c>
      <c r="W243" s="36">
        <v>17.260000000000002</v>
      </c>
      <c r="X243" s="36">
        <v>8.109</v>
      </c>
      <c r="Y243" s="36">
        <v>7.0739999999999998</v>
      </c>
      <c r="Z243" s="36">
        <v>6.6180000000000003</v>
      </c>
      <c r="AA243" s="36">
        <v>6.1379999999999999</v>
      </c>
      <c r="AB243" s="36">
        <v>5.6719999999999997</v>
      </c>
      <c r="AC243" s="36">
        <v>35.609000000000002</v>
      </c>
      <c r="AD243" s="36">
        <v>3.6190000000000002</v>
      </c>
      <c r="AE243" s="36">
        <v>3.198</v>
      </c>
      <c r="AF243" s="36">
        <v>2.8109999999999999</v>
      </c>
      <c r="AG243" s="36">
        <v>2.4220000000000002</v>
      </c>
      <c r="AH243" s="36">
        <v>2.1389999999999998</v>
      </c>
      <c r="AI243" s="36">
        <v>1.8080000000000001</v>
      </c>
      <c r="AJ243" s="36">
        <v>1.498</v>
      </c>
      <c r="AK243" s="36">
        <v>1.2050000000000001</v>
      </c>
      <c r="AL243" s="36">
        <v>0.92400000000000004</v>
      </c>
      <c r="AM243" s="36">
        <v>0.63900000000000001</v>
      </c>
    </row>
    <row r="244" spans="10:39" x14ac:dyDescent="0.25">
      <c r="J244" s="115" t="s">
        <v>1204</v>
      </c>
      <c r="M244" s="115">
        <v>35.478000000000002</v>
      </c>
      <c r="N244" s="115">
        <v>41.6</v>
      </c>
      <c r="O244" s="115">
        <v>46.188000000000002</v>
      </c>
      <c r="P244" s="115">
        <v>47.755000000000003</v>
      </c>
      <c r="Q244" s="115">
        <v>52.223999999999997</v>
      </c>
      <c r="R244" s="115">
        <v>51.796999999999997</v>
      </c>
      <c r="S244" s="115">
        <v>51.468000000000004</v>
      </c>
      <c r="T244" s="115">
        <v>50.715000000000003</v>
      </c>
      <c r="U244" s="115">
        <v>51.274999999999999</v>
      </c>
      <c r="V244" s="115">
        <v>46.643000000000001</v>
      </c>
      <c r="W244" s="115">
        <v>29.009</v>
      </c>
      <c r="X244" s="115">
        <v>20.195</v>
      </c>
      <c r="Y244" s="115">
        <v>18.625</v>
      </c>
      <c r="Z244" s="115">
        <v>16.719000000000001</v>
      </c>
      <c r="AA244" s="115">
        <v>14.919</v>
      </c>
      <c r="AB244" s="115">
        <v>13.321999999999999</v>
      </c>
      <c r="AC244" s="115">
        <v>15.893000000000001</v>
      </c>
      <c r="AD244" s="115">
        <v>9.5069999999999997</v>
      </c>
      <c r="AE244" s="115">
        <v>8.2149999999999999</v>
      </c>
      <c r="AF244" s="115">
        <v>7.0540000000000003</v>
      </c>
      <c r="AG244" s="115">
        <v>6.0990000000000002</v>
      </c>
      <c r="AH244" s="115">
        <v>5.2130000000000001</v>
      </c>
      <c r="AI244" s="115">
        <v>4.3600000000000003</v>
      </c>
      <c r="AJ244" s="115">
        <v>3.5870000000000002</v>
      </c>
      <c r="AK244" s="115">
        <v>2.8679999999999999</v>
      </c>
      <c r="AL244" s="115">
        <v>2.202</v>
      </c>
      <c r="AM244" s="115">
        <v>1.534</v>
      </c>
    </row>
    <row r="245" spans="10:39" x14ac:dyDescent="0.25">
      <c r="J245" s="115" t="s">
        <v>1205</v>
      </c>
      <c r="M245" s="115">
        <v>37.296999999999997</v>
      </c>
      <c r="N245" s="115">
        <v>29.927</v>
      </c>
      <c r="O245" s="115">
        <v>32.576000000000001</v>
      </c>
      <c r="P245" s="115">
        <v>32.57</v>
      </c>
      <c r="Q245" s="115">
        <v>34.081000000000003</v>
      </c>
      <c r="R245" s="115">
        <v>33.029000000000003</v>
      </c>
      <c r="S245" s="115">
        <v>31.956</v>
      </c>
      <c r="T245" s="115">
        <v>31.742999999999999</v>
      </c>
      <c r="U245" s="115">
        <v>31.721</v>
      </c>
      <c r="V245" s="115">
        <v>33.066000000000003</v>
      </c>
      <c r="W245" s="115">
        <v>24.187000000000001</v>
      </c>
      <c r="X245" s="115">
        <v>6.0149999999999997</v>
      </c>
      <c r="Y245" s="115">
        <v>5.4820000000000002</v>
      </c>
      <c r="Z245" s="115">
        <v>4.8259999999999996</v>
      </c>
      <c r="AA245" s="115">
        <v>4.2069999999999999</v>
      </c>
      <c r="AB245" s="115">
        <v>3.677</v>
      </c>
      <c r="AC245" s="115">
        <v>3.4860000000000002</v>
      </c>
      <c r="AD245" s="115">
        <v>2.4470000000000001</v>
      </c>
      <c r="AE245" s="115">
        <v>2.044</v>
      </c>
      <c r="AF245" s="115">
        <v>1.6930000000000001</v>
      </c>
      <c r="AG245" s="115">
        <v>1.4610000000000001</v>
      </c>
      <c r="AH245" s="115">
        <v>1.2390000000000001</v>
      </c>
      <c r="AI245" s="115">
        <v>1.028</v>
      </c>
      <c r="AJ245" s="115">
        <v>0.84199999999999997</v>
      </c>
      <c r="AK245" s="115">
        <v>0.67100000000000004</v>
      </c>
      <c r="AL245" s="115">
        <v>0.51700000000000002</v>
      </c>
      <c r="AM245" s="115">
        <v>0.36899999999999999</v>
      </c>
    </row>
    <row r="246" spans="10:39" x14ac:dyDescent="0.25">
      <c r="J246" s="115" t="s">
        <v>1206</v>
      </c>
      <c r="M246" s="115">
        <v>2.8000000000000001E-2</v>
      </c>
      <c r="N246" s="115">
        <v>1.7999999999999999E-2</v>
      </c>
      <c r="O246" s="115">
        <v>2.5000000000000001E-2</v>
      </c>
      <c r="P246" s="115">
        <v>2.9000000000000001E-2</v>
      </c>
      <c r="Q246" s="115">
        <v>2.8000000000000001E-2</v>
      </c>
      <c r="R246" s="115">
        <v>2.5000000000000001E-2</v>
      </c>
      <c r="S246" s="115">
        <v>2.3E-2</v>
      </c>
      <c r="T246" s="115">
        <v>2.7E-2</v>
      </c>
      <c r="U246" s="115">
        <v>2.4E-2</v>
      </c>
      <c r="V246" s="115">
        <v>2.5000000000000001E-2</v>
      </c>
      <c r="W246" s="115">
        <v>2.4E-2</v>
      </c>
      <c r="X246" s="115">
        <v>2.1999999999999999E-2</v>
      </c>
      <c r="Y246" s="115">
        <v>5.0000000000000001E-3</v>
      </c>
      <c r="Z246" s="115">
        <v>6.0000000000000001E-3</v>
      </c>
      <c r="AA246" s="115">
        <v>6.0000000000000001E-3</v>
      </c>
      <c r="AB246" s="115">
        <v>5.0000000000000001E-3</v>
      </c>
      <c r="AC246" s="115">
        <v>6.0000000000000001E-3</v>
      </c>
      <c r="AD246" s="115">
        <v>4.0000000000000001E-3</v>
      </c>
      <c r="AE246" s="115">
        <v>3.0000000000000001E-3</v>
      </c>
      <c r="AF246" s="115">
        <v>2E-3</v>
      </c>
      <c r="AG246" s="115">
        <v>1E-3</v>
      </c>
      <c r="AH246" s="115">
        <v>1E-3</v>
      </c>
      <c r="AI246" s="115">
        <v>1E-3</v>
      </c>
      <c r="AJ246" s="115">
        <v>1E-3</v>
      </c>
      <c r="AK246" s="115">
        <v>1E-3</v>
      </c>
      <c r="AL246" s="115">
        <v>1E-3</v>
      </c>
      <c r="AM246" s="115">
        <v>0</v>
      </c>
    </row>
    <row r="247" spans="10:39" x14ac:dyDescent="0.25">
      <c r="J247" s="115" t="s">
        <v>1207</v>
      </c>
      <c r="M247" s="115">
        <v>0</v>
      </c>
      <c r="N247" s="115">
        <v>0</v>
      </c>
      <c r="O247" s="115">
        <v>0</v>
      </c>
      <c r="P247" s="115">
        <v>0</v>
      </c>
      <c r="Q247" s="115">
        <v>0</v>
      </c>
      <c r="R247" s="115">
        <v>0</v>
      </c>
      <c r="S247" s="115">
        <v>0</v>
      </c>
      <c r="T247" s="115">
        <v>0</v>
      </c>
      <c r="U247" s="115">
        <v>0</v>
      </c>
      <c r="V247" s="115">
        <v>0</v>
      </c>
      <c r="W247" s="115">
        <v>0</v>
      </c>
      <c r="X247" s="115">
        <v>0</v>
      </c>
      <c r="Y247" s="115">
        <v>0</v>
      </c>
      <c r="Z247" s="115">
        <v>0</v>
      </c>
      <c r="AA247" s="115">
        <v>0</v>
      </c>
      <c r="AB247" s="115">
        <v>0</v>
      </c>
      <c r="AC247" s="115">
        <v>0</v>
      </c>
      <c r="AD247" s="115">
        <v>0</v>
      </c>
      <c r="AE247" s="115">
        <v>0</v>
      </c>
      <c r="AF247" s="115">
        <v>0</v>
      </c>
      <c r="AG247" s="115">
        <v>0</v>
      </c>
      <c r="AH247" s="115">
        <v>0</v>
      </c>
      <c r="AI247" s="115">
        <v>0</v>
      </c>
      <c r="AJ247" s="115">
        <v>0</v>
      </c>
      <c r="AK247" s="115">
        <v>0</v>
      </c>
      <c r="AL247" s="115">
        <v>0</v>
      </c>
      <c r="AM247" s="115">
        <v>0</v>
      </c>
    </row>
    <row r="248" spans="10:39" x14ac:dyDescent="0.25">
      <c r="J248" s="36" t="s">
        <v>1208</v>
      </c>
      <c r="K248" s="36"/>
      <c r="L248" s="36"/>
      <c r="M248" s="36">
        <v>5.6000000000000001E-2</v>
      </c>
      <c r="N248" s="36">
        <v>3.4000000000000002E-2</v>
      </c>
      <c r="O248" s="36">
        <v>3.3000000000000002E-2</v>
      </c>
      <c r="P248" s="36">
        <v>4.7E-2</v>
      </c>
      <c r="Q248" s="36">
        <v>2.7E-2</v>
      </c>
      <c r="R248" s="36">
        <v>4.0000000000000001E-3</v>
      </c>
      <c r="S248" s="36">
        <v>3.0000000000000001E-3</v>
      </c>
      <c r="T248" s="36">
        <v>4.0000000000000001E-3</v>
      </c>
      <c r="U248" s="36">
        <v>4.0000000000000001E-3</v>
      </c>
      <c r="V248" s="36">
        <v>4.0000000000000001E-3</v>
      </c>
      <c r="W248" s="36">
        <v>4.0000000000000001E-3</v>
      </c>
      <c r="X248" s="36">
        <v>4.0000000000000001E-3</v>
      </c>
      <c r="Y248" s="36">
        <v>2E-3</v>
      </c>
      <c r="Z248" s="36">
        <v>2E-3</v>
      </c>
      <c r="AA248" s="36">
        <v>2E-3</v>
      </c>
      <c r="AB248" s="36">
        <v>2E-3</v>
      </c>
      <c r="AC248" s="36">
        <v>2E-3</v>
      </c>
      <c r="AD248" s="36">
        <v>1E-3</v>
      </c>
      <c r="AE248" s="36">
        <v>1E-3</v>
      </c>
      <c r="AF248" s="36">
        <v>1E-3</v>
      </c>
      <c r="AG248" s="36">
        <v>0</v>
      </c>
      <c r="AH248" s="36">
        <v>0</v>
      </c>
      <c r="AI248" s="36">
        <v>0</v>
      </c>
      <c r="AJ248" s="36">
        <v>0</v>
      </c>
      <c r="AK248" s="36">
        <v>0</v>
      </c>
      <c r="AL248" s="36">
        <v>0</v>
      </c>
      <c r="AM248" s="36">
        <v>0</v>
      </c>
    </row>
    <row r="249" spans="10:39" x14ac:dyDescent="0.25">
      <c r="J249" s="36" t="s">
        <v>1209</v>
      </c>
      <c r="K249" s="36"/>
      <c r="L249" s="36"/>
      <c r="M249" s="36">
        <v>0.81100000000000005</v>
      </c>
      <c r="N249" s="36">
        <v>0.36099999999999999</v>
      </c>
      <c r="O249" s="36">
        <v>0.39300000000000002</v>
      </c>
      <c r="P249" s="36">
        <v>0.42299999999999999</v>
      </c>
      <c r="Q249" s="36">
        <v>0.312</v>
      </c>
      <c r="R249" s="36">
        <v>0.19500000000000001</v>
      </c>
      <c r="S249" s="36">
        <v>0.19400000000000001</v>
      </c>
      <c r="T249" s="36">
        <v>0.182</v>
      </c>
      <c r="U249" s="36">
        <v>0.188</v>
      </c>
      <c r="V249" s="36">
        <v>0.17599999999999999</v>
      </c>
      <c r="W249" s="36">
        <v>0.16400000000000001</v>
      </c>
      <c r="X249" s="36">
        <v>0.151</v>
      </c>
      <c r="Y249" s="36">
        <v>0.11899999999999999</v>
      </c>
      <c r="Z249" s="36">
        <v>0.108</v>
      </c>
      <c r="AA249" s="36">
        <v>9.7000000000000003E-2</v>
      </c>
      <c r="AB249" s="36">
        <v>8.4000000000000005E-2</v>
      </c>
      <c r="AC249" s="36">
        <v>7.6999999999999999E-2</v>
      </c>
      <c r="AD249" s="36">
        <v>6.0999999999999999E-2</v>
      </c>
      <c r="AE249" s="36">
        <v>5.2999999999999999E-2</v>
      </c>
      <c r="AF249" s="36">
        <v>4.5999999999999999E-2</v>
      </c>
      <c r="AG249" s="36">
        <v>1.2E-2</v>
      </c>
      <c r="AH249" s="36">
        <v>1.4E-2</v>
      </c>
      <c r="AI249" s="36">
        <v>1.0999999999999999E-2</v>
      </c>
      <c r="AJ249" s="36">
        <v>8.9999999999999993E-3</v>
      </c>
      <c r="AK249" s="36">
        <v>7.0000000000000001E-3</v>
      </c>
      <c r="AL249" s="36">
        <v>5.0000000000000001E-3</v>
      </c>
      <c r="AM249" s="36">
        <v>3.0000000000000001E-3</v>
      </c>
    </row>
    <row r="250" spans="10:39" x14ac:dyDescent="0.25">
      <c r="J250" s="36" t="s">
        <v>1210</v>
      </c>
      <c r="K250" s="36"/>
      <c r="L250" s="36"/>
      <c r="M250" s="36">
        <v>13.531000000000001</v>
      </c>
      <c r="N250" s="36">
        <v>9.9659999999999993</v>
      </c>
      <c r="O250" s="36">
        <v>10.936</v>
      </c>
      <c r="P250" s="36">
        <v>13.430999999999999</v>
      </c>
      <c r="Q250" s="36">
        <v>9.2249999999999996</v>
      </c>
      <c r="R250" s="36">
        <v>3.7930000000000001</v>
      </c>
      <c r="S250" s="36">
        <v>3.8490000000000002</v>
      </c>
      <c r="T250" s="36">
        <v>3.9340000000000002</v>
      </c>
      <c r="U250" s="36">
        <v>6.4509999999999996</v>
      </c>
      <c r="V250" s="36">
        <v>6.4340000000000002</v>
      </c>
      <c r="W250" s="36">
        <v>6.2640000000000002</v>
      </c>
      <c r="X250" s="36">
        <v>5.97</v>
      </c>
      <c r="Y250" s="36">
        <v>5.3760000000000003</v>
      </c>
      <c r="Z250" s="36">
        <v>4.782</v>
      </c>
      <c r="AA250" s="36">
        <v>4.1310000000000002</v>
      </c>
      <c r="AB250" s="36">
        <v>3.5030000000000001</v>
      </c>
      <c r="AC250" s="36">
        <v>17.818000000000001</v>
      </c>
      <c r="AD250" s="36">
        <v>0.79700000000000004</v>
      </c>
      <c r="AE250" s="36">
        <v>0.69599999999999995</v>
      </c>
      <c r="AF250" s="36">
        <v>0.60299999999999998</v>
      </c>
      <c r="AG250" s="36">
        <v>0.42899999999999999</v>
      </c>
      <c r="AH250" s="36">
        <v>0.38900000000000001</v>
      </c>
      <c r="AI250" s="36">
        <v>0.313</v>
      </c>
      <c r="AJ250" s="36">
        <v>0.254</v>
      </c>
      <c r="AK250" s="36">
        <v>0.193</v>
      </c>
      <c r="AL250" s="36">
        <v>0.13900000000000001</v>
      </c>
      <c r="AM250" s="36">
        <v>0.09</v>
      </c>
    </row>
    <row r="251" spans="10:39" x14ac:dyDescent="0.25">
      <c r="J251" s="36" t="s">
        <v>1211</v>
      </c>
      <c r="K251" s="36"/>
      <c r="L251" s="36"/>
      <c r="M251" s="36">
        <v>13.686999999999999</v>
      </c>
      <c r="N251" s="36">
        <v>6.5380000000000003</v>
      </c>
      <c r="O251" s="36">
        <v>6.6559999999999997</v>
      </c>
      <c r="P251" s="36">
        <v>7.319</v>
      </c>
      <c r="Q251" s="36">
        <v>6.0039999999999996</v>
      </c>
      <c r="R251" s="36">
        <v>4.8109999999999999</v>
      </c>
      <c r="S251" s="36">
        <v>4.7809999999999997</v>
      </c>
      <c r="T251" s="36">
        <v>4.601</v>
      </c>
      <c r="U251" s="36">
        <v>6.8869999999999996</v>
      </c>
      <c r="V251" s="36">
        <v>6.5209999999999999</v>
      </c>
      <c r="W251" s="36">
        <v>6.0119999999999996</v>
      </c>
      <c r="X251" s="36">
        <v>5.4109999999999996</v>
      </c>
      <c r="Y251" s="36">
        <v>4.766</v>
      </c>
      <c r="Z251" s="36">
        <v>4.1529999999999996</v>
      </c>
      <c r="AA251" s="36">
        <v>3.5249999999999999</v>
      </c>
      <c r="AB251" s="36">
        <v>2.9409999999999998</v>
      </c>
      <c r="AC251" s="36">
        <v>16.359000000000002</v>
      </c>
      <c r="AD251" s="36">
        <v>0.68600000000000005</v>
      </c>
      <c r="AE251" s="36">
        <v>0.57699999999999996</v>
      </c>
      <c r="AF251" s="36">
        <v>0.47299999999999998</v>
      </c>
      <c r="AG251" s="36">
        <v>0.40200000000000002</v>
      </c>
      <c r="AH251" s="36">
        <v>0.33600000000000002</v>
      </c>
      <c r="AI251" s="36">
        <v>0.27600000000000002</v>
      </c>
      <c r="AJ251" s="36">
        <v>0.21299999999999999</v>
      </c>
      <c r="AK251" s="36">
        <v>0.16200000000000001</v>
      </c>
      <c r="AL251" s="36">
        <v>0.11799999999999999</v>
      </c>
      <c r="AM251" s="36">
        <v>7.8E-2</v>
      </c>
    </row>
    <row r="252" spans="10:39" x14ac:dyDescent="0.25">
      <c r="J252" s="115" t="s">
        <v>1212</v>
      </c>
      <c r="M252" s="115">
        <v>31.029</v>
      </c>
      <c r="N252" s="115">
        <v>20.672000000000001</v>
      </c>
      <c r="O252" s="115">
        <v>20.388000000000002</v>
      </c>
      <c r="P252" s="115">
        <v>19.068999999999999</v>
      </c>
      <c r="Q252" s="115">
        <v>14.817</v>
      </c>
      <c r="R252" s="115">
        <v>11.736000000000001</v>
      </c>
      <c r="S252" s="115">
        <v>10.776999999999999</v>
      </c>
      <c r="T252" s="115">
        <v>9.5009999999999994</v>
      </c>
      <c r="U252" s="115">
        <v>8.7550000000000008</v>
      </c>
      <c r="V252" s="115">
        <v>7.6059999999999999</v>
      </c>
      <c r="W252" s="115">
        <v>6.556</v>
      </c>
      <c r="X252" s="115">
        <v>5.5979999999999999</v>
      </c>
      <c r="Y252" s="115">
        <v>4.875</v>
      </c>
      <c r="Z252" s="115">
        <v>4.218</v>
      </c>
      <c r="AA252" s="115">
        <v>3.621</v>
      </c>
      <c r="AB252" s="115">
        <v>3.0870000000000002</v>
      </c>
      <c r="AC252" s="115">
        <v>2.536</v>
      </c>
      <c r="AD252" s="115">
        <v>2.081</v>
      </c>
      <c r="AE252" s="115">
        <v>1.6930000000000001</v>
      </c>
      <c r="AF252" s="115">
        <v>1.3540000000000001</v>
      </c>
      <c r="AG252" s="115">
        <v>1.1679999999999999</v>
      </c>
      <c r="AH252" s="115">
        <v>0.97799999999999998</v>
      </c>
      <c r="AI252" s="115">
        <v>0.81</v>
      </c>
      <c r="AJ252" s="115">
        <v>0.65700000000000003</v>
      </c>
      <c r="AK252" s="115">
        <v>0.52</v>
      </c>
      <c r="AL252" s="115">
        <v>0.39900000000000002</v>
      </c>
      <c r="AM252" s="115">
        <v>0.29799999999999999</v>
      </c>
    </row>
    <row r="253" spans="10:39" x14ac:dyDescent="0.25">
      <c r="J253" s="115" t="s">
        <v>1213</v>
      </c>
      <c r="M253" s="115">
        <v>37.399000000000001</v>
      </c>
      <c r="N253" s="115">
        <v>28.244</v>
      </c>
      <c r="O253" s="115">
        <v>30.138000000000002</v>
      </c>
      <c r="P253" s="115">
        <v>29.702000000000002</v>
      </c>
      <c r="Q253" s="115">
        <v>23.962</v>
      </c>
      <c r="R253" s="115">
        <v>17.544</v>
      </c>
      <c r="S253" s="115">
        <v>16.416</v>
      </c>
      <c r="T253" s="115">
        <v>14.72</v>
      </c>
      <c r="U253" s="115">
        <v>13.423999999999999</v>
      </c>
      <c r="V253" s="115">
        <v>11.808999999999999</v>
      </c>
      <c r="W253" s="115">
        <v>10.311999999999999</v>
      </c>
      <c r="X253" s="115">
        <v>8.9369999999999994</v>
      </c>
      <c r="Y253" s="115">
        <v>7.7809999999999997</v>
      </c>
      <c r="Z253" s="115">
        <v>6.7119999999999997</v>
      </c>
      <c r="AA253" s="115">
        <v>5.758</v>
      </c>
      <c r="AB253" s="115">
        <v>4.9640000000000004</v>
      </c>
      <c r="AC253" s="115">
        <v>3.7690000000000001</v>
      </c>
      <c r="AD253" s="115">
        <v>3.1070000000000002</v>
      </c>
      <c r="AE253" s="115">
        <v>2.6280000000000001</v>
      </c>
      <c r="AF253" s="115">
        <v>2.2069999999999999</v>
      </c>
      <c r="AG253" s="115">
        <v>1.9139999999999999</v>
      </c>
      <c r="AH253" s="115">
        <v>1.6339999999999999</v>
      </c>
      <c r="AI253" s="115">
        <v>1.369</v>
      </c>
      <c r="AJ253" s="115">
        <v>1.1299999999999999</v>
      </c>
      <c r="AK253" s="115">
        <v>0.90800000000000003</v>
      </c>
      <c r="AL253" s="115">
        <v>0.70299999999999996</v>
      </c>
      <c r="AM253" s="115">
        <v>0.496</v>
      </c>
    </row>
    <row r="254" spans="10:39" x14ac:dyDescent="0.25">
      <c r="J254" s="115" t="s">
        <v>1214</v>
      </c>
      <c r="M254" s="115">
        <v>4.0000000000000001E-3</v>
      </c>
      <c r="N254" s="115">
        <v>2E-3</v>
      </c>
      <c r="O254" s="115">
        <v>3.0000000000000001E-3</v>
      </c>
      <c r="P254" s="115">
        <v>3.0000000000000001E-3</v>
      </c>
      <c r="Q254" s="115">
        <v>2E-3</v>
      </c>
      <c r="R254" s="115">
        <v>2E-3</v>
      </c>
      <c r="S254" s="115">
        <v>2E-3</v>
      </c>
      <c r="T254" s="115">
        <v>2E-3</v>
      </c>
      <c r="U254" s="115">
        <v>2E-3</v>
      </c>
      <c r="V254" s="115">
        <v>2E-3</v>
      </c>
      <c r="W254" s="115">
        <v>2E-3</v>
      </c>
      <c r="X254" s="115">
        <v>2E-3</v>
      </c>
      <c r="Y254" s="115">
        <v>2E-3</v>
      </c>
      <c r="Z254" s="115">
        <v>2E-3</v>
      </c>
      <c r="AA254" s="115">
        <v>2E-3</v>
      </c>
      <c r="AB254" s="115">
        <v>1E-3</v>
      </c>
      <c r="AC254" s="115">
        <v>1E-3</v>
      </c>
      <c r="AD254" s="115">
        <v>1E-3</v>
      </c>
      <c r="AE254" s="115">
        <v>1E-3</v>
      </c>
      <c r="AF254" s="115">
        <v>1E-3</v>
      </c>
      <c r="AG254" s="115">
        <v>0</v>
      </c>
      <c r="AH254" s="115">
        <v>0</v>
      </c>
      <c r="AI254" s="115">
        <v>0</v>
      </c>
      <c r="AJ254" s="115">
        <v>0</v>
      </c>
      <c r="AK254" s="115">
        <v>0</v>
      </c>
      <c r="AL254" s="115">
        <v>0</v>
      </c>
      <c r="AM254" s="115">
        <v>0</v>
      </c>
    </row>
    <row r="255" spans="10:39" x14ac:dyDescent="0.25">
      <c r="J255" s="36" t="s">
        <v>1215</v>
      </c>
      <c r="K255" s="36"/>
      <c r="M255" s="36">
        <v>5.8999999999999997E-2</v>
      </c>
      <c r="N255" s="36">
        <v>1.4E-2</v>
      </c>
      <c r="O255" s="36">
        <v>6.0000000000000001E-3</v>
      </c>
      <c r="P255" s="36">
        <v>3.0000000000000001E-3</v>
      </c>
      <c r="Q255" s="36">
        <v>2E-3</v>
      </c>
      <c r="R255" s="36">
        <v>2E-3</v>
      </c>
      <c r="S255" s="36">
        <v>1E-3</v>
      </c>
      <c r="T255" s="36">
        <v>2E-3</v>
      </c>
      <c r="U255" s="36">
        <v>2E-3</v>
      </c>
      <c r="V255" s="36">
        <v>2E-3</v>
      </c>
      <c r="W255" s="36">
        <v>1E-3</v>
      </c>
      <c r="X255" s="36">
        <v>1E-3</v>
      </c>
      <c r="Y255" s="36">
        <v>1E-3</v>
      </c>
      <c r="Z255" s="36">
        <v>1E-3</v>
      </c>
      <c r="AA255" s="36">
        <v>1E-3</v>
      </c>
      <c r="AB255" s="36">
        <v>1E-3</v>
      </c>
      <c r="AC255" s="36">
        <v>1E-3</v>
      </c>
      <c r="AD255" s="36">
        <v>0</v>
      </c>
      <c r="AE255" s="36">
        <v>0</v>
      </c>
      <c r="AF255" s="36">
        <v>0</v>
      </c>
      <c r="AG255" s="36">
        <v>0</v>
      </c>
      <c r="AH255" s="36">
        <v>0</v>
      </c>
      <c r="AI255" s="36">
        <v>0</v>
      </c>
      <c r="AJ255" s="36">
        <v>0</v>
      </c>
      <c r="AK255" s="36">
        <v>0</v>
      </c>
      <c r="AL255" s="36">
        <v>0</v>
      </c>
      <c r="AM255" s="36">
        <v>0</v>
      </c>
    </row>
    <row r="256" spans="10:39" x14ac:dyDescent="0.25">
      <c r="J256" s="36" t="s">
        <v>1216</v>
      </c>
      <c r="K256" s="36"/>
      <c r="M256" s="36">
        <v>0.32400000000000001</v>
      </c>
      <c r="N256" s="36">
        <v>9.7000000000000003E-2</v>
      </c>
      <c r="O256" s="36">
        <v>6.2E-2</v>
      </c>
      <c r="P256" s="36">
        <v>4.8000000000000001E-2</v>
      </c>
      <c r="Q256" s="36">
        <v>4.4999999999999998E-2</v>
      </c>
      <c r="R256" s="36">
        <v>4.2000000000000003E-2</v>
      </c>
      <c r="S256" s="36">
        <v>3.9E-2</v>
      </c>
      <c r="T256" s="36">
        <v>3.6999999999999998E-2</v>
      </c>
      <c r="U256" s="36">
        <v>4.3999999999999997E-2</v>
      </c>
      <c r="V256" s="36">
        <v>3.9E-2</v>
      </c>
      <c r="W256" s="36">
        <v>3.4000000000000002E-2</v>
      </c>
      <c r="X256" s="36">
        <v>2.9000000000000001E-2</v>
      </c>
      <c r="Y256" s="36">
        <v>7.0000000000000001E-3</v>
      </c>
      <c r="Z256" s="36">
        <v>6.0000000000000001E-3</v>
      </c>
      <c r="AA256" s="36">
        <v>5.0000000000000001E-3</v>
      </c>
      <c r="AB256" s="36">
        <v>4.0000000000000001E-3</v>
      </c>
      <c r="AC256" s="36">
        <v>4.0000000000000001E-3</v>
      </c>
      <c r="AD256" s="36">
        <v>3.0000000000000001E-3</v>
      </c>
      <c r="AE256" s="36">
        <v>3.0000000000000001E-3</v>
      </c>
      <c r="AF256" s="36">
        <v>2E-3</v>
      </c>
      <c r="AG256" s="36">
        <v>1E-3</v>
      </c>
      <c r="AH256" s="36">
        <v>1E-3</v>
      </c>
      <c r="AI256" s="36">
        <v>1E-3</v>
      </c>
      <c r="AJ256" s="36">
        <v>1E-3</v>
      </c>
      <c r="AK256" s="36">
        <v>1E-3</v>
      </c>
      <c r="AL256" s="36">
        <v>1E-3</v>
      </c>
      <c r="AM256" s="36">
        <v>0</v>
      </c>
    </row>
    <row r="257" spans="10:39" x14ac:dyDescent="0.25">
      <c r="J257" s="36" t="s">
        <v>1217</v>
      </c>
      <c r="K257" s="36"/>
      <c r="M257" s="36">
        <v>13.916</v>
      </c>
      <c r="N257" s="36">
        <v>4.0730000000000004</v>
      </c>
      <c r="O257" s="36">
        <v>2.33</v>
      </c>
      <c r="P257" s="36">
        <v>1.909</v>
      </c>
      <c r="Q257" s="36">
        <v>1.6319999999999999</v>
      </c>
      <c r="R257" s="36">
        <v>1.393</v>
      </c>
      <c r="S257" s="36">
        <v>1.1919999999999999</v>
      </c>
      <c r="T257" s="36">
        <v>1.042</v>
      </c>
      <c r="U257" s="36">
        <v>1.4490000000000001</v>
      </c>
      <c r="V257" s="36">
        <v>1.121</v>
      </c>
      <c r="W257" s="36">
        <v>0.88400000000000001</v>
      </c>
      <c r="X257" s="36">
        <v>0.71299999999999997</v>
      </c>
      <c r="Y257" s="36">
        <v>0.56999999999999995</v>
      </c>
      <c r="Z257" s="36">
        <v>0.47799999999999998</v>
      </c>
      <c r="AA257" s="36">
        <v>0.39500000000000002</v>
      </c>
      <c r="AB257" s="36">
        <v>0.32400000000000001</v>
      </c>
      <c r="AC257" s="36">
        <v>0.28599999999999998</v>
      </c>
      <c r="AD257" s="36">
        <v>0.20399999999999999</v>
      </c>
      <c r="AE257" s="36">
        <v>0.159</v>
      </c>
      <c r="AF257" s="36">
        <v>0.121</v>
      </c>
      <c r="AG257" s="36">
        <v>9.2999999999999999E-2</v>
      </c>
      <c r="AH257" s="36">
        <v>7.4999999999999997E-2</v>
      </c>
      <c r="AI257" s="36">
        <v>5.8999999999999997E-2</v>
      </c>
      <c r="AJ257" s="36">
        <v>4.5999999999999999E-2</v>
      </c>
      <c r="AK257" s="36">
        <v>3.4000000000000002E-2</v>
      </c>
      <c r="AL257" s="36">
        <v>2.5000000000000001E-2</v>
      </c>
      <c r="AM257" s="36">
        <v>1.6E-2</v>
      </c>
    </row>
    <row r="258" spans="10:39" x14ac:dyDescent="0.25">
      <c r="J258" s="36" t="s">
        <v>1218</v>
      </c>
      <c r="K258" s="36"/>
      <c r="M258" s="36">
        <v>39.664000000000001</v>
      </c>
      <c r="N258" s="36">
        <v>11.571999999999999</v>
      </c>
      <c r="O258" s="36">
        <v>9.375</v>
      </c>
      <c r="P258" s="36">
        <v>8.9700000000000006</v>
      </c>
      <c r="Q258" s="36">
        <v>7.6970000000000001</v>
      </c>
      <c r="R258" s="36">
        <v>6.6040000000000001</v>
      </c>
      <c r="S258" s="36">
        <v>5.59</v>
      </c>
      <c r="T258" s="36">
        <v>4.7949999999999999</v>
      </c>
      <c r="U258" s="36">
        <v>6.8550000000000004</v>
      </c>
      <c r="V258" s="36">
        <v>4.827</v>
      </c>
      <c r="W258" s="36">
        <v>2.996</v>
      </c>
      <c r="X258" s="36">
        <v>1.3680000000000001</v>
      </c>
      <c r="Y258" s="36">
        <v>0.78800000000000003</v>
      </c>
      <c r="Z258" s="36">
        <v>0.61899999999999999</v>
      </c>
      <c r="AA258" s="36">
        <v>0.47499999999999998</v>
      </c>
      <c r="AB258" s="36">
        <v>0.35499999999999998</v>
      </c>
      <c r="AC258" s="36">
        <v>0.28699999999999998</v>
      </c>
      <c r="AD258" s="36">
        <v>0.182</v>
      </c>
      <c r="AE258" s="36">
        <v>0.13</v>
      </c>
      <c r="AF258" s="36">
        <v>9.0999999999999998E-2</v>
      </c>
      <c r="AG258" s="36">
        <v>6.4000000000000001E-2</v>
      </c>
      <c r="AH258" s="36">
        <v>4.7E-2</v>
      </c>
      <c r="AI258" s="36">
        <v>3.5000000000000003E-2</v>
      </c>
      <c r="AJ258" s="36">
        <v>2.5000000000000001E-2</v>
      </c>
      <c r="AK258" s="36">
        <v>1.7999999999999999E-2</v>
      </c>
      <c r="AL258" s="36">
        <v>1.2E-2</v>
      </c>
      <c r="AM258" s="36">
        <v>8.0000000000000002E-3</v>
      </c>
    </row>
    <row r="259" spans="10:39" x14ac:dyDescent="0.25">
      <c r="J259" s="36" t="s">
        <v>1219</v>
      </c>
      <c r="K259" s="36"/>
      <c r="M259" s="36">
        <v>6.7229999999999999</v>
      </c>
      <c r="N259" s="36">
        <v>2.5249999999999999</v>
      </c>
      <c r="O259" s="36">
        <v>1.839</v>
      </c>
      <c r="P259" s="36">
        <v>1.66</v>
      </c>
      <c r="Q259" s="36">
        <v>1.3919999999999999</v>
      </c>
      <c r="R259" s="36">
        <v>1.171</v>
      </c>
      <c r="S259" s="36">
        <v>0.97899999999999998</v>
      </c>
      <c r="T259" s="36">
        <v>0.82799999999999996</v>
      </c>
      <c r="U259" s="36">
        <v>1.0269999999999999</v>
      </c>
      <c r="V259" s="36">
        <v>0.77</v>
      </c>
      <c r="W259" s="36">
        <v>0.55500000000000005</v>
      </c>
      <c r="X259" s="36">
        <v>0.379</v>
      </c>
      <c r="Y259" s="36">
        <v>0.30399999999999999</v>
      </c>
      <c r="Z259" s="36">
        <v>0.249</v>
      </c>
      <c r="AA259" s="36">
        <v>0.20100000000000001</v>
      </c>
      <c r="AB259" s="36">
        <v>0.161</v>
      </c>
      <c r="AC259" s="36">
        <v>0.20399999999999999</v>
      </c>
      <c r="AD259" s="36">
        <v>9.2999999999999999E-2</v>
      </c>
      <c r="AE259" s="36">
        <v>7.2999999999999995E-2</v>
      </c>
      <c r="AF259" s="36">
        <v>5.7000000000000002E-2</v>
      </c>
      <c r="AG259" s="36">
        <v>4.7E-2</v>
      </c>
      <c r="AH259" s="36">
        <v>3.7999999999999999E-2</v>
      </c>
      <c r="AI259" s="36">
        <v>3.1E-2</v>
      </c>
      <c r="AJ259" s="36">
        <v>2.4E-2</v>
      </c>
      <c r="AK259" s="36">
        <v>1.9E-2</v>
      </c>
      <c r="AL259" s="36">
        <v>1.4E-2</v>
      </c>
      <c r="AM259" s="36">
        <v>0.01</v>
      </c>
    </row>
    <row r="260" spans="10:39" x14ac:dyDescent="0.25">
      <c r="J260" s="115" t="s">
        <v>1220</v>
      </c>
      <c r="M260" s="115">
        <v>19.41</v>
      </c>
      <c r="N260" s="115">
        <v>10.343999999999999</v>
      </c>
      <c r="O260" s="115">
        <v>8.0419999999999998</v>
      </c>
      <c r="P260" s="115">
        <v>7.2320000000000002</v>
      </c>
      <c r="Q260" s="115">
        <v>6.2329999999999997</v>
      </c>
      <c r="R260" s="115">
        <v>5.3490000000000002</v>
      </c>
      <c r="S260" s="115">
        <v>4.5590000000000002</v>
      </c>
      <c r="T260" s="115">
        <v>3.8889999999999998</v>
      </c>
      <c r="U260" s="115">
        <v>3.7410000000000001</v>
      </c>
      <c r="V260" s="115">
        <v>3.0449999999999999</v>
      </c>
      <c r="W260" s="115">
        <v>2.4889999999999999</v>
      </c>
      <c r="X260" s="115">
        <v>2.0419999999999998</v>
      </c>
      <c r="Y260" s="115">
        <v>1.6950000000000001</v>
      </c>
      <c r="Z260" s="115">
        <v>1.4239999999999999</v>
      </c>
      <c r="AA260" s="115">
        <v>1.1910000000000001</v>
      </c>
      <c r="AB260" s="115">
        <v>1.0029999999999999</v>
      </c>
      <c r="AC260" s="115">
        <v>1.258</v>
      </c>
      <c r="AD260" s="115">
        <v>0.63</v>
      </c>
      <c r="AE260" s="115">
        <v>0.51900000000000002</v>
      </c>
      <c r="AF260" s="115">
        <v>0.42499999999999999</v>
      </c>
      <c r="AG260" s="115">
        <v>0.35599999999999998</v>
      </c>
      <c r="AH260" s="115">
        <v>0.29499999999999998</v>
      </c>
      <c r="AI260" s="115">
        <v>0.23799999999999999</v>
      </c>
      <c r="AJ260" s="115">
        <v>0.19</v>
      </c>
      <c r="AK260" s="115">
        <v>0.14699999999999999</v>
      </c>
      <c r="AL260" s="115">
        <v>0.109</v>
      </c>
      <c r="AM260" s="115">
        <v>7.3999999999999996E-2</v>
      </c>
    </row>
    <row r="261" spans="10:39" x14ac:dyDescent="0.25">
      <c r="J261" s="115" t="s">
        <v>1221</v>
      </c>
      <c r="M261" s="115">
        <v>27.582999999999998</v>
      </c>
      <c r="N261" s="115">
        <v>13.987</v>
      </c>
      <c r="O261" s="115">
        <v>12.874000000000001</v>
      </c>
      <c r="P261" s="115">
        <v>11.285</v>
      </c>
      <c r="Q261" s="115">
        <v>9.1359999999999992</v>
      </c>
      <c r="R261" s="115">
        <v>7.2779999999999996</v>
      </c>
      <c r="S261" s="115">
        <v>5.66</v>
      </c>
      <c r="T261" s="115">
        <v>4.2919999999999998</v>
      </c>
      <c r="U261" s="115">
        <v>3.3090000000000002</v>
      </c>
      <c r="V261" s="115">
        <v>2.109</v>
      </c>
      <c r="W261" s="115">
        <v>1.1559999999999999</v>
      </c>
      <c r="X261" s="115">
        <v>0.41399999999999998</v>
      </c>
      <c r="Y261" s="115">
        <v>0.34399999999999997</v>
      </c>
      <c r="Z261" s="115">
        <v>0.28599999999999998</v>
      </c>
      <c r="AA261" s="115">
        <v>0.23699999999999999</v>
      </c>
      <c r="AB261" s="115">
        <v>0.19500000000000001</v>
      </c>
      <c r="AC261" s="115">
        <v>0.158</v>
      </c>
      <c r="AD261" s="115">
        <v>0.126</v>
      </c>
      <c r="AE261" s="115">
        <v>0.1</v>
      </c>
      <c r="AF261" s="115">
        <v>7.6999999999999999E-2</v>
      </c>
      <c r="AG261" s="115">
        <v>6.6000000000000003E-2</v>
      </c>
      <c r="AH261" s="115">
        <v>5.5E-2</v>
      </c>
      <c r="AI261" s="115">
        <v>4.4999999999999998E-2</v>
      </c>
      <c r="AJ261" s="115">
        <v>3.5999999999999997E-2</v>
      </c>
      <c r="AK261" s="115">
        <v>2.8000000000000001E-2</v>
      </c>
      <c r="AL261" s="115">
        <v>2.1999999999999999E-2</v>
      </c>
      <c r="AM261" s="115">
        <v>1.6E-2</v>
      </c>
    </row>
    <row r="264" spans="10:39" x14ac:dyDescent="0.25">
      <c r="J264" s="115" t="s">
        <v>1315</v>
      </c>
      <c r="M264" s="31">
        <f>SUM(M207:M208,M212:M214,M218:M220,M224:M227,M231,M235:M236,M241:M243,M248:M251,M255:M259)</f>
        <v>174.904</v>
      </c>
      <c r="N264" s="31">
        <f t="shared" ref="N264:AM264" si="11">SUM(N207:N208,N212:N214,N218:N220,N224:N227,N231,N235:N236,N241:N243,N248:N251,N255:N259)</f>
        <v>102.13999999999999</v>
      </c>
      <c r="O264" s="31">
        <f t="shared" si="11"/>
        <v>184.39400000000003</v>
      </c>
      <c r="P264" s="31">
        <f t="shared" si="11"/>
        <v>159.53299999999999</v>
      </c>
      <c r="Q264" s="31">
        <f t="shared" si="11"/>
        <v>132.16800000000001</v>
      </c>
      <c r="R264" s="31">
        <f t="shared" si="11"/>
        <v>106.949</v>
      </c>
      <c r="S264" s="31">
        <f t="shared" si="11"/>
        <v>93.077000000000012</v>
      </c>
      <c r="T264" s="31">
        <f t="shared" si="11"/>
        <v>147.37299999999999</v>
      </c>
      <c r="U264" s="31">
        <f t="shared" si="11"/>
        <v>144.43600000000001</v>
      </c>
      <c r="V264" s="31">
        <f t="shared" si="11"/>
        <v>127.30099999999999</v>
      </c>
      <c r="W264" s="31">
        <f t="shared" si="11"/>
        <v>107.05500000000002</v>
      </c>
      <c r="X264" s="31">
        <f t="shared" si="11"/>
        <v>87.11099999999999</v>
      </c>
      <c r="Y264" s="31">
        <f t="shared" si="11"/>
        <v>76.225000000000009</v>
      </c>
      <c r="Z264" s="31">
        <f t="shared" si="11"/>
        <v>81.813999999999993</v>
      </c>
      <c r="AA264" s="31">
        <f t="shared" si="11"/>
        <v>73.666999999999987</v>
      </c>
      <c r="AB264" s="31">
        <f t="shared" si="11"/>
        <v>65.881000000000014</v>
      </c>
      <c r="AC264" s="31">
        <f t="shared" si="11"/>
        <v>121.22400000000002</v>
      </c>
      <c r="AD264" s="31">
        <f t="shared" si="11"/>
        <v>49.778999999999996</v>
      </c>
      <c r="AE264" s="31">
        <f t="shared" si="11"/>
        <v>45.700999999999993</v>
      </c>
      <c r="AF264" s="31">
        <f t="shared" si="11"/>
        <v>30.057000000000006</v>
      </c>
      <c r="AG264" s="31">
        <f t="shared" si="11"/>
        <v>26.148</v>
      </c>
      <c r="AH264" s="31">
        <f t="shared" si="11"/>
        <v>24.478999999999999</v>
      </c>
      <c r="AI264" s="31">
        <f t="shared" si="11"/>
        <v>23.123999999999999</v>
      </c>
      <c r="AJ264" s="31">
        <f t="shared" si="11"/>
        <v>21.454000000000001</v>
      </c>
      <c r="AK264" s="31">
        <f t="shared" si="11"/>
        <v>20.159000000000002</v>
      </c>
      <c r="AL264" s="31">
        <f t="shared" si="11"/>
        <v>18.995999999999995</v>
      </c>
      <c r="AM264" s="31">
        <f t="shared" si="11"/>
        <v>17.905999999999995</v>
      </c>
    </row>
  </sheetData>
  <mergeCells count="1">
    <mergeCell ref="J90:K9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6FBE-BA95-4580-B57F-521967CD5EBD}">
  <dimension ref="J1:AO85"/>
  <sheetViews>
    <sheetView zoomScale="85" zoomScaleNormal="85" workbookViewId="0">
      <pane ySplit="1" topLeftCell="A2" activePane="bottomLeft" state="frozen"/>
      <selection activeCell="F1" sqref="F1"/>
      <selection pane="bottomLeft" activeCell="J15" sqref="J15"/>
    </sheetView>
  </sheetViews>
  <sheetFormatPr baseColWidth="10" defaultRowHeight="15" x14ac:dyDescent="0.25"/>
  <cols>
    <col min="10" max="10" width="49.28515625" customWidth="1"/>
    <col min="11" max="11" width="31.7109375" customWidth="1"/>
    <col min="18" max="18" width="15.140625" bestFit="1" customWidth="1"/>
  </cols>
  <sheetData>
    <row r="1" spans="10:39" x14ac:dyDescent="0.25"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2">
        <v>2034</v>
      </c>
      <c r="X1" s="2">
        <v>2035</v>
      </c>
      <c r="Y1" s="2">
        <v>2036</v>
      </c>
      <c r="Z1" s="2">
        <v>2037</v>
      </c>
      <c r="AA1" s="2">
        <v>2038</v>
      </c>
      <c r="AB1" s="2">
        <v>2039</v>
      </c>
      <c r="AC1" s="2">
        <v>2040</v>
      </c>
      <c r="AD1" s="2">
        <v>2041</v>
      </c>
      <c r="AE1" s="2">
        <v>2042</v>
      </c>
      <c r="AF1" s="2">
        <v>2043</v>
      </c>
      <c r="AG1" s="2">
        <v>2044</v>
      </c>
      <c r="AH1" s="2">
        <v>2045</v>
      </c>
      <c r="AI1" s="2">
        <v>2046</v>
      </c>
      <c r="AJ1" s="2">
        <v>2047</v>
      </c>
      <c r="AK1" s="2">
        <v>2048</v>
      </c>
      <c r="AL1" s="2">
        <v>2049</v>
      </c>
      <c r="AM1" s="2">
        <v>2050</v>
      </c>
    </row>
    <row r="2" spans="10:39" x14ac:dyDescent="0.25">
      <c r="J2" t="s">
        <v>58</v>
      </c>
      <c r="L2" s="11">
        <f>VLOOKUP($J2,output!$A$9:$AI$2200,L$1-$L$1+2)</f>
        <v>0</v>
      </c>
      <c r="M2" s="11">
        <f>VLOOKUP($J2,output!$A$9:$AI$2200,M$1-$L$1+2)</f>
        <v>15.007</v>
      </c>
      <c r="N2" s="11">
        <f>VLOOKUP($J2,output!$A$9:$AI$2200,N$1-$L$1+2)</f>
        <v>14.005000000000001</v>
      </c>
      <c r="O2" s="11">
        <f>VLOOKUP($J2,output!$A$9:$AI$2200,O$1-$L$1+2)</f>
        <v>12.917999999999999</v>
      </c>
      <c r="P2" s="11">
        <f>VLOOKUP($J2,output!$A$9:$AI$2200,P$1-$L$1+2)</f>
        <v>13.324999999999999</v>
      </c>
      <c r="Q2" s="11">
        <f>VLOOKUP($J2,output!$A$9:$AI$2200,Q$1-$L$1+2)</f>
        <v>12.468999999999999</v>
      </c>
      <c r="R2" s="11">
        <f>VLOOKUP($J2,output!$A$9:$AI$2200,R$1-$L$1+2)</f>
        <v>11.518000000000001</v>
      </c>
      <c r="S2" s="11">
        <f>VLOOKUP($J2,output!$A$9:$AI$2200,S$1-$L$1+2)</f>
        <v>10.638</v>
      </c>
      <c r="T2" s="11">
        <f>VLOOKUP($J2,output!$A$9:$AI$2200,T$1-$L$1+2)</f>
        <v>11.907999999999999</v>
      </c>
      <c r="U2" s="11">
        <f>VLOOKUP($J2,output!$A$9:$AI$2200,U$1-$L$1+2)</f>
        <v>10.952</v>
      </c>
      <c r="V2" s="11">
        <f>VLOOKUP($J2,output!$A$9:$AI$2200,V$1-$L$1+2)</f>
        <v>11.246</v>
      </c>
      <c r="W2" s="11">
        <f>VLOOKUP($J2,output!$A$9:$AI$2200,W$1-$L$1+2)</f>
        <v>11.61</v>
      </c>
      <c r="X2" s="11">
        <f>VLOOKUP($J2,output!$A$9:$AI$2200,X$1-$L$1+2)</f>
        <v>11.923</v>
      </c>
      <c r="Y2" s="11">
        <f>VLOOKUP($J2,output!$A$9:$AI$2200,Y$1-$L$1+2)</f>
        <v>10.346</v>
      </c>
      <c r="Z2" s="11">
        <f>VLOOKUP($J2,output!$A$9:$AI$2200,Z$1-$L$1+2)</f>
        <v>10.871</v>
      </c>
      <c r="AA2" s="11">
        <f>VLOOKUP($J2,output!$A$9:$AI$2200,AA$1-$L$1+2)</f>
        <v>11.125</v>
      </c>
      <c r="AB2" s="11">
        <f>VLOOKUP($J2,output!$A$9:$AI$2200,AB$1-$L$1+2)</f>
        <v>10.119999999999999</v>
      </c>
      <c r="AC2" s="11">
        <f>VLOOKUP($J2,output!$A$9:$AI$2200,AC$1-$L$1+2)</f>
        <v>11.5</v>
      </c>
      <c r="AD2" s="11">
        <f>VLOOKUP($J2,output!$A$9:$AI$2200,AD$1-$L$1+2)</f>
        <v>10.351000000000001</v>
      </c>
      <c r="AE2" s="11">
        <f>VLOOKUP($J2,output!$A$9:$AI$2200,AE$1-$L$1+2)</f>
        <v>10.276999999999999</v>
      </c>
      <c r="AF2" s="11">
        <f>VLOOKUP($J2,output!$A$9:$AI$2200,AF$1-$L$1+2)</f>
        <v>9.5310000000000006</v>
      </c>
      <c r="AG2" s="11">
        <f>VLOOKUP($J2,output!$A$9:$AI$2200,AG$1-$L$1+2)</f>
        <v>12.353999999999999</v>
      </c>
      <c r="AH2" s="11">
        <f>VLOOKUP($J2,output!$A$9:$AI$2200,AH$1-$L$1+2)</f>
        <v>10.615</v>
      </c>
      <c r="AI2" s="11">
        <f>VLOOKUP($J2,output!$A$9:$AI$2200,AI$1-$L$1+2)</f>
        <v>11.259</v>
      </c>
      <c r="AJ2" s="11">
        <f>VLOOKUP($J2,output!$A$9:$AI$2200,AJ$1-$L$1+2)</f>
        <v>10.948</v>
      </c>
      <c r="AK2" s="11">
        <f>VLOOKUP($J2,output!$A$9:$AI$2200,AK$1-$L$1+2)</f>
        <v>10.923</v>
      </c>
      <c r="AL2" s="11">
        <f>VLOOKUP($J2,output!$A$9:$AI$2200,AL$1-$L$1+2)</f>
        <v>10.917999999999999</v>
      </c>
      <c r="AM2" s="11">
        <f>VLOOKUP($J2,output!$A$9:$AI$2200,AM$1-$L$1+2)</f>
        <v>10.879</v>
      </c>
    </row>
    <row r="3" spans="10:39" x14ac:dyDescent="0.25">
      <c r="J3" t="s">
        <v>59</v>
      </c>
      <c r="L3" s="11">
        <f>VLOOKUP($J3,output!$A$9:$AI$2200,L$1-$L$1+3)</f>
        <v>7.3760000000000003</v>
      </c>
      <c r="M3" s="11">
        <f>VLOOKUP($J3,output!$A$9:$AI$2200,M$1-$L$1+3)</f>
        <v>4.1319999999999997</v>
      </c>
      <c r="N3" s="11">
        <f>VLOOKUP($J3,output!$A$9:$AI$2200,N$1-$L$1+3)</f>
        <v>6.282</v>
      </c>
      <c r="O3" s="11">
        <f>VLOOKUP($J3,output!$A$9:$AI$2200,O$1-$L$1+3)</f>
        <v>6.8289999999999997</v>
      </c>
      <c r="P3" s="11">
        <f>VLOOKUP($J3,output!$A$9:$AI$2200,P$1-$L$1+3)</f>
        <v>6.3689999999999998</v>
      </c>
      <c r="Q3" s="11">
        <f>VLOOKUP($J3,output!$A$9:$AI$2200,Q$1-$L$1+3)</f>
        <v>5.806</v>
      </c>
      <c r="R3" s="11">
        <f>VLOOKUP($J3,output!$A$9:$AI$2200,R$1-$L$1+3)</f>
        <v>7.2480000000000002</v>
      </c>
      <c r="S3" s="11">
        <f>VLOOKUP($J3,output!$A$9:$AI$2200,S$1-$L$1+3)</f>
        <v>8.5500000000000007</v>
      </c>
      <c r="T3" s="11">
        <f>VLOOKUP($J3,output!$A$9:$AI$2200,T$1-$L$1+3)</f>
        <v>8.2110000000000003</v>
      </c>
      <c r="U3" s="11">
        <f>VLOOKUP($J3,output!$A$9:$AI$2200,U$1-$L$1+3)</f>
        <v>7.6509999999999998</v>
      </c>
      <c r="V3" s="11">
        <f>VLOOKUP($J3,output!$A$9:$AI$2200,V$1-$L$1+3)</f>
        <v>7.3339999999999996</v>
      </c>
      <c r="W3" s="11">
        <f>VLOOKUP($J3,output!$A$9:$AI$2200,W$1-$L$1+3)</f>
        <v>6.7160000000000002</v>
      </c>
      <c r="X3" s="11">
        <f>VLOOKUP($J3,output!$A$9:$AI$2200,X$1-$L$1+3)</f>
        <v>6.79</v>
      </c>
      <c r="Y3" s="11">
        <f>VLOOKUP($J3,output!$A$9:$AI$2200,Y$1-$L$1+3)</f>
        <v>9.032</v>
      </c>
      <c r="Z3" s="11">
        <f>VLOOKUP($J3,output!$A$9:$AI$2200,Z$1-$L$1+3)</f>
        <v>8.4559999999999995</v>
      </c>
      <c r="AA3" s="11">
        <f>VLOOKUP($J3,output!$A$9:$AI$2200,AA$1-$L$1+3)</f>
        <v>8.0990000000000002</v>
      </c>
      <c r="AB3" s="11">
        <f>VLOOKUP($J3,output!$A$9:$AI$2200,AB$1-$L$1+3)</f>
        <v>12.066000000000001</v>
      </c>
      <c r="AC3" s="11">
        <f>VLOOKUP($J3,output!$A$9:$AI$2200,AC$1-$L$1+3)</f>
        <v>8.8079999999999998</v>
      </c>
      <c r="AD3" s="11">
        <f>VLOOKUP($J3,output!$A$9:$AI$2200,AD$1-$L$1+3)</f>
        <v>8.36</v>
      </c>
      <c r="AE3" s="11">
        <f>VLOOKUP($J3,output!$A$9:$AI$2200,AE$1-$L$1+3)</f>
        <v>7.3739999999999997</v>
      </c>
      <c r="AF3" s="11">
        <f>VLOOKUP($J3,output!$A$9:$AI$2200,AF$1-$L$1+3)</f>
        <v>7.3040000000000003</v>
      </c>
      <c r="AG3" s="11">
        <f>VLOOKUP($J3,output!$A$9:$AI$2200,AG$1-$L$1+3)</f>
        <v>6.9850000000000003</v>
      </c>
      <c r="AH3" s="11">
        <f>VLOOKUP($J3,output!$A$9:$AI$2200,AH$1-$L$1+3)</f>
        <v>6.6719999999999997</v>
      </c>
      <c r="AI3" s="11">
        <f>VLOOKUP($J3,output!$A$9:$AI$2200,AI$1-$L$1+3)</f>
        <v>6.3840000000000003</v>
      </c>
      <c r="AJ3" s="11">
        <f>VLOOKUP($J3,output!$A$9:$AI$2200,AJ$1-$L$1+3)</f>
        <v>6.1159999999999997</v>
      </c>
      <c r="AK3" s="11">
        <f>VLOOKUP($J3,output!$A$9:$AI$2200,AK$1-$L$1+3)</f>
        <v>5.8620000000000001</v>
      </c>
      <c r="AL3" s="11">
        <f>VLOOKUP($J3,output!$A$9:$AI$2200,AL$1-$L$1+3)</f>
        <v>5.6459999999999999</v>
      </c>
      <c r="AM3" s="11">
        <f>VLOOKUP($J3,output!$A$9:$AI$2200,AM$1-$L$1+3)</f>
        <v>0</v>
      </c>
    </row>
    <row r="5" spans="10:39" x14ac:dyDescent="0.25">
      <c r="J5" t="s">
        <v>60</v>
      </c>
      <c r="K5" t="s">
        <v>139</v>
      </c>
      <c r="L5" s="11">
        <f>VLOOKUP($J5,output!$A$9:$AI$2200,L$1-$L$1+2)</f>
        <v>0</v>
      </c>
      <c r="M5" s="11">
        <f>VLOOKUP($J5,output!$A$9:$AI$2200,M$1-$L$1+2)</f>
        <v>22.382999999999999</v>
      </c>
      <c r="N5" s="11">
        <f>VLOOKUP($J5,output!$A$9:$AI$2200,N$1-$L$1+2)</f>
        <v>18.137</v>
      </c>
      <c r="O5" s="11">
        <f>VLOOKUP($J5,output!$A$9:$AI$2200,O$1-$L$1+2)</f>
        <v>19.199000000000002</v>
      </c>
      <c r="P5" s="11">
        <f>VLOOKUP($J5,output!$A$9:$AI$2200,P$1-$L$1+2)</f>
        <v>20.154</v>
      </c>
      <c r="Q5" s="11">
        <f>VLOOKUP($J5,output!$A$9:$AI$2200,Q$1-$L$1+2)</f>
        <v>18.838000000000001</v>
      </c>
      <c r="R5" s="11">
        <f>VLOOKUP($J5,output!$A$9:$AI$2200,R$1-$L$1+2)</f>
        <v>17.324000000000002</v>
      </c>
      <c r="S5" s="11">
        <f>VLOOKUP($J5,output!$A$9:$AI$2200,S$1-$L$1+2)</f>
        <v>17.885999999999999</v>
      </c>
      <c r="T5" s="11">
        <f>VLOOKUP($J5,output!$A$9:$AI$2200,T$1-$L$1+2)</f>
        <v>20.459</v>
      </c>
      <c r="U5" s="11">
        <f>VLOOKUP($J5,output!$A$9:$AI$2200,U$1-$L$1+2)</f>
        <v>19.163</v>
      </c>
      <c r="V5" s="11">
        <f>VLOOKUP($J5,output!$A$9:$AI$2200,V$1-$L$1+2)</f>
        <v>18.896999999999998</v>
      </c>
      <c r="W5" s="11">
        <f>VLOOKUP($J5,output!$A$9:$AI$2200,W$1-$L$1+2)</f>
        <v>18.943999999999999</v>
      </c>
      <c r="X5" s="11">
        <f>VLOOKUP($J5,output!$A$9:$AI$2200,X$1-$L$1+2)</f>
        <v>18.638999999999999</v>
      </c>
      <c r="Y5" s="11">
        <f>VLOOKUP($J5,output!$A$9:$AI$2200,Y$1-$L$1+2)</f>
        <v>17.137</v>
      </c>
      <c r="Z5" s="11">
        <f>VLOOKUP($J5,output!$A$9:$AI$2200,Z$1-$L$1+2)</f>
        <v>19.902999999999999</v>
      </c>
      <c r="AA5" s="11">
        <f>VLOOKUP($J5,output!$A$9:$AI$2200,AA$1-$L$1+2)</f>
        <v>19.579999999999998</v>
      </c>
      <c r="AB5" s="11">
        <f>VLOOKUP($J5,output!$A$9:$AI$2200,AB$1-$L$1+2)</f>
        <v>18.219000000000001</v>
      </c>
      <c r="AC5" s="11">
        <f>VLOOKUP($J5,output!$A$9:$AI$2200,AC$1-$L$1+2)</f>
        <v>23.565999999999999</v>
      </c>
      <c r="AD5" s="11">
        <f>VLOOKUP($J5,output!$A$9:$AI$2200,AD$1-$L$1+2)</f>
        <v>19.158999999999999</v>
      </c>
      <c r="AE5" s="11">
        <f>VLOOKUP($J5,output!$A$9:$AI$2200,AE$1-$L$1+2)</f>
        <v>18.637</v>
      </c>
      <c r="AF5" s="11">
        <f>VLOOKUP($J5,output!$A$9:$AI$2200,AF$1-$L$1+2)</f>
        <v>16.905000000000001</v>
      </c>
      <c r="AG5" s="11">
        <f>VLOOKUP($J5,output!$A$9:$AI$2200,AG$1-$L$1+2)</f>
        <v>19.658000000000001</v>
      </c>
      <c r="AH5" s="11">
        <f>VLOOKUP($J5,output!$A$9:$AI$2200,AH$1-$L$1+2)</f>
        <v>17.600000000000001</v>
      </c>
      <c r="AI5" s="11">
        <f>VLOOKUP($J5,output!$A$9:$AI$2200,AI$1-$L$1+2)</f>
        <v>17.931000000000001</v>
      </c>
      <c r="AJ5" s="11">
        <f>VLOOKUP($J5,output!$A$9:$AI$2200,AJ$1-$L$1+2)</f>
        <v>17.331</v>
      </c>
      <c r="AK5" s="11">
        <f>VLOOKUP($J5,output!$A$9:$AI$2200,AK$1-$L$1+2)</f>
        <v>17.039000000000001</v>
      </c>
      <c r="AL5" s="11">
        <f>VLOOKUP($J5,output!$A$9:$AI$2200,AL$1-$L$1+2)</f>
        <v>16.78</v>
      </c>
      <c r="AM5" s="11">
        <f>VLOOKUP($J5,output!$A$9:$AI$2200,AM$1-$L$1+2)</f>
        <v>16.524999999999999</v>
      </c>
    </row>
    <row r="6" spans="10:39" x14ac:dyDescent="0.25">
      <c r="J6" t="s">
        <v>61</v>
      </c>
      <c r="L6" s="11">
        <f>VLOOKUP($J6,output!$A$9:$AI$2200,L$1-$L$1+2)</f>
        <v>0</v>
      </c>
      <c r="M6" s="11">
        <f>VLOOKUP($J6,output!$A$9:$AI$2200,M$1-$L$1+2)</f>
        <v>5.1879999999999997</v>
      </c>
      <c r="N6" s="11">
        <f>VLOOKUP($J6,output!$A$9:$AI$2200,N$1-$L$1+2)</f>
        <v>6.1059999999999999</v>
      </c>
      <c r="O6" s="11">
        <f>VLOOKUP($J6,output!$A$9:$AI$2200,O$1-$L$1+2)</f>
        <v>5.907</v>
      </c>
      <c r="P6" s="11">
        <f>VLOOKUP($J6,output!$A$9:$AI$2200,P$1-$L$1+2)</f>
        <v>6.2080000000000002</v>
      </c>
      <c r="Q6" s="11">
        <f>VLOOKUP($J6,output!$A$9:$AI$2200,Q$1-$L$1+2)</f>
        <v>5.7569999999999997</v>
      </c>
      <c r="R6" s="11">
        <f>VLOOKUP($J6,output!$A$9:$AI$2200,R$1-$L$1+2)</f>
        <v>5.282</v>
      </c>
      <c r="S6" s="11">
        <f>VLOOKUP($J6,output!$A$9:$AI$2200,S$1-$L$1+2)</f>
        <v>5.3029999999999999</v>
      </c>
      <c r="T6" s="11">
        <f>VLOOKUP($J6,output!$A$9:$AI$2200,T$1-$L$1+2)</f>
        <v>5.8</v>
      </c>
      <c r="U6" s="11">
        <f>VLOOKUP($J6,output!$A$9:$AI$2200,U$1-$L$1+2)</f>
        <v>5.3819999999999997</v>
      </c>
      <c r="V6" s="11">
        <f>VLOOKUP($J6,output!$A$9:$AI$2200,V$1-$L$1+2)</f>
        <v>5.3920000000000003</v>
      </c>
      <c r="W6" s="11">
        <f>VLOOKUP($J6,output!$A$9:$AI$2200,W$1-$L$1+2)</f>
        <v>5.4409999999999998</v>
      </c>
      <c r="X6" s="11">
        <f>VLOOKUP($J6,output!$A$9:$AI$2200,X$1-$L$1+2)</f>
        <v>5.4660000000000002</v>
      </c>
      <c r="Y6" s="11">
        <f>VLOOKUP($J6,output!$A$9:$AI$2200,Y$1-$L$1+2)</f>
        <v>4.8090000000000002</v>
      </c>
      <c r="Z6" s="11">
        <f>VLOOKUP($J6,output!$A$9:$AI$2200,Z$1-$L$1+2)</f>
        <v>5.0250000000000004</v>
      </c>
      <c r="AA6" s="11">
        <f>VLOOKUP($J6,output!$A$9:$AI$2200,AA$1-$L$1+2)</f>
        <v>5.0739999999999998</v>
      </c>
      <c r="AB6" s="11">
        <f>VLOOKUP($J6,output!$A$9:$AI$2200,AB$1-$L$1+2)</f>
        <v>4.625</v>
      </c>
      <c r="AC6" s="11">
        <f>VLOOKUP($J6,output!$A$9:$AI$2200,AC$1-$L$1+2)</f>
        <v>5.62</v>
      </c>
      <c r="AD6" s="11">
        <f>VLOOKUP($J6,output!$A$9:$AI$2200,AD$1-$L$1+2)</f>
        <v>4.7009999999999996</v>
      </c>
      <c r="AE6" s="11">
        <f>VLOOKUP($J6,output!$A$9:$AI$2200,AE$1-$L$1+2)</f>
        <v>4.641</v>
      </c>
      <c r="AF6" s="11">
        <f>VLOOKUP($J6,output!$A$9:$AI$2200,AF$1-$L$1+2)</f>
        <v>4.2949999999999999</v>
      </c>
      <c r="AG6" s="11">
        <f>VLOOKUP($J6,output!$A$9:$AI$2200,AG$1-$L$1+2)</f>
        <v>5.4589999999999996</v>
      </c>
      <c r="AH6" s="11">
        <f>VLOOKUP($J6,output!$A$9:$AI$2200,AH$1-$L$1+2)</f>
        <v>4.71</v>
      </c>
      <c r="AI6" s="11">
        <f>VLOOKUP($J6,output!$A$9:$AI$2200,AI$1-$L$1+2)</f>
        <v>4.9450000000000003</v>
      </c>
      <c r="AJ6" s="11">
        <f>VLOOKUP($J6,output!$A$9:$AI$2200,AJ$1-$L$1+2)</f>
        <v>4.8109999999999999</v>
      </c>
      <c r="AK6" s="11">
        <f>VLOOKUP($J6,output!$A$9:$AI$2200,AK$1-$L$1+2)</f>
        <v>4.7809999999999997</v>
      </c>
      <c r="AL6" s="11">
        <f>VLOOKUP($J6,output!$A$9:$AI$2200,AL$1-$L$1+2)</f>
        <v>4.7590000000000003</v>
      </c>
      <c r="AM6" s="11">
        <f>VLOOKUP($J6,output!$A$9:$AI$2200,AM$1-$L$1+2)</f>
        <v>4.7229999999999999</v>
      </c>
    </row>
    <row r="7" spans="10:39" x14ac:dyDescent="0.25">
      <c r="J7" t="s">
        <v>62</v>
      </c>
      <c r="L7" s="11">
        <f>VLOOKUP($J7,output!$A$9:$AI$2200,L$1-$L$1+2)</f>
        <v>0</v>
      </c>
      <c r="M7" s="11">
        <f>VLOOKUP($J7,output!$A$9:$AI$2200,M$1-$L$1+2)</f>
        <v>5.71</v>
      </c>
      <c r="N7" s="11">
        <f>VLOOKUP($J7,output!$A$9:$AI$2200,N$1-$L$1+2)</f>
        <v>6.2889999999999997</v>
      </c>
      <c r="O7" s="11">
        <f>VLOOKUP($J7,output!$A$9:$AI$2200,O$1-$L$1+2)</f>
        <v>7.9489999999999998</v>
      </c>
      <c r="P7" s="11">
        <f>VLOOKUP($J7,output!$A$9:$AI$2200,P$1-$L$1+2)</f>
        <v>8.49</v>
      </c>
      <c r="Q7" s="11">
        <f>VLOOKUP($J7,output!$A$9:$AI$2200,Q$1-$L$1+2)</f>
        <v>8.0649999999999995</v>
      </c>
      <c r="R7" s="11">
        <f>VLOOKUP($J7,output!$A$9:$AI$2200,R$1-$L$1+2)</f>
        <v>7.52</v>
      </c>
      <c r="S7" s="11">
        <f>VLOOKUP($J7,output!$A$9:$AI$2200,S$1-$L$1+2)</f>
        <v>8.5389999999999997</v>
      </c>
      <c r="T7" s="11">
        <f>VLOOKUP($J7,output!$A$9:$AI$2200,T$1-$L$1+2)</f>
        <v>9.9339999999999993</v>
      </c>
      <c r="U7" s="11">
        <f>VLOOKUP($J7,output!$A$9:$AI$2200,U$1-$L$1+2)</f>
        <v>9.5150000000000006</v>
      </c>
      <c r="V7" s="11">
        <f>VLOOKUP($J7,output!$A$9:$AI$2200,V$1-$L$1+2)</f>
        <v>9.0960000000000001</v>
      </c>
      <c r="W7" s="11">
        <f>VLOOKUP($J7,output!$A$9:$AI$2200,W$1-$L$1+2)</f>
        <v>8.91</v>
      </c>
      <c r="X7" s="11">
        <f>VLOOKUP($J7,output!$A$9:$AI$2200,X$1-$L$1+2)</f>
        <v>8.4359999999999999</v>
      </c>
      <c r="Y7" s="11">
        <f>VLOOKUP($J7,output!$A$9:$AI$2200,Y$1-$L$1+2)</f>
        <v>8.1920000000000002</v>
      </c>
      <c r="Z7" s="11">
        <f>VLOOKUP($J7,output!$A$9:$AI$2200,Z$1-$L$1+2)</f>
        <v>10.458</v>
      </c>
      <c r="AA7" s="11">
        <f>VLOOKUP($J7,output!$A$9:$AI$2200,AA$1-$L$1+2)</f>
        <v>9.984</v>
      </c>
      <c r="AB7" s="11">
        <f>VLOOKUP($J7,output!$A$9:$AI$2200,AB$1-$L$1+2)</f>
        <v>9.548</v>
      </c>
      <c r="AC7" s="11">
        <f>VLOOKUP($J7,output!$A$9:$AI$2200,AC$1-$L$1+2)</f>
        <v>12.964</v>
      </c>
      <c r="AD7" s="11">
        <f>VLOOKUP($J7,output!$A$9:$AI$2200,AD$1-$L$1+2)</f>
        <v>10.304</v>
      </c>
      <c r="AE7" s="11">
        <f>VLOOKUP($J7,output!$A$9:$AI$2200,AE$1-$L$1+2)</f>
        <v>9.8859999999999992</v>
      </c>
      <c r="AF7" s="11">
        <f>VLOOKUP($J7,output!$A$9:$AI$2200,AF$1-$L$1+2)</f>
        <v>8.8770000000000007</v>
      </c>
      <c r="AG7" s="11">
        <f>VLOOKUP($J7,output!$A$9:$AI$2200,AG$1-$L$1+2)</f>
        <v>9.3740000000000006</v>
      </c>
      <c r="AH7" s="11">
        <f>VLOOKUP($J7,output!$A$9:$AI$2200,AH$1-$L$1+2)</f>
        <v>8.6790000000000003</v>
      </c>
      <c r="AI7" s="11">
        <f>VLOOKUP($J7,output!$A$9:$AI$2200,AI$1-$L$1+2)</f>
        <v>8.4320000000000004</v>
      </c>
      <c r="AJ7" s="11">
        <f>VLOOKUP($J7,output!$A$9:$AI$2200,AJ$1-$L$1+2)</f>
        <v>8.1430000000000007</v>
      </c>
      <c r="AK7" s="11">
        <f>VLOOKUP($J7,output!$A$9:$AI$2200,AK$1-$L$1+2)</f>
        <v>7.8550000000000004</v>
      </c>
      <c r="AL7" s="11">
        <f>VLOOKUP($J7,output!$A$9:$AI$2200,AL$1-$L$1+2)</f>
        <v>7.5780000000000003</v>
      </c>
      <c r="AM7" s="11">
        <f>VLOOKUP($J7,output!$A$9:$AI$2200,AM$1-$L$1+2)</f>
        <v>7.3339999999999996</v>
      </c>
    </row>
    <row r="8" spans="10:39" x14ac:dyDescent="0.25">
      <c r="J8" t="s">
        <v>135</v>
      </c>
      <c r="K8" t="s">
        <v>135</v>
      </c>
      <c r="L8" s="11">
        <f>SUM(L45:L48)</f>
        <v>0</v>
      </c>
      <c r="M8" s="11">
        <f>SUM(M45:M48)</f>
        <v>1535.1210000000001</v>
      </c>
      <c r="N8" s="11">
        <f>SUM(N45:N48)</f>
        <v>0</v>
      </c>
      <c r="O8" s="11">
        <f t="shared" ref="O8:AM8" si="0">SUM(O45:O50)</f>
        <v>1.139</v>
      </c>
      <c r="P8" s="11">
        <f t="shared" si="0"/>
        <v>1.2050000000000001</v>
      </c>
      <c r="Q8" s="11">
        <f t="shared" si="0"/>
        <v>1.1539999999999999</v>
      </c>
      <c r="R8" s="11">
        <f t="shared" si="0"/>
        <v>1.075</v>
      </c>
      <c r="S8" s="11">
        <f t="shared" si="0"/>
        <v>1.23</v>
      </c>
      <c r="T8" s="11">
        <f t="shared" si="0"/>
        <v>1.5229999999999999</v>
      </c>
      <c r="U8" s="11">
        <f t="shared" si="0"/>
        <v>1.462</v>
      </c>
      <c r="V8" s="11">
        <f t="shared" si="0"/>
        <v>1.3859999999999999</v>
      </c>
      <c r="W8" s="11">
        <f t="shared" si="0"/>
        <v>1.359</v>
      </c>
      <c r="X8" s="11">
        <f t="shared" si="0"/>
        <v>1.2669999999999999</v>
      </c>
      <c r="Y8" s="11">
        <f t="shared" si="0"/>
        <v>1.284</v>
      </c>
      <c r="Z8" s="11">
        <f t="shared" si="0"/>
        <v>1.7829999999999999</v>
      </c>
      <c r="AA8" s="11">
        <f t="shared" si="0"/>
        <v>1.679</v>
      </c>
      <c r="AB8" s="11">
        <f t="shared" si="0"/>
        <v>1.62</v>
      </c>
      <c r="AC8" s="11">
        <f t="shared" si="0"/>
        <v>2.2850000000000001</v>
      </c>
      <c r="AD8" s="11">
        <f t="shared" si="0"/>
        <v>1.7869999999999999</v>
      </c>
      <c r="AE8" s="11">
        <f t="shared" si="0"/>
        <v>1.7010000000000001</v>
      </c>
      <c r="AF8" s="11">
        <f t="shared" si="0"/>
        <v>1.5029999999999999</v>
      </c>
      <c r="AG8" s="11">
        <f t="shared" si="0"/>
        <v>1.4930000000000001</v>
      </c>
      <c r="AH8" s="11">
        <f t="shared" si="0"/>
        <v>1.4279999999999999</v>
      </c>
      <c r="AI8" s="11">
        <f t="shared" si="0"/>
        <v>1.365</v>
      </c>
      <c r="AJ8" s="11">
        <f t="shared" si="0"/>
        <v>1.3069999999999999</v>
      </c>
      <c r="AK8" s="11">
        <f t="shared" si="0"/>
        <v>1.2529999999999999</v>
      </c>
      <c r="AL8" s="11">
        <f t="shared" si="0"/>
        <v>1.202</v>
      </c>
      <c r="AM8" s="11">
        <f t="shared" si="0"/>
        <v>1.159</v>
      </c>
    </row>
    <row r="9" spans="10:39" x14ac:dyDescent="0.25">
      <c r="K9" t="s">
        <v>145</v>
      </c>
      <c r="O9" s="11">
        <f>O8/O5</f>
        <v>5.9326006562841808E-2</v>
      </c>
      <c r="P9" s="11">
        <f t="shared" ref="P9:AM9" si="1">P8/P5</f>
        <v>5.9789619926565452E-2</v>
      </c>
      <c r="Q9" s="11">
        <f t="shared" si="1"/>
        <v>6.1259157023038531E-2</v>
      </c>
      <c r="R9" s="11">
        <f t="shared" si="1"/>
        <v>6.2052643731239893E-2</v>
      </c>
      <c r="S9" s="11">
        <f t="shared" si="1"/>
        <v>6.8768869506876884E-2</v>
      </c>
      <c r="T9" s="11">
        <f t="shared" si="1"/>
        <v>7.4441566058947153E-2</v>
      </c>
      <c r="U9" s="11">
        <f t="shared" si="1"/>
        <v>7.629285602463079E-2</v>
      </c>
      <c r="V9" s="11">
        <f t="shared" si="1"/>
        <v>7.3344975392919509E-2</v>
      </c>
      <c r="W9" s="11">
        <f t="shared" si="1"/>
        <v>7.1737753378378386E-2</v>
      </c>
      <c r="X9" s="11">
        <f t="shared" si="1"/>
        <v>6.7975749771983479E-2</v>
      </c>
      <c r="Y9" s="11">
        <f t="shared" si="1"/>
        <v>7.492559957985645E-2</v>
      </c>
      <c r="Z9" s="11">
        <f t="shared" si="1"/>
        <v>8.9584484751042553E-2</v>
      </c>
      <c r="AA9" s="11">
        <f t="shared" si="1"/>
        <v>8.5750766087844751E-2</v>
      </c>
      <c r="AB9" s="11">
        <f t="shared" si="1"/>
        <v>8.8918162357977934E-2</v>
      </c>
      <c r="AC9" s="11">
        <f t="shared" si="1"/>
        <v>9.696172451837394E-2</v>
      </c>
      <c r="AD9" s="11">
        <f t="shared" si="1"/>
        <v>9.3272091445273764E-2</v>
      </c>
      <c r="AE9" s="11">
        <f t="shared" si="1"/>
        <v>9.1270054193271444E-2</v>
      </c>
      <c r="AF9" s="11">
        <f t="shared" si="1"/>
        <v>8.8908606921029268E-2</v>
      </c>
      <c r="AG9" s="11">
        <f t="shared" si="1"/>
        <v>7.5948723166141013E-2</v>
      </c>
      <c r="AH9" s="11">
        <f t="shared" si="1"/>
        <v>8.1136363636363631E-2</v>
      </c>
      <c r="AI9" s="11">
        <f t="shared" si="1"/>
        <v>7.6125146394512289E-2</v>
      </c>
      <c r="AJ9" s="11">
        <f t="shared" si="1"/>
        <v>7.5413998038197455E-2</v>
      </c>
      <c r="AK9" s="11">
        <f t="shared" si="1"/>
        <v>7.3537179411937312E-2</v>
      </c>
      <c r="AL9" s="11">
        <f t="shared" si="1"/>
        <v>7.1632896305125135E-2</v>
      </c>
      <c r="AM9" s="11">
        <f t="shared" si="1"/>
        <v>7.0136157337367638E-2</v>
      </c>
    </row>
    <row r="10" spans="10:39" x14ac:dyDescent="0.25">
      <c r="K10" t="s">
        <v>284</v>
      </c>
      <c r="O10" s="11">
        <f>1-O9</f>
        <v>0.94067399343715818</v>
      </c>
      <c r="P10" s="11">
        <f t="shared" ref="P10:AM10" si="2">1-P9</f>
        <v>0.94021038007343449</v>
      </c>
      <c r="Q10" s="11">
        <f t="shared" si="2"/>
        <v>0.93874084297696148</v>
      </c>
      <c r="R10" s="11">
        <f t="shared" si="2"/>
        <v>0.93794735626876014</v>
      </c>
      <c r="S10" s="11">
        <f t="shared" si="2"/>
        <v>0.93123113049312312</v>
      </c>
      <c r="T10" s="11">
        <f t="shared" si="2"/>
        <v>0.92555843394105286</v>
      </c>
      <c r="U10" s="11">
        <f t="shared" si="2"/>
        <v>0.92370714397536924</v>
      </c>
      <c r="V10" s="11">
        <f t="shared" si="2"/>
        <v>0.92665502460708049</v>
      </c>
      <c r="W10" s="11">
        <f t="shared" si="2"/>
        <v>0.9282622466216216</v>
      </c>
      <c r="X10" s="11">
        <f t="shared" si="2"/>
        <v>0.93202425022801649</v>
      </c>
      <c r="Y10" s="11">
        <f t="shared" si="2"/>
        <v>0.92507440042014355</v>
      </c>
      <c r="Z10" s="11">
        <f t="shared" si="2"/>
        <v>0.91041551524895747</v>
      </c>
      <c r="AA10" s="11">
        <f t="shared" si="2"/>
        <v>0.91424923391215529</v>
      </c>
      <c r="AB10" s="11">
        <f t="shared" si="2"/>
        <v>0.91108183764202211</v>
      </c>
      <c r="AC10" s="11">
        <f t="shared" si="2"/>
        <v>0.90303827548162607</v>
      </c>
      <c r="AD10" s="11">
        <f t="shared" si="2"/>
        <v>0.90672790855472618</v>
      </c>
      <c r="AE10" s="11">
        <f t="shared" si="2"/>
        <v>0.90872994580672861</v>
      </c>
      <c r="AF10" s="11">
        <f t="shared" si="2"/>
        <v>0.91109139307897069</v>
      </c>
      <c r="AG10" s="11">
        <f t="shared" si="2"/>
        <v>0.92405127683385901</v>
      </c>
      <c r="AH10" s="11">
        <f t="shared" si="2"/>
        <v>0.91886363636363633</v>
      </c>
      <c r="AI10" s="11">
        <f t="shared" si="2"/>
        <v>0.92387485360548771</v>
      </c>
      <c r="AJ10" s="11">
        <f t="shared" si="2"/>
        <v>0.92458600196180252</v>
      </c>
      <c r="AK10" s="11">
        <f t="shared" si="2"/>
        <v>0.92646282058806273</v>
      </c>
      <c r="AL10" s="11">
        <f t="shared" si="2"/>
        <v>0.92836710369487485</v>
      </c>
      <c r="AM10" s="11">
        <f t="shared" si="2"/>
        <v>0.92986384266263233</v>
      </c>
    </row>
    <row r="12" spans="10:39" x14ac:dyDescent="0.25">
      <c r="J12" t="s">
        <v>147</v>
      </c>
      <c r="K12" t="s">
        <v>139</v>
      </c>
      <c r="L12" s="11"/>
      <c r="M12" s="11"/>
      <c r="N12" s="11"/>
      <c r="O12" s="11">
        <v>15</v>
      </c>
      <c r="P12" s="11">
        <v>17</v>
      </c>
      <c r="Q12" s="11">
        <v>19</v>
      </c>
      <c r="R12" s="11">
        <f>R5</f>
        <v>17.324000000000002</v>
      </c>
      <c r="S12" s="11">
        <f t="shared" ref="S12:AM12" si="3">S5</f>
        <v>17.885999999999999</v>
      </c>
      <c r="T12" s="11">
        <f t="shared" si="3"/>
        <v>20.459</v>
      </c>
      <c r="U12" s="11">
        <f t="shared" si="3"/>
        <v>19.163</v>
      </c>
      <c r="V12" s="11">
        <f t="shared" si="3"/>
        <v>18.896999999999998</v>
      </c>
      <c r="W12" s="11">
        <f t="shared" si="3"/>
        <v>18.943999999999999</v>
      </c>
      <c r="X12" s="11">
        <f t="shared" si="3"/>
        <v>18.638999999999999</v>
      </c>
      <c r="Y12" s="11">
        <f t="shared" si="3"/>
        <v>17.137</v>
      </c>
      <c r="Z12" s="11">
        <f t="shared" si="3"/>
        <v>19.902999999999999</v>
      </c>
      <c r="AA12" s="11">
        <f t="shared" si="3"/>
        <v>19.579999999999998</v>
      </c>
      <c r="AB12" s="11">
        <f t="shared" si="3"/>
        <v>18.219000000000001</v>
      </c>
      <c r="AC12" s="11">
        <f t="shared" si="3"/>
        <v>23.565999999999999</v>
      </c>
      <c r="AD12" s="11">
        <f t="shared" si="3"/>
        <v>19.158999999999999</v>
      </c>
      <c r="AE12" s="11">
        <f t="shared" si="3"/>
        <v>18.637</v>
      </c>
      <c r="AF12" s="11">
        <f t="shared" si="3"/>
        <v>16.905000000000001</v>
      </c>
      <c r="AG12" s="11">
        <f t="shared" si="3"/>
        <v>19.658000000000001</v>
      </c>
      <c r="AH12" s="11">
        <f t="shared" si="3"/>
        <v>17.600000000000001</v>
      </c>
      <c r="AI12" s="11">
        <f t="shared" si="3"/>
        <v>17.931000000000001</v>
      </c>
      <c r="AJ12" s="11">
        <f t="shared" si="3"/>
        <v>17.331</v>
      </c>
      <c r="AK12" s="11">
        <f t="shared" si="3"/>
        <v>17.039000000000001</v>
      </c>
      <c r="AL12" s="11">
        <f t="shared" si="3"/>
        <v>16.78</v>
      </c>
      <c r="AM12" s="11">
        <f t="shared" si="3"/>
        <v>16.524999999999999</v>
      </c>
    </row>
    <row r="13" spans="10:39" x14ac:dyDescent="0.25">
      <c r="K13" t="s">
        <v>135</v>
      </c>
      <c r="L13" s="11"/>
      <c r="M13" s="11"/>
      <c r="N13" s="11"/>
      <c r="O13" s="11">
        <v>4.8</v>
      </c>
      <c r="P13" s="11">
        <v>5.5</v>
      </c>
      <c r="Q13" s="11">
        <v>6</v>
      </c>
      <c r="R13" s="11">
        <f>R8</f>
        <v>1.075</v>
      </c>
      <c r="S13" s="11">
        <f t="shared" ref="S13:AM13" si="4">S8</f>
        <v>1.23</v>
      </c>
      <c r="T13" s="11">
        <f t="shared" si="4"/>
        <v>1.5229999999999999</v>
      </c>
      <c r="U13" s="11">
        <f t="shared" si="4"/>
        <v>1.462</v>
      </c>
      <c r="V13" s="11">
        <f t="shared" si="4"/>
        <v>1.3859999999999999</v>
      </c>
      <c r="W13" s="11">
        <f t="shared" si="4"/>
        <v>1.359</v>
      </c>
      <c r="X13" s="11">
        <f t="shared" si="4"/>
        <v>1.2669999999999999</v>
      </c>
      <c r="Y13" s="11">
        <f t="shared" si="4"/>
        <v>1.284</v>
      </c>
      <c r="Z13" s="11">
        <f t="shared" si="4"/>
        <v>1.7829999999999999</v>
      </c>
      <c r="AA13" s="11">
        <f t="shared" si="4"/>
        <v>1.679</v>
      </c>
      <c r="AB13" s="11">
        <f t="shared" si="4"/>
        <v>1.62</v>
      </c>
      <c r="AC13" s="11">
        <f t="shared" si="4"/>
        <v>2.2850000000000001</v>
      </c>
      <c r="AD13" s="11">
        <f t="shared" si="4"/>
        <v>1.7869999999999999</v>
      </c>
      <c r="AE13" s="11">
        <f t="shared" si="4"/>
        <v>1.7010000000000001</v>
      </c>
      <c r="AF13" s="11">
        <f t="shared" si="4"/>
        <v>1.5029999999999999</v>
      </c>
      <c r="AG13" s="11">
        <f t="shared" si="4"/>
        <v>1.4930000000000001</v>
      </c>
      <c r="AH13" s="11">
        <f t="shared" si="4"/>
        <v>1.4279999999999999</v>
      </c>
      <c r="AI13" s="11">
        <f t="shared" si="4"/>
        <v>1.365</v>
      </c>
      <c r="AJ13" s="11">
        <f t="shared" si="4"/>
        <v>1.3069999999999999</v>
      </c>
      <c r="AK13" s="11">
        <f t="shared" si="4"/>
        <v>1.2529999999999999</v>
      </c>
      <c r="AL13" s="11">
        <f t="shared" si="4"/>
        <v>1.202</v>
      </c>
      <c r="AM13" s="11">
        <f t="shared" si="4"/>
        <v>1.159</v>
      </c>
    </row>
    <row r="14" spans="10:39" x14ac:dyDescent="0.25">
      <c r="R14" s="3">
        <f>R13/R12</f>
        <v>6.2052643731239893E-2</v>
      </c>
      <c r="S14" s="3">
        <f t="shared" ref="S14:AM14" si="5">S13/S12</f>
        <v>6.8768869506876884E-2</v>
      </c>
      <c r="T14" s="3">
        <f t="shared" si="5"/>
        <v>7.4441566058947153E-2</v>
      </c>
      <c r="U14" s="3">
        <f t="shared" si="5"/>
        <v>7.629285602463079E-2</v>
      </c>
      <c r="V14" s="3">
        <f t="shared" si="5"/>
        <v>7.3344975392919509E-2</v>
      </c>
      <c r="W14" s="3">
        <f t="shared" si="5"/>
        <v>7.1737753378378386E-2</v>
      </c>
      <c r="X14" s="3">
        <f t="shared" si="5"/>
        <v>6.7975749771983479E-2</v>
      </c>
      <c r="Y14" s="3">
        <f t="shared" si="5"/>
        <v>7.492559957985645E-2</v>
      </c>
      <c r="Z14" s="3">
        <f t="shared" si="5"/>
        <v>8.9584484751042553E-2</v>
      </c>
      <c r="AA14" s="3">
        <f t="shared" si="5"/>
        <v>8.5750766087844751E-2</v>
      </c>
      <c r="AB14" s="3">
        <f t="shared" si="5"/>
        <v>8.8918162357977934E-2</v>
      </c>
      <c r="AC14" s="3">
        <f t="shared" si="5"/>
        <v>9.696172451837394E-2</v>
      </c>
      <c r="AD14" s="3">
        <f t="shared" si="5"/>
        <v>9.3272091445273764E-2</v>
      </c>
      <c r="AE14" s="3">
        <f t="shared" si="5"/>
        <v>9.1270054193271444E-2</v>
      </c>
      <c r="AF14" s="3">
        <f t="shared" si="5"/>
        <v>8.8908606921029268E-2</v>
      </c>
      <c r="AG14" s="3">
        <f t="shared" si="5"/>
        <v>7.5948723166141013E-2</v>
      </c>
      <c r="AH14" s="3">
        <f t="shared" si="5"/>
        <v>8.1136363636363631E-2</v>
      </c>
      <c r="AI14" s="3">
        <f t="shared" si="5"/>
        <v>7.6125146394512289E-2</v>
      </c>
      <c r="AJ14" s="3">
        <f t="shared" si="5"/>
        <v>7.5413998038197455E-2</v>
      </c>
      <c r="AK14" s="3">
        <f t="shared" si="5"/>
        <v>7.3537179411937312E-2</v>
      </c>
      <c r="AL14" s="3">
        <f t="shared" si="5"/>
        <v>7.1632896305125135E-2</v>
      </c>
      <c r="AM14" s="3">
        <f t="shared" si="5"/>
        <v>7.0136157337367638E-2</v>
      </c>
    </row>
    <row r="21" spans="10:39" x14ac:dyDescent="0.25">
      <c r="J21" s="2" t="s">
        <v>169</v>
      </c>
    </row>
    <row r="23" spans="10:39" x14ac:dyDescent="0.25">
      <c r="J23" s="41" t="s">
        <v>68</v>
      </c>
      <c r="K23" s="41"/>
      <c r="L23" s="42">
        <f>VLOOKUP($J23,output!$A$9:$AI$2200,L$1-$L$1+2)</f>
        <v>0</v>
      </c>
      <c r="M23" s="42">
        <f>VLOOKUP($J23,output!$A$9:$AI$2200,M$1-$L$1+2)</f>
        <v>3.097</v>
      </c>
      <c r="N23" s="42">
        <f>VLOOKUP($J23,output!$A$9:$AI$2200,N$1-$L$1+2)</f>
        <v>0</v>
      </c>
      <c r="O23" s="42">
        <f>VLOOKUP($J23,output!$A$9:$AI$2200,O$1-$L$1+2)</f>
        <v>0</v>
      </c>
      <c r="P23" s="42">
        <f>VLOOKUP($J23,output!$A$9:$AI$2200,P$1-$L$1+2)</f>
        <v>0</v>
      </c>
      <c r="Q23" s="42">
        <f>VLOOKUP($J23,output!$A$9:$AI$2200,Q$1-$L$1+2)</f>
        <v>0</v>
      </c>
      <c r="R23" s="42">
        <f>VLOOKUP($J23,output!$A$9:$AI$2200,R$1-$L$1+2)</f>
        <v>0</v>
      </c>
      <c r="S23" s="42">
        <f>VLOOKUP($J23,output!$A$9:$AI$2200,S$1-$L$1+2)</f>
        <v>0</v>
      </c>
      <c r="T23" s="42">
        <f>VLOOKUP($J23,output!$A$9:$AI$2200,T$1-$L$1+2)</f>
        <v>0</v>
      </c>
      <c r="U23" s="42">
        <f>VLOOKUP($J23,output!$A$9:$AI$2200,U$1-$L$1+2)</f>
        <v>0</v>
      </c>
      <c r="V23" s="42">
        <f>VLOOKUP($J23,output!$A$9:$AI$2200,V$1-$L$1+2)</f>
        <v>0</v>
      </c>
      <c r="W23" s="42">
        <f>VLOOKUP($J23,output!$A$9:$AI$2200,W$1-$L$1+2)</f>
        <v>0</v>
      </c>
      <c r="X23" s="42">
        <f>VLOOKUP($J23,output!$A$9:$AI$2200,X$1-$L$1+2)</f>
        <v>0</v>
      </c>
      <c r="Y23" s="42">
        <f>VLOOKUP($J23,output!$A$9:$AI$2200,Y$1-$L$1+2)</f>
        <v>0</v>
      </c>
      <c r="Z23" s="42">
        <f>VLOOKUP($J23,output!$A$9:$AI$2200,Z$1-$L$1+2)</f>
        <v>0</v>
      </c>
      <c r="AA23" s="42">
        <f>VLOOKUP($J23,output!$A$9:$AI$2200,AA$1-$L$1+2)</f>
        <v>0</v>
      </c>
      <c r="AB23" s="42">
        <f>VLOOKUP($J23,output!$A$9:$AI$2200,AB$1-$L$1+2)</f>
        <v>0</v>
      </c>
      <c r="AC23" s="42">
        <f>VLOOKUP($J23,output!$A$9:$AI$2200,AC$1-$L$1+2)</f>
        <v>0</v>
      </c>
      <c r="AD23" s="42">
        <f>VLOOKUP($J23,output!$A$9:$AI$2200,AD$1-$L$1+2)</f>
        <v>0</v>
      </c>
      <c r="AE23" s="42">
        <f>VLOOKUP($J23,output!$A$9:$AI$2200,AE$1-$L$1+2)</f>
        <v>0</v>
      </c>
      <c r="AF23" s="42">
        <f>VLOOKUP($J23,output!$A$9:$AI$2200,AF$1-$L$1+2)</f>
        <v>0</v>
      </c>
      <c r="AG23" s="42">
        <f>VLOOKUP($J23,output!$A$9:$AI$2200,AG$1-$L$1+2)</f>
        <v>0</v>
      </c>
      <c r="AH23" s="42">
        <f>VLOOKUP($J23,output!$A$9:$AI$2200,AH$1-$L$1+2)</f>
        <v>0</v>
      </c>
      <c r="AI23" s="42">
        <f>VLOOKUP($J23,output!$A$9:$AI$2200,AI$1-$L$1+2)</f>
        <v>0</v>
      </c>
      <c r="AJ23" s="42">
        <f>VLOOKUP($J23,output!$A$9:$AI$2200,AJ$1-$L$1+2)</f>
        <v>0</v>
      </c>
      <c r="AK23" s="42">
        <f>VLOOKUP($J23,output!$A$9:$AI$2200,AK$1-$L$1+2)</f>
        <v>0</v>
      </c>
      <c r="AL23" s="42">
        <f>VLOOKUP($J23,output!$A$9:$AI$2200,AL$1-$L$1+2)</f>
        <v>0</v>
      </c>
      <c r="AM23" s="42">
        <f>VLOOKUP($J23,output!$A$9:$AI$2200,AM$1-$L$1+2)</f>
        <v>0</v>
      </c>
    </row>
    <row r="24" spans="10:39" x14ac:dyDescent="0.25">
      <c r="J24" s="21" t="s">
        <v>99</v>
      </c>
      <c r="L24" s="11">
        <f>VLOOKUP($J24,output!$A$9:$AI$2200,L$1-$L$1+2)</f>
        <v>0</v>
      </c>
      <c r="M24" s="11">
        <f>VLOOKUP($J24,output!$A$9:$AI$2200,M$1-$L$1+2)</f>
        <v>1.607</v>
      </c>
      <c r="N24" s="11">
        <f>VLOOKUP($J24,output!$A$9:$AI$2200,N$1-$L$1+2)</f>
        <v>0</v>
      </c>
      <c r="O24" s="11">
        <f>VLOOKUP($J24,output!$A$9:$AI$2200,O$1-$L$1+2)</f>
        <v>0</v>
      </c>
      <c r="P24" s="11">
        <f>VLOOKUP($J24,output!$A$9:$AI$2200,P$1-$L$1+2)</f>
        <v>0</v>
      </c>
      <c r="Q24" s="11">
        <f>VLOOKUP($J24,output!$A$9:$AI$2200,Q$1-$L$1+2)</f>
        <v>0</v>
      </c>
      <c r="R24" s="11">
        <f>VLOOKUP($J24,output!$A$9:$AI$2200,R$1-$L$1+2)</f>
        <v>0</v>
      </c>
      <c r="S24" s="11">
        <f>VLOOKUP($J24,output!$A$9:$AI$2200,S$1-$L$1+2)</f>
        <v>0</v>
      </c>
      <c r="T24" s="11">
        <f>VLOOKUP($J24,output!$A$9:$AI$2200,T$1-$L$1+2)</f>
        <v>0</v>
      </c>
      <c r="U24" s="11">
        <f>VLOOKUP($J24,output!$A$9:$AI$2200,U$1-$L$1+2)</f>
        <v>0</v>
      </c>
      <c r="V24" s="11">
        <f>VLOOKUP($J24,output!$A$9:$AI$2200,V$1-$L$1+2)</f>
        <v>0</v>
      </c>
      <c r="W24" s="11">
        <f>VLOOKUP($J24,output!$A$9:$AI$2200,W$1-$L$1+2)</f>
        <v>0</v>
      </c>
      <c r="X24" s="11">
        <f>VLOOKUP($J24,output!$A$9:$AI$2200,X$1-$L$1+2)</f>
        <v>0</v>
      </c>
      <c r="Y24" s="11">
        <f>VLOOKUP($J24,output!$A$9:$AI$2200,Y$1-$L$1+2)</f>
        <v>0</v>
      </c>
      <c r="Z24" s="11">
        <f>VLOOKUP($J24,output!$A$9:$AI$2200,Z$1-$L$1+2)</f>
        <v>0</v>
      </c>
      <c r="AA24" s="11">
        <f>VLOOKUP($J24,output!$A$9:$AI$2200,AA$1-$L$1+2)</f>
        <v>0</v>
      </c>
      <c r="AB24" s="11">
        <f>VLOOKUP($J24,output!$A$9:$AI$2200,AB$1-$L$1+2)</f>
        <v>0</v>
      </c>
      <c r="AC24" s="11">
        <f>VLOOKUP($J24,output!$A$9:$AI$2200,AC$1-$L$1+2)</f>
        <v>0</v>
      </c>
      <c r="AD24" s="11">
        <f>VLOOKUP($J24,output!$A$9:$AI$2200,AD$1-$L$1+2)</f>
        <v>0</v>
      </c>
      <c r="AE24" s="11">
        <f>VLOOKUP($J24,output!$A$9:$AI$2200,AE$1-$L$1+2)</f>
        <v>0</v>
      </c>
      <c r="AF24" s="11">
        <f>VLOOKUP($J24,output!$A$9:$AI$2200,AF$1-$L$1+2)</f>
        <v>0</v>
      </c>
      <c r="AG24" s="11">
        <f>VLOOKUP($J24,output!$A$9:$AI$2200,AG$1-$L$1+2)</f>
        <v>0</v>
      </c>
      <c r="AH24" s="11">
        <f>VLOOKUP($J24,output!$A$9:$AI$2200,AH$1-$L$1+2)</f>
        <v>0</v>
      </c>
      <c r="AI24" s="11">
        <f>VLOOKUP($J24,output!$A$9:$AI$2200,AI$1-$L$1+2)</f>
        <v>0</v>
      </c>
      <c r="AJ24" s="11">
        <f>VLOOKUP($J24,output!$A$9:$AI$2200,AJ$1-$L$1+2)</f>
        <v>0</v>
      </c>
      <c r="AK24" s="11">
        <f>VLOOKUP($J24,output!$A$9:$AI$2200,AK$1-$L$1+2)</f>
        <v>0</v>
      </c>
      <c r="AL24" s="11">
        <f>VLOOKUP($J24,output!$A$9:$AI$2200,AL$1-$L$1+2)</f>
        <v>0</v>
      </c>
      <c r="AM24" s="11">
        <f>VLOOKUP($J24,output!$A$9:$AI$2200,AM$1-$L$1+2)</f>
        <v>0</v>
      </c>
    </row>
    <row r="25" spans="10:39" x14ac:dyDescent="0.25">
      <c r="J25" s="21" t="s">
        <v>259</v>
      </c>
      <c r="K25" s="21"/>
      <c r="L25" s="40">
        <f>VLOOKUP($J25,output!$A$9:$AI$2200,L$1-$L$1+2)</f>
        <v>0</v>
      </c>
      <c r="M25" s="40">
        <f>VLOOKUP($J25,output!$A$9:$AI$2200,M$1-$L$1+2)</f>
        <v>1256.951</v>
      </c>
      <c r="N25" s="40">
        <f>VLOOKUP($J25,output!$A$9:$AI$2200,N$1-$L$1+2)</f>
        <v>0</v>
      </c>
      <c r="O25" s="40">
        <f>VLOOKUP($J25,output!$A$9:$AI$2200,O$1-$L$1+2)</f>
        <v>0</v>
      </c>
      <c r="P25" s="40">
        <f>VLOOKUP($J25,output!$A$9:$AI$2200,P$1-$L$1+2)</f>
        <v>0</v>
      </c>
      <c r="Q25" s="40">
        <f>VLOOKUP($J25,output!$A$9:$AI$2200,Q$1-$L$1+2)</f>
        <v>0</v>
      </c>
      <c r="R25" s="40">
        <f>VLOOKUP($J25,output!$A$9:$AI$2200,R$1-$L$1+2)</f>
        <v>0</v>
      </c>
      <c r="S25" s="40">
        <f>VLOOKUP($J25,output!$A$9:$AI$2200,S$1-$L$1+2)</f>
        <v>0</v>
      </c>
      <c r="T25" s="40">
        <f>VLOOKUP($J25,output!$A$9:$AI$2200,T$1-$L$1+2)</f>
        <v>0</v>
      </c>
      <c r="U25" s="40">
        <f>VLOOKUP($J25,output!$A$9:$AI$2200,U$1-$L$1+2)</f>
        <v>0</v>
      </c>
      <c r="V25" s="40">
        <f>VLOOKUP($J25,output!$A$9:$AI$2200,V$1-$L$1+2)</f>
        <v>0</v>
      </c>
      <c r="W25" s="40">
        <f>VLOOKUP($J25,output!$A$9:$AI$2200,W$1-$L$1+2)</f>
        <v>0</v>
      </c>
      <c r="X25" s="40">
        <f>VLOOKUP($J25,output!$A$9:$AI$2200,X$1-$L$1+2)</f>
        <v>0</v>
      </c>
      <c r="Y25" s="40">
        <f>VLOOKUP($J25,output!$A$9:$AI$2200,Y$1-$L$1+2)</f>
        <v>0</v>
      </c>
      <c r="Z25" s="40">
        <f>VLOOKUP($J25,output!$A$9:$AI$2200,Z$1-$L$1+2)</f>
        <v>0</v>
      </c>
      <c r="AA25" s="40">
        <f>VLOOKUP($J25,output!$A$9:$AI$2200,AA$1-$L$1+2)</f>
        <v>0</v>
      </c>
      <c r="AB25" s="40">
        <f>VLOOKUP($J25,output!$A$9:$AI$2200,AB$1-$L$1+2)</f>
        <v>0</v>
      </c>
      <c r="AC25" s="40">
        <f>VLOOKUP($J25,output!$A$9:$AI$2200,AC$1-$L$1+2)</f>
        <v>0</v>
      </c>
      <c r="AD25" s="40">
        <f>VLOOKUP($J25,output!$A$9:$AI$2200,AD$1-$L$1+2)</f>
        <v>0</v>
      </c>
      <c r="AE25" s="40">
        <f>VLOOKUP($J25,output!$A$9:$AI$2200,AE$1-$L$1+2)</f>
        <v>0</v>
      </c>
      <c r="AF25" s="40">
        <f>VLOOKUP($J25,output!$A$9:$AI$2200,AF$1-$L$1+2)</f>
        <v>0</v>
      </c>
      <c r="AG25" s="40">
        <f>VLOOKUP($J25,output!$A$9:$AI$2200,AG$1-$L$1+2)</f>
        <v>0</v>
      </c>
      <c r="AH25" s="40">
        <f>VLOOKUP($J25,output!$A$9:$AI$2200,AH$1-$L$1+2)</f>
        <v>0</v>
      </c>
      <c r="AI25" s="40">
        <f>VLOOKUP($J25,output!$A$9:$AI$2200,AI$1-$L$1+2)</f>
        <v>0</v>
      </c>
      <c r="AJ25" s="40">
        <f>VLOOKUP($J25,output!$A$9:$AI$2200,AJ$1-$L$1+2)</f>
        <v>0</v>
      </c>
      <c r="AK25" s="40">
        <f>VLOOKUP($J25,output!$A$9:$AI$2200,AK$1-$L$1+2)</f>
        <v>0</v>
      </c>
      <c r="AL25" s="40">
        <f>VLOOKUP($J25,output!$A$9:$AI$2200,AL$1-$L$1+2)</f>
        <v>0</v>
      </c>
      <c r="AM25" s="40">
        <f>VLOOKUP($J25,output!$A$9:$AI$2200,AM$1-$L$1+2)</f>
        <v>0</v>
      </c>
    </row>
    <row r="26" spans="10:39" x14ac:dyDescent="0.25">
      <c r="J26" s="24" t="s">
        <v>72</v>
      </c>
      <c r="L26" s="67">
        <f>VLOOKUP($J26,output!$A$9:$AI$2200,L$1-$L$1+2)</f>
        <v>0</v>
      </c>
      <c r="M26" s="67">
        <f>VLOOKUP($J26,output!$A$9:$AI$2200,M$1-$L$1+2)</f>
        <v>0.23799999999999999</v>
      </c>
      <c r="N26" s="67">
        <f>VLOOKUP($J26,output!$A$9:$AI$2200,N$1-$L$1+2)</f>
        <v>0</v>
      </c>
      <c r="O26" s="67">
        <f>VLOOKUP($J26,output!$A$9:$AI$2200,O$1-$L$1+2)</f>
        <v>0</v>
      </c>
      <c r="P26" s="67">
        <f>VLOOKUP($J26,output!$A$9:$AI$2200,P$1-$L$1+2)</f>
        <v>0</v>
      </c>
      <c r="Q26" s="67">
        <f>VLOOKUP($J26,output!$A$9:$AI$2200,Q$1-$L$1+2)</f>
        <v>0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spans="10:39" x14ac:dyDescent="0.25">
      <c r="J27" s="24" t="s">
        <v>263</v>
      </c>
      <c r="L27" s="11">
        <f>VLOOKUP($J27,output!$A$9:$AI$2200,L$1-$L$1+2)</f>
        <v>0</v>
      </c>
      <c r="M27" s="11">
        <f>VLOOKUP($J27,output!$A$9:$AI$2200,M$1-$L$1+2)</f>
        <v>0</v>
      </c>
      <c r="N27" s="11">
        <f>VLOOKUP($J27,output!$A$9:$AI$2200,N$1-$L$1+2)</f>
        <v>0</v>
      </c>
      <c r="O27" s="11">
        <f>VLOOKUP($J27,output!$A$9:$AI$2200,O$1-$L$1+2)</f>
        <v>0</v>
      </c>
      <c r="P27" s="11">
        <f>VLOOKUP($J27,output!$A$9:$AI$2200,P$1-$L$1+2)</f>
        <v>0</v>
      </c>
      <c r="Q27" s="11">
        <f>VLOOKUP($J27,output!$A$9:$AI$2200,Q$1-$L$1+2)</f>
        <v>0</v>
      </c>
      <c r="R27" s="11">
        <f>VLOOKUP($J27,output!$A$9:$AI$2200,R$1-$L$1+2)</f>
        <v>0</v>
      </c>
      <c r="S27" s="11">
        <f>VLOOKUP($J27,output!$A$9:$AI$2200,S$1-$L$1+2)</f>
        <v>0</v>
      </c>
      <c r="T27" s="11">
        <f>VLOOKUP($J27,output!$A$9:$AI$2200,T$1-$L$1+2)</f>
        <v>0</v>
      </c>
      <c r="U27" s="11">
        <f>VLOOKUP($J27,output!$A$9:$AI$2200,U$1-$L$1+2)</f>
        <v>0</v>
      </c>
      <c r="V27" s="11">
        <f>VLOOKUP($J27,output!$A$9:$AI$2200,V$1-$L$1+2)</f>
        <v>0</v>
      </c>
      <c r="W27" s="11">
        <f>VLOOKUP($J27,output!$A$9:$AI$2200,W$1-$L$1+2)</f>
        <v>0</v>
      </c>
      <c r="X27" s="11">
        <f>VLOOKUP($J27,output!$A$9:$AI$2200,X$1-$L$1+2)</f>
        <v>0</v>
      </c>
      <c r="Y27" s="11">
        <f>VLOOKUP($J27,output!$A$9:$AI$2200,Y$1-$L$1+2)</f>
        <v>0</v>
      </c>
      <c r="Z27" s="11">
        <f>VLOOKUP($J27,output!$A$9:$AI$2200,Z$1-$L$1+2)</f>
        <v>0</v>
      </c>
      <c r="AA27" s="11">
        <f>VLOOKUP($J27,output!$A$9:$AI$2200,AA$1-$L$1+2)</f>
        <v>0</v>
      </c>
      <c r="AB27" s="11">
        <f>VLOOKUP($J27,output!$A$9:$AI$2200,AB$1-$L$1+2)</f>
        <v>0</v>
      </c>
      <c r="AC27" s="11">
        <f>VLOOKUP($J27,output!$A$9:$AI$2200,AC$1-$L$1+2)</f>
        <v>0</v>
      </c>
      <c r="AD27" s="11">
        <f>VLOOKUP($J27,output!$A$9:$AI$2200,AD$1-$L$1+2)</f>
        <v>0</v>
      </c>
      <c r="AE27" s="11">
        <f>VLOOKUP($J27,output!$A$9:$AI$2200,AE$1-$L$1+2)</f>
        <v>0</v>
      </c>
      <c r="AF27" s="11">
        <f>VLOOKUP($J27,output!$A$9:$AI$2200,AF$1-$L$1+2)</f>
        <v>0</v>
      </c>
      <c r="AG27" s="11">
        <f>VLOOKUP($J27,output!$A$9:$AI$2200,AG$1-$L$1+2)</f>
        <v>0</v>
      </c>
      <c r="AH27" s="11">
        <f>VLOOKUP($J27,output!$A$9:$AI$2200,AH$1-$L$1+2)</f>
        <v>0</v>
      </c>
      <c r="AI27" s="11">
        <f>VLOOKUP($J27,output!$A$9:$AI$2200,AI$1-$L$1+2)</f>
        <v>0</v>
      </c>
      <c r="AJ27" s="11">
        <f>VLOOKUP($J27,output!$A$9:$AI$2200,AJ$1-$L$1+2)</f>
        <v>0</v>
      </c>
      <c r="AK27" s="11">
        <f>VLOOKUP($J27,output!$A$9:$AI$2200,AK$1-$L$1+2)</f>
        <v>0</v>
      </c>
      <c r="AL27" s="11">
        <f>VLOOKUP($J27,output!$A$9:$AI$2200,AL$1-$L$1+2)</f>
        <v>0</v>
      </c>
      <c r="AM27" s="11">
        <f>VLOOKUP($J27,output!$A$9:$AI$2200,AM$1-$L$1+2)</f>
        <v>0</v>
      </c>
    </row>
    <row r="28" spans="10:39" x14ac:dyDescent="0.25">
      <c r="J28" s="24" t="s">
        <v>261</v>
      </c>
      <c r="L28" s="11">
        <f>VLOOKUP($J28,output!$A$9:$AI$2200,L$1-$L$1+2)</f>
        <v>0</v>
      </c>
      <c r="M28" s="11">
        <f>VLOOKUP($J28,output!$A$9:$AI$2200,M$1-$L$1+2)</f>
        <v>273.221</v>
      </c>
      <c r="N28" s="11">
        <f>VLOOKUP($J28,output!$A$9:$AI$2200,N$1-$L$1+2)</f>
        <v>0</v>
      </c>
      <c r="O28" s="11">
        <f>VLOOKUP($J28,output!$A$9:$AI$2200,O$1-$L$1+2)</f>
        <v>0</v>
      </c>
      <c r="P28" s="11">
        <f>VLOOKUP($J28,output!$A$9:$AI$2200,P$1-$L$1+2)</f>
        <v>0</v>
      </c>
      <c r="Q28" s="11">
        <f>VLOOKUP($J28,output!$A$9:$AI$2200,Q$1-$L$1+2)</f>
        <v>0</v>
      </c>
      <c r="R28" s="11">
        <f>VLOOKUP($J28,output!$A$9:$AI$2200,R$1-$L$1+2)</f>
        <v>0</v>
      </c>
      <c r="S28" s="11">
        <f>VLOOKUP($J28,output!$A$9:$AI$2200,S$1-$L$1+2)</f>
        <v>0</v>
      </c>
      <c r="T28" s="11">
        <f>VLOOKUP($J28,output!$A$9:$AI$2200,T$1-$L$1+2)</f>
        <v>0</v>
      </c>
      <c r="U28" s="11">
        <f>VLOOKUP($J28,output!$A$9:$AI$2200,U$1-$L$1+2)</f>
        <v>0</v>
      </c>
      <c r="V28" s="11">
        <f>VLOOKUP($J28,output!$A$9:$AI$2200,V$1-$L$1+2)</f>
        <v>0</v>
      </c>
      <c r="W28" s="11">
        <f>VLOOKUP($J28,output!$A$9:$AI$2200,W$1-$L$1+2)</f>
        <v>0</v>
      </c>
      <c r="X28" s="11">
        <f>VLOOKUP($J28,output!$A$9:$AI$2200,X$1-$L$1+2)</f>
        <v>0</v>
      </c>
      <c r="Y28" s="11">
        <f>VLOOKUP($J28,output!$A$9:$AI$2200,Y$1-$L$1+2)</f>
        <v>0</v>
      </c>
      <c r="Z28" s="11">
        <f>VLOOKUP($J28,output!$A$9:$AI$2200,Z$1-$L$1+2)</f>
        <v>0</v>
      </c>
      <c r="AA28" s="11">
        <f>VLOOKUP($J28,output!$A$9:$AI$2200,AA$1-$L$1+2)</f>
        <v>0</v>
      </c>
      <c r="AB28" s="11">
        <f>VLOOKUP($J28,output!$A$9:$AI$2200,AB$1-$L$1+2)</f>
        <v>0</v>
      </c>
      <c r="AC28" s="11">
        <f>VLOOKUP($J28,output!$A$9:$AI$2200,AC$1-$L$1+2)</f>
        <v>0</v>
      </c>
      <c r="AD28" s="11">
        <f>VLOOKUP($J28,output!$A$9:$AI$2200,AD$1-$L$1+2)</f>
        <v>0</v>
      </c>
      <c r="AE28" s="11">
        <f>VLOOKUP($J28,output!$A$9:$AI$2200,AE$1-$L$1+2)</f>
        <v>0</v>
      </c>
      <c r="AF28" s="11">
        <f>VLOOKUP($J28,output!$A$9:$AI$2200,AF$1-$L$1+2)</f>
        <v>0</v>
      </c>
      <c r="AG28" s="11">
        <f>VLOOKUP($J28,output!$A$9:$AI$2200,AG$1-$L$1+2)</f>
        <v>0</v>
      </c>
      <c r="AH28" s="11">
        <f>VLOOKUP($J28,output!$A$9:$AI$2200,AH$1-$L$1+2)</f>
        <v>0</v>
      </c>
      <c r="AI28" s="11">
        <f>VLOOKUP($J28,output!$A$9:$AI$2200,AI$1-$L$1+2)</f>
        <v>0</v>
      </c>
      <c r="AJ28" s="11">
        <f>VLOOKUP($J28,output!$A$9:$AI$2200,AJ$1-$L$1+2)</f>
        <v>0</v>
      </c>
      <c r="AK28" s="11">
        <f>VLOOKUP($J28,output!$A$9:$AI$2200,AK$1-$L$1+2)</f>
        <v>0</v>
      </c>
      <c r="AL28" s="11">
        <f>VLOOKUP($J28,output!$A$9:$AI$2200,AL$1-$L$1+2)</f>
        <v>0</v>
      </c>
      <c r="AM28" s="11">
        <f>VLOOKUP($J28,output!$A$9:$AI$2200,AM$1-$L$1+2)</f>
        <v>0</v>
      </c>
    </row>
    <row r="29" spans="10:39" x14ac:dyDescent="0.25">
      <c r="J29" s="37" t="s">
        <v>278</v>
      </c>
      <c r="K29" s="37"/>
      <c r="L29" s="38">
        <f>SUM(L26:L28)</f>
        <v>0</v>
      </c>
      <c r="M29" s="38">
        <f t="shared" ref="M29:AM29" si="6">SUM(M26:M28)</f>
        <v>273.459</v>
      </c>
      <c r="N29" s="38">
        <f t="shared" si="6"/>
        <v>0</v>
      </c>
      <c r="O29" s="38">
        <f t="shared" si="6"/>
        <v>0</v>
      </c>
      <c r="P29" s="38">
        <f t="shared" si="6"/>
        <v>0</v>
      </c>
      <c r="Q29" s="38">
        <f t="shared" si="6"/>
        <v>0</v>
      </c>
      <c r="R29" s="38">
        <f t="shared" si="6"/>
        <v>0</v>
      </c>
      <c r="S29" s="38">
        <f t="shared" si="6"/>
        <v>0</v>
      </c>
      <c r="T29" s="38">
        <f t="shared" si="6"/>
        <v>0</v>
      </c>
      <c r="U29" s="38">
        <f t="shared" si="6"/>
        <v>0</v>
      </c>
      <c r="V29" s="38">
        <f t="shared" si="6"/>
        <v>0</v>
      </c>
      <c r="W29" s="38">
        <f t="shared" si="6"/>
        <v>0</v>
      </c>
      <c r="X29" s="38">
        <f t="shared" si="6"/>
        <v>0</v>
      </c>
      <c r="Y29" s="38">
        <f t="shared" si="6"/>
        <v>0</v>
      </c>
      <c r="Z29" s="38">
        <f t="shared" si="6"/>
        <v>0</v>
      </c>
      <c r="AA29" s="38">
        <f t="shared" si="6"/>
        <v>0</v>
      </c>
      <c r="AB29" s="38">
        <f t="shared" si="6"/>
        <v>0</v>
      </c>
      <c r="AC29" s="38">
        <f t="shared" si="6"/>
        <v>0</v>
      </c>
      <c r="AD29" s="38">
        <f t="shared" si="6"/>
        <v>0</v>
      </c>
      <c r="AE29" s="38">
        <f t="shared" si="6"/>
        <v>0</v>
      </c>
      <c r="AF29" s="38">
        <f t="shared" si="6"/>
        <v>0</v>
      </c>
      <c r="AG29" s="38">
        <f t="shared" si="6"/>
        <v>0</v>
      </c>
      <c r="AH29" s="38">
        <f t="shared" si="6"/>
        <v>0</v>
      </c>
      <c r="AI29" s="38">
        <f t="shared" si="6"/>
        <v>0</v>
      </c>
      <c r="AJ29" s="38">
        <f t="shared" si="6"/>
        <v>0</v>
      </c>
      <c r="AK29" s="38">
        <f t="shared" si="6"/>
        <v>0</v>
      </c>
      <c r="AL29" s="38">
        <f t="shared" si="6"/>
        <v>0</v>
      </c>
      <c r="AM29" s="38">
        <f t="shared" si="6"/>
        <v>0</v>
      </c>
    </row>
    <row r="30" spans="10:39" x14ac:dyDescent="0.25">
      <c r="J30" s="25" t="s">
        <v>202</v>
      </c>
      <c r="K30" s="25"/>
      <c r="L30" s="39">
        <f>VLOOKUP($J30,output!$A$9:$AI$2200,L$1-$L$1+2)</f>
        <v>0</v>
      </c>
      <c r="M30" s="39">
        <f>VLOOKUP($J30,output!$A$9:$AI$2200,M$1-$L$1+2)</f>
        <v>0</v>
      </c>
      <c r="N30" s="39">
        <f>VLOOKUP($J30,output!$A$9:$AI$2200,N$1-$L$1+2)</f>
        <v>0</v>
      </c>
      <c r="O30" s="39">
        <f>VLOOKUP($J30,output!$A$9:$AI$2200,O$1-$L$1+2)</f>
        <v>0</v>
      </c>
      <c r="P30" s="39">
        <f>VLOOKUP($J30,output!$A$9:$AI$2200,P$1-$L$1+2)</f>
        <v>0</v>
      </c>
      <c r="Q30" s="39">
        <f>VLOOKUP($J30,output!$A$9:$AI$2200,Q$1-$L$1+2)</f>
        <v>0</v>
      </c>
      <c r="R30" s="39">
        <f>VLOOKUP($J30,output!$A$9:$AI$2200,R$1-$L$1+2)</f>
        <v>0</v>
      </c>
      <c r="S30" s="39">
        <f>VLOOKUP($J30,output!$A$9:$AI$2200,S$1-$L$1+2)</f>
        <v>0</v>
      </c>
      <c r="T30" s="39">
        <f>VLOOKUP($J30,output!$A$9:$AI$2200,T$1-$L$1+2)</f>
        <v>0</v>
      </c>
      <c r="U30" s="39">
        <f>VLOOKUP($J30,output!$A$9:$AI$2200,U$1-$L$1+2)</f>
        <v>0</v>
      </c>
      <c r="V30" s="39">
        <f>VLOOKUP($J30,output!$A$9:$AI$2200,V$1-$L$1+2)</f>
        <v>0</v>
      </c>
      <c r="W30" s="39">
        <f>VLOOKUP($J30,output!$A$9:$AI$2200,W$1-$L$1+2)</f>
        <v>0</v>
      </c>
      <c r="X30" s="39">
        <f>VLOOKUP($J30,output!$A$9:$AI$2200,X$1-$L$1+2)</f>
        <v>0</v>
      </c>
      <c r="Y30" s="39">
        <f>VLOOKUP($J30,output!$A$9:$AI$2200,Y$1-$L$1+2)</f>
        <v>0</v>
      </c>
      <c r="Z30" s="39">
        <f>VLOOKUP($J30,output!$A$9:$AI$2200,Z$1-$L$1+2)</f>
        <v>0</v>
      </c>
      <c r="AA30" s="39">
        <f>VLOOKUP($J30,output!$A$9:$AI$2200,AA$1-$L$1+2)</f>
        <v>0</v>
      </c>
      <c r="AB30" s="39">
        <f>VLOOKUP($J30,output!$A$9:$AI$2200,AB$1-$L$1+2)</f>
        <v>0</v>
      </c>
      <c r="AC30" s="39">
        <f>VLOOKUP($J30,output!$A$9:$AI$2200,AC$1-$L$1+2)</f>
        <v>0</v>
      </c>
      <c r="AD30" s="39">
        <f>VLOOKUP($J30,output!$A$9:$AI$2200,AD$1-$L$1+2)</f>
        <v>0</v>
      </c>
      <c r="AE30" s="39">
        <f>VLOOKUP($J30,output!$A$9:$AI$2200,AE$1-$L$1+2)</f>
        <v>0</v>
      </c>
      <c r="AF30" s="39">
        <f>VLOOKUP($J30,output!$A$9:$AI$2200,AF$1-$L$1+2)</f>
        <v>0</v>
      </c>
      <c r="AG30" s="39">
        <f>VLOOKUP($J30,output!$A$9:$AI$2200,AG$1-$L$1+2)</f>
        <v>0</v>
      </c>
      <c r="AH30" s="39">
        <f>VLOOKUP($J30,output!$A$9:$AI$2200,AH$1-$L$1+2)</f>
        <v>0</v>
      </c>
      <c r="AI30" s="39">
        <f>VLOOKUP($J30,output!$A$9:$AI$2200,AI$1-$L$1+2)</f>
        <v>0</v>
      </c>
      <c r="AJ30" s="39">
        <f>VLOOKUP($J30,output!$A$9:$AI$2200,AJ$1-$L$1+2)</f>
        <v>0</v>
      </c>
      <c r="AK30" s="39">
        <f>VLOOKUP($J30,output!$A$9:$AI$2200,AK$1-$L$1+2)</f>
        <v>0</v>
      </c>
      <c r="AL30" s="39">
        <f>VLOOKUP($J30,output!$A$9:$AI$2200,AL$1-$L$1+2)</f>
        <v>0</v>
      </c>
      <c r="AM30" s="39">
        <f>VLOOKUP($J30,output!$A$9:$AI$2200,AM$1-$L$1+2)</f>
        <v>0</v>
      </c>
    </row>
    <row r="31" spans="10:39" x14ac:dyDescent="0.25">
      <c r="J31" s="25" t="s">
        <v>200</v>
      </c>
      <c r="L31" s="1">
        <f>VLOOKUP($J31,output!$A$9:$AI$2200,L$1-$L$1+2)</f>
        <v>0</v>
      </c>
      <c r="M31" s="1">
        <f>VLOOKUP($J31,output!$A$9:$AI$2200,M$1-$L$1+2)</f>
        <v>7.0000000000000001E-3</v>
      </c>
      <c r="N31" s="1">
        <f>VLOOKUP($J31,output!$A$9:$AI$2200,N$1-$L$1+2)</f>
        <v>0</v>
      </c>
      <c r="O31" s="1">
        <f>VLOOKUP($J31,output!$A$9:$AI$2200,O$1-$L$1+2)</f>
        <v>0</v>
      </c>
      <c r="P31" s="1">
        <f>VLOOKUP($J31,output!$A$9:$AI$2200,P$1-$L$1+2)</f>
        <v>0</v>
      </c>
      <c r="Q31" s="1">
        <f>VLOOKUP($J31,output!$A$9:$AI$2200,Q$1-$L$1+2)</f>
        <v>0</v>
      </c>
      <c r="R31" s="1">
        <f>VLOOKUP($J31,output!$A$9:$AI$2200,R$1-$L$1+2)</f>
        <v>0</v>
      </c>
      <c r="S31" s="1">
        <f>VLOOKUP($J31,output!$A$9:$AI$2200,S$1-$L$1+2)</f>
        <v>0</v>
      </c>
      <c r="T31" s="11">
        <f>VLOOKUP($J31,output!$A$9:$AI$2200,T$1-$L$1+2)</f>
        <v>0</v>
      </c>
      <c r="U31" s="11">
        <f>VLOOKUP($J31,output!$A$9:$AI$2200,U$1-$L$1+2)</f>
        <v>0</v>
      </c>
      <c r="V31" s="11">
        <f>VLOOKUP($J31,output!$A$9:$AI$2200,V$1-$L$1+2)</f>
        <v>0</v>
      </c>
      <c r="W31" s="11">
        <f>VLOOKUP($J31,output!$A$9:$AI$2200,W$1-$L$1+2)</f>
        <v>0</v>
      </c>
      <c r="X31" s="11">
        <f>VLOOKUP($J31,output!$A$9:$AI$2200,X$1-$L$1+2)</f>
        <v>0</v>
      </c>
      <c r="Y31" s="11">
        <f>VLOOKUP($J31,output!$A$9:$AI$2200,Y$1-$L$1+2)</f>
        <v>0</v>
      </c>
      <c r="Z31" s="11">
        <f>VLOOKUP($J31,output!$A$9:$AI$2200,Z$1-$L$1+2)</f>
        <v>0</v>
      </c>
      <c r="AA31" s="11">
        <f>VLOOKUP($J31,output!$A$9:$AI$2200,AA$1-$L$1+2)</f>
        <v>0</v>
      </c>
      <c r="AB31" s="11">
        <f>VLOOKUP($J31,output!$A$9:$AI$2200,AB$1-$L$1+2)</f>
        <v>0</v>
      </c>
      <c r="AC31" s="11">
        <f>VLOOKUP($J31,output!$A$9:$AI$2200,AC$1-$L$1+2)</f>
        <v>0</v>
      </c>
      <c r="AD31" s="11">
        <f>VLOOKUP($J31,output!$A$9:$AI$2200,AD$1-$L$1+2)</f>
        <v>0</v>
      </c>
      <c r="AE31" s="11">
        <f>VLOOKUP($J31,output!$A$9:$AI$2200,AE$1-$L$1+2)</f>
        <v>0</v>
      </c>
      <c r="AF31" s="11">
        <f>VLOOKUP($J31,output!$A$9:$AI$2200,AF$1-$L$1+2)</f>
        <v>0</v>
      </c>
      <c r="AG31" s="11">
        <f>VLOOKUP($J31,output!$A$9:$AI$2200,AG$1-$L$1+2)</f>
        <v>0</v>
      </c>
      <c r="AH31" s="11">
        <f>VLOOKUP($J31,output!$A$9:$AI$2200,AH$1-$L$1+2)</f>
        <v>0</v>
      </c>
      <c r="AI31" s="11">
        <f>VLOOKUP($J31,output!$A$9:$AI$2200,AI$1-$L$1+2)</f>
        <v>0</v>
      </c>
      <c r="AJ31" s="11">
        <f>VLOOKUP($J31,output!$A$9:$AI$2200,AJ$1-$L$1+2)</f>
        <v>0</v>
      </c>
      <c r="AK31" s="11">
        <f>VLOOKUP($J31,output!$A$9:$AI$2200,AK$1-$L$1+2)</f>
        <v>0</v>
      </c>
      <c r="AL31" s="11">
        <f>VLOOKUP($J31,output!$A$9:$AI$2200,AL$1-$L$1+2)</f>
        <v>0</v>
      </c>
      <c r="AM31" s="11">
        <f>VLOOKUP($J31,output!$A$9:$AI$2200,AM$1-$L$1+2)</f>
        <v>0</v>
      </c>
    </row>
    <row r="32" spans="10:39" x14ac:dyDescent="0.25">
      <c r="J32" t="s">
        <v>75</v>
      </c>
      <c r="L32" s="11">
        <f>VLOOKUP($J32,output!$A$9:$AI$2200,L$1-$L$1+2)</f>
        <v>0</v>
      </c>
      <c r="M32" s="11">
        <f>VLOOKUP($J32,output!$A$9:$AI$2200,M$1-$L$1+2)</f>
        <v>0</v>
      </c>
      <c r="N32" s="11">
        <f>VLOOKUP($J32,output!$A$9:$AI$2200,N$1-$L$1+2)</f>
        <v>0</v>
      </c>
      <c r="O32" s="11">
        <f>VLOOKUP($J32,output!$A$9:$AI$2200,O$1-$L$1+2)</f>
        <v>0</v>
      </c>
      <c r="P32" s="11">
        <f>VLOOKUP($J32,output!$A$9:$AI$2200,P$1-$L$1+2)</f>
        <v>0</v>
      </c>
      <c r="Q32" s="11">
        <f>VLOOKUP($J32,output!$A$9:$AI$2200,Q$1-$L$1+2)</f>
        <v>0</v>
      </c>
      <c r="R32" s="11">
        <f>VLOOKUP($J32,output!$A$9:$AI$2200,R$1-$L$1+2)</f>
        <v>0</v>
      </c>
      <c r="S32" s="11">
        <f>VLOOKUP($J32,output!$A$9:$AI$2200,S$1-$L$1+2)</f>
        <v>0</v>
      </c>
      <c r="T32" s="11">
        <f>VLOOKUP($J32,output!$A$9:$AI$2200,T$1-$L$1+2)</f>
        <v>0</v>
      </c>
      <c r="U32" s="11">
        <f>VLOOKUP($J32,output!$A$9:$AI$2200,U$1-$L$1+2)</f>
        <v>0</v>
      </c>
      <c r="V32" s="11">
        <f>VLOOKUP($J32,output!$A$9:$AI$2200,V$1-$L$1+2)</f>
        <v>0</v>
      </c>
      <c r="W32" s="11">
        <f>VLOOKUP($J32,output!$A$9:$AI$2200,W$1-$L$1+2)</f>
        <v>0</v>
      </c>
      <c r="X32" s="11">
        <f>VLOOKUP($J32,output!$A$9:$AI$2200,X$1-$L$1+2)</f>
        <v>0</v>
      </c>
      <c r="Y32" s="11">
        <f>VLOOKUP($J32,output!$A$9:$AI$2200,Y$1-$L$1+2)</f>
        <v>0</v>
      </c>
      <c r="Z32" s="11">
        <f>VLOOKUP($J32,output!$A$9:$AI$2200,Z$1-$L$1+2)</f>
        <v>0</v>
      </c>
      <c r="AA32" s="11">
        <f>VLOOKUP($J32,output!$A$9:$AI$2200,AA$1-$L$1+2)</f>
        <v>0</v>
      </c>
      <c r="AB32" s="11">
        <f>VLOOKUP($J32,output!$A$9:$AI$2200,AB$1-$L$1+2)</f>
        <v>0</v>
      </c>
      <c r="AC32" s="11">
        <f>VLOOKUP($J32,output!$A$9:$AI$2200,AC$1-$L$1+2)</f>
        <v>0</v>
      </c>
      <c r="AD32" s="11">
        <f>VLOOKUP($J32,output!$A$9:$AI$2200,AD$1-$L$1+2)</f>
        <v>0</v>
      </c>
      <c r="AE32" s="11">
        <f>VLOOKUP($J32,output!$A$9:$AI$2200,AE$1-$L$1+2)</f>
        <v>0</v>
      </c>
      <c r="AF32" s="11">
        <f>VLOOKUP($J32,output!$A$9:$AI$2200,AF$1-$L$1+2)</f>
        <v>0</v>
      </c>
      <c r="AG32" s="11">
        <f>VLOOKUP($J32,output!$A$9:$AI$2200,AG$1-$L$1+2)</f>
        <v>0</v>
      </c>
      <c r="AH32" s="11">
        <f>VLOOKUP($J32,output!$A$9:$AI$2200,AH$1-$L$1+2)</f>
        <v>0</v>
      </c>
      <c r="AI32" s="11">
        <f>VLOOKUP($J32,output!$A$9:$AI$2200,AI$1-$L$1+2)</f>
        <v>0</v>
      </c>
      <c r="AJ32" s="11">
        <f>VLOOKUP($J32,output!$A$9:$AI$2200,AJ$1-$L$1+2)</f>
        <v>0</v>
      </c>
      <c r="AK32" s="11">
        <f>VLOOKUP($J32,output!$A$9:$AI$2200,AK$1-$L$1+2)</f>
        <v>0</v>
      </c>
      <c r="AL32" s="11">
        <f>VLOOKUP($J32,output!$A$9:$AI$2200,AL$1-$L$1+2)</f>
        <v>0</v>
      </c>
      <c r="AM32" s="11">
        <f>VLOOKUP($J32,output!$A$9:$AI$2200,AM$1-$L$1+2)</f>
        <v>0</v>
      </c>
    </row>
    <row r="33" spans="10:41" x14ac:dyDescent="0.25">
      <c r="J33" t="s">
        <v>206</v>
      </c>
      <c r="L33" s="1">
        <f t="shared" ref="L33:AM33" si="7">L30/4</f>
        <v>0</v>
      </c>
      <c r="M33" s="1">
        <f t="shared" si="7"/>
        <v>0</v>
      </c>
      <c r="N33" s="1">
        <f t="shared" si="7"/>
        <v>0</v>
      </c>
      <c r="O33" s="1">
        <f t="shared" si="7"/>
        <v>0</v>
      </c>
      <c r="P33" s="1">
        <f t="shared" si="7"/>
        <v>0</v>
      </c>
      <c r="Q33" s="1">
        <f t="shared" si="7"/>
        <v>0</v>
      </c>
      <c r="R33" s="1">
        <f t="shared" si="7"/>
        <v>0</v>
      </c>
      <c r="S33" s="11">
        <f t="shared" si="7"/>
        <v>0</v>
      </c>
      <c r="T33" s="11">
        <f t="shared" si="7"/>
        <v>0</v>
      </c>
      <c r="U33" s="11">
        <f t="shared" si="7"/>
        <v>0</v>
      </c>
      <c r="V33" s="11">
        <f t="shared" si="7"/>
        <v>0</v>
      </c>
      <c r="W33" s="11">
        <f t="shared" si="7"/>
        <v>0</v>
      </c>
      <c r="X33" s="11">
        <f t="shared" si="7"/>
        <v>0</v>
      </c>
      <c r="Y33" s="11">
        <f t="shared" si="7"/>
        <v>0</v>
      </c>
      <c r="Z33" s="11">
        <f t="shared" si="7"/>
        <v>0</v>
      </c>
      <c r="AA33" s="11">
        <f t="shared" si="7"/>
        <v>0</v>
      </c>
      <c r="AB33" s="11">
        <f t="shared" si="7"/>
        <v>0</v>
      </c>
      <c r="AC33" s="11">
        <f t="shared" si="7"/>
        <v>0</v>
      </c>
      <c r="AD33" s="11">
        <f t="shared" si="7"/>
        <v>0</v>
      </c>
      <c r="AE33" s="11">
        <f t="shared" si="7"/>
        <v>0</v>
      </c>
      <c r="AF33" s="11">
        <f t="shared" si="7"/>
        <v>0</v>
      </c>
      <c r="AG33" s="11">
        <f t="shared" si="7"/>
        <v>0</v>
      </c>
      <c r="AH33" s="11">
        <f t="shared" si="7"/>
        <v>0</v>
      </c>
      <c r="AI33" s="11">
        <f t="shared" si="7"/>
        <v>0</v>
      </c>
      <c r="AJ33" s="11">
        <f t="shared" si="7"/>
        <v>0</v>
      </c>
      <c r="AK33" s="11">
        <f t="shared" si="7"/>
        <v>0</v>
      </c>
      <c r="AL33" s="11">
        <f t="shared" si="7"/>
        <v>0</v>
      </c>
      <c r="AM33" s="11">
        <f t="shared" si="7"/>
        <v>0</v>
      </c>
    </row>
    <row r="34" spans="10:41" x14ac:dyDescent="0.25">
      <c r="J34" t="s">
        <v>208</v>
      </c>
      <c r="K34" t="s">
        <v>282</v>
      </c>
      <c r="S34" s="11">
        <f t="shared" ref="S34:AM34" si="8">S62*S70*0.6/1000</f>
        <v>0</v>
      </c>
      <c r="T34" s="11">
        <f t="shared" si="8"/>
        <v>0</v>
      </c>
      <c r="U34" s="11">
        <f t="shared" si="8"/>
        <v>0</v>
      </c>
      <c r="V34" s="11">
        <f t="shared" si="8"/>
        <v>0</v>
      </c>
      <c r="W34" s="11">
        <f t="shared" si="8"/>
        <v>0</v>
      </c>
      <c r="X34" s="11">
        <f t="shared" si="8"/>
        <v>0</v>
      </c>
      <c r="Y34" s="11">
        <f t="shared" si="8"/>
        <v>0</v>
      </c>
      <c r="Z34" s="11">
        <f t="shared" si="8"/>
        <v>0</v>
      </c>
      <c r="AA34" s="11">
        <f t="shared" si="8"/>
        <v>0</v>
      </c>
      <c r="AB34" s="11">
        <f t="shared" si="8"/>
        <v>0</v>
      </c>
      <c r="AC34" s="11">
        <f t="shared" si="8"/>
        <v>0</v>
      </c>
      <c r="AD34" s="11">
        <f t="shared" si="8"/>
        <v>0</v>
      </c>
      <c r="AE34" s="11">
        <f t="shared" si="8"/>
        <v>0</v>
      </c>
      <c r="AF34" s="11">
        <f t="shared" si="8"/>
        <v>0</v>
      </c>
      <c r="AG34" s="11">
        <f t="shared" si="8"/>
        <v>0</v>
      </c>
      <c r="AH34" s="11">
        <f t="shared" si="8"/>
        <v>0</v>
      </c>
      <c r="AI34" s="11">
        <f t="shared" si="8"/>
        <v>0</v>
      </c>
      <c r="AJ34" s="11">
        <f t="shared" si="8"/>
        <v>0</v>
      </c>
      <c r="AK34" s="11">
        <f t="shared" si="8"/>
        <v>0</v>
      </c>
      <c r="AL34" s="11">
        <f t="shared" si="8"/>
        <v>0</v>
      </c>
      <c r="AM34" s="11">
        <f t="shared" si="8"/>
        <v>0</v>
      </c>
      <c r="AN34" s="1"/>
      <c r="AO34" s="1"/>
    </row>
    <row r="35" spans="10:41" x14ac:dyDescent="0.25">
      <c r="J35" t="s">
        <v>209</v>
      </c>
      <c r="K35" t="s">
        <v>282</v>
      </c>
      <c r="S35" s="11">
        <f t="shared" ref="S35:AM35" si="9">S66*S70*0.6/1000</f>
        <v>0</v>
      </c>
      <c r="T35" s="11">
        <f t="shared" si="9"/>
        <v>0</v>
      </c>
      <c r="U35" s="11">
        <f t="shared" si="9"/>
        <v>0</v>
      </c>
      <c r="V35" s="11">
        <f t="shared" si="9"/>
        <v>0</v>
      </c>
      <c r="W35" s="11">
        <f t="shared" si="9"/>
        <v>0</v>
      </c>
      <c r="X35" s="11">
        <f t="shared" si="9"/>
        <v>0</v>
      </c>
      <c r="Y35" s="11">
        <f t="shared" si="9"/>
        <v>0</v>
      </c>
      <c r="Z35" s="11">
        <f t="shared" si="9"/>
        <v>0</v>
      </c>
      <c r="AA35" s="11">
        <f t="shared" si="9"/>
        <v>0</v>
      </c>
      <c r="AB35" s="11">
        <f t="shared" si="9"/>
        <v>0</v>
      </c>
      <c r="AC35" s="11">
        <f t="shared" si="9"/>
        <v>0</v>
      </c>
      <c r="AD35" s="11">
        <f t="shared" si="9"/>
        <v>0</v>
      </c>
      <c r="AE35" s="11">
        <f t="shared" si="9"/>
        <v>0</v>
      </c>
      <c r="AF35" s="11">
        <f t="shared" si="9"/>
        <v>0</v>
      </c>
      <c r="AG35" s="11">
        <f t="shared" si="9"/>
        <v>0</v>
      </c>
      <c r="AH35" s="11">
        <f t="shared" si="9"/>
        <v>0</v>
      </c>
      <c r="AI35" s="11">
        <f t="shared" si="9"/>
        <v>0</v>
      </c>
      <c r="AJ35" s="11">
        <f t="shared" si="9"/>
        <v>0</v>
      </c>
      <c r="AK35" s="11">
        <f t="shared" si="9"/>
        <v>0</v>
      </c>
      <c r="AL35" s="11">
        <f t="shared" si="9"/>
        <v>0</v>
      </c>
      <c r="AM35" s="11">
        <f t="shared" si="9"/>
        <v>0</v>
      </c>
      <c r="AN35" s="1"/>
      <c r="AO35" s="1"/>
    </row>
    <row r="37" spans="10:41" x14ac:dyDescent="0.25">
      <c r="J37" t="s">
        <v>97</v>
      </c>
      <c r="L37" s="11">
        <f>VLOOKUP($J37,output!$A$9:$AI$2200,L$1-$L$1+2)</f>
        <v>0</v>
      </c>
      <c r="M37" s="11">
        <f>VLOOKUP($J37,output!$A$9:$AI$2200,M$1-$L$1+2)</f>
        <v>0.91200000000000003</v>
      </c>
      <c r="N37" s="11">
        <f>VLOOKUP($J37,output!$A$9:$AI$2200,N$1-$L$1+2)</f>
        <v>0</v>
      </c>
      <c r="O37" s="11">
        <f>VLOOKUP($J37,output!$A$9:$AI$2200,O$1-$L$1+2)</f>
        <v>0</v>
      </c>
      <c r="P37" s="11">
        <f>VLOOKUP($J37,output!$A$9:$AI$2200,P$1-$L$1+2)</f>
        <v>0</v>
      </c>
      <c r="Q37" s="11">
        <f>VLOOKUP($J37,output!$A$9:$AI$2200,Q$1-$L$1+2)</f>
        <v>0</v>
      </c>
      <c r="R37" s="11">
        <f>VLOOKUP($J37,output!$A$9:$AI$2200,R$1-$L$1+2)</f>
        <v>0</v>
      </c>
      <c r="S37" s="11">
        <f>VLOOKUP($J37,output!$A$9:$AI$2200,S$1-$L$1+2)</f>
        <v>0</v>
      </c>
      <c r="T37" s="11">
        <f>VLOOKUP($J37,output!$A$9:$AI$2200,T$1-$L$1+2)</f>
        <v>0</v>
      </c>
      <c r="U37" s="11">
        <f>VLOOKUP($J37,output!$A$9:$AI$2200,U$1-$L$1+2)</f>
        <v>0</v>
      </c>
      <c r="V37" s="11">
        <f>VLOOKUP($J37,output!$A$9:$AI$2200,V$1-$L$1+2)</f>
        <v>0</v>
      </c>
      <c r="W37" s="11">
        <f>VLOOKUP($J37,output!$A$9:$AI$2200,W$1-$L$1+2)</f>
        <v>0</v>
      </c>
      <c r="X37" s="11">
        <f>VLOOKUP($J37,output!$A$9:$AI$2200,X$1-$L$1+2)</f>
        <v>0</v>
      </c>
      <c r="Y37" s="11">
        <f>VLOOKUP($J37,output!$A$9:$AI$2200,Y$1-$L$1+2)</f>
        <v>0</v>
      </c>
      <c r="Z37" s="11">
        <f>VLOOKUP($J37,output!$A$9:$AI$2200,Z$1-$L$1+2)</f>
        <v>0</v>
      </c>
      <c r="AA37" s="11">
        <f>VLOOKUP($J37,output!$A$9:$AI$2200,AA$1-$L$1+2)</f>
        <v>0</v>
      </c>
      <c r="AB37" s="11">
        <f>VLOOKUP($J37,output!$A$9:$AI$2200,AB$1-$L$1+2)</f>
        <v>0</v>
      </c>
      <c r="AC37" s="11">
        <f>VLOOKUP($J37,output!$A$9:$AI$2200,AC$1-$L$1+2)</f>
        <v>0</v>
      </c>
      <c r="AD37" s="11">
        <f>VLOOKUP($J37,output!$A$9:$AI$2200,AD$1-$L$1+2)</f>
        <v>0</v>
      </c>
      <c r="AE37" s="11">
        <f>VLOOKUP($J37,output!$A$9:$AI$2200,AE$1-$L$1+2)</f>
        <v>0</v>
      </c>
      <c r="AF37" s="11">
        <f>VLOOKUP($J37,output!$A$9:$AI$2200,AF$1-$L$1+2)</f>
        <v>0</v>
      </c>
      <c r="AG37" s="11">
        <f>VLOOKUP($J37,output!$A$9:$AI$2200,AG$1-$L$1+2)</f>
        <v>0</v>
      </c>
      <c r="AH37" s="11">
        <f>VLOOKUP($J37,output!$A$9:$AI$2200,AH$1-$L$1+2)</f>
        <v>0</v>
      </c>
      <c r="AI37" s="11">
        <f>VLOOKUP($J37,output!$A$9:$AI$2200,AI$1-$L$1+2)</f>
        <v>0</v>
      </c>
      <c r="AJ37" s="11">
        <f>VLOOKUP($J37,output!$A$9:$AI$2200,AJ$1-$L$1+2)</f>
        <v>0</v>
      </c>
      <c r="AK37" s="11">
        <f>VLOOKUP($J37,output!$A$9:$AI$2200,AK$1-$L$1+2)</f>
        <v>0</v>
      </c>
      <c r="AL37" s="11">
        <f>VLOOKUP($J37,output!$A$9:$AI$2200,AL$1-$L$1+2)</f>
        <v>0</v>
      </c>
      <c r="AM37" s="11">
        <f>VLOOKUP($J37,output!$A$9:$AI$2200,AM$1-$L$1+2)</f>
        <v>0</v>
      </c>
    </row>
    <row r="38" spans="10:41" x14ac:dyDescent="0.25">
      <c r="J38" t="s">
        <v>257</v>
      </c>
      <c r="L38" s="11">
        <f>VLOOKUP($J38,output!$A$9:$AI$2200,L$1-$L$1+2)</f>
        <v>0</v>
      </c>
      <c r="M38" s="11">
        <f>VLOOKUP($J38,output!$A$9:$AI$2200,M$1-$L$1+2)</f>
        <v>1256.951</v>
      </c>
      <c r="N38" s="11">
        <f>VLOOKUP($J38,output!$A$9:$AI$2200,N$1-$L$1+2)</f>
        <v>0</v>
      </c>
      <c r="O38" s="11">
        <f>VLOOKUP($J38,output!$A$9:$AI$2200,O$1-$L$1+2)</f>
        <v>0</v>
      </c>
      <c r="P38" s="11">
        <f>VLOOKUP($J38,output!$A$9:$AI$2200,P$1-$L$1+2)</f>
        <v>0</v>
      </c>
      <c r="Q38" s="11">
        <f>VLOOKUP($J38,output!$A$9:$AI$2200,Q$1-$L$1+2)</f>
        <v>0</v>
      </c>
      <c r="R38" s="11">
        <f>VLOOKUP($J38,output!$A$9:$AI$2200,R$1-$L$1+2)</f>
        <v>0</v>
      </c>
      <c r="S38" s="11">
        <f>VLOOKUP($J38,output!$A$9:$AI$2200,S$1-$L$1+2)</f>
        <v>0</v>
      </c>
      <c r="T38" s="11">
        <f>VLOOKUP($J38,output!$A$9:$AI$2200,T$1-$L$1+2)</f>
        <v>0</v>
      </c>
      <c r="U38" s="11">
        <f>VLOOKUP($J38,output!$A$9:$AI$2200,U$1-$L$1+2)</f>
        <v>0</v>
      </c>
      <c r="V38" s="11">
        <f>VLOOKUP($J38,output!$A$9:$AI$2200,V$1-$L$1+2)</f>
        <v>0</v>
      </c>
      <c r="W38" s="11">
        <f>VLOOKUP($J38,output!$A$9:$AI$2200,W$1-$L$1+2)</f>
        <v>0</v>
      </c>
      <c r="X38" s="11">
        <f>VLOOKUP($J38,output!$A$9:$AI$2200,X$1-$L$1+2)</f>
        <v>0</v>
      </c>
      <c r="Y38" s="11">
        <f>VLOOKUP($J38,output!$A$9:$AI$2200,Y$1-$L$1+2)</f>
        <v>0</v>
      </c>
      <c r="Z38" s="11">
        <f>VLOOKUP($J38,output!$A$9:$AI$2200,Z$1-$L$1+2)</f>
        <v>0</v>
      </c>
      <c r="AA38" s="11">
        <f>VLOOKUP($J38,output!$A$9:$AI$2200,AA$1-$L$1+2)</f>
        <v>0</v>
      </c>
      <c r="AB38" s="11">
        <f>VLOOKUP($J38,output!$A$9:$AI$2200,AB$1-$L$1+2)</f>
        <v>0</v>
      </c>
      <c r="AC38" s="11">
        <f>VLOOKUP($J38,output!$A$9:$AI$2200,AC$1-$L$1+2)</f>
        <v>0</v>
      </c>
      <c r="AD38" s="11">
        <f>VLOOKUP($J38,output!$A$9:$AI$2200,AD$1-$L$1+2)</f>
        <v>0</v>
      </c>
      <c r="AE38" s="11">
        <f>VLOOKUP($J38,output!$A$9:$AI$2200,AE$1-$L$1+2)</f>
        <v>0</v>
      </c>
      <c r="AF38" s="11">
        <f>VLOOKUP($J38,output!$A$9:$AI$2200,AF$1-$L$1+2)</f>
        <v>0</v>
      </c>
      <c r="AG38" s="11">
        <f>VLOOKUP($J38,output!$A$9:$AI$2200,AG$1-$L$1+2)</f>
        <v>0</v>
      </c>
      <c r="AH38" s="11">
        <f>VLOOKUP($J38,output!$A$9:$AI$2200,AH$1-$L$1+2)</f>
        <v>0</v>
      </c>
      <c r="AI38" s="11">
        <f>VLOOKUP($J38,output!$A$9:$AI$2200,AI$1-$L$1+2)</f>
        <v>0</v>
      </c>
      <c r="AJ38" s="11">
        <f>VLOOKUP($J38,output!$A$9:$AI$2200,AJ$1-$L$1+2)</f>
        <v>0</v>
      </c>
      <c r="AK38" s="11">
        <f>VLOOKUP($J38,output!$A$9:$AI$2200,AK$1-$L$1+2)</f>
        <v>0</v>
      </c>
      <c r="AL38" s="11">
        <f>VLOOKUP($J38,output!$A$9:$AI$2200,AL$1-$L$1+2)</f>
        <v>0</v>
      </c>
      <c r="AM38" s="11">
        <f>VLOOKUP($J38,output!$A$9:$AI$2200,AM$1-$L$1+2)</f>
        <v>0</v>
      </c>
    </row>
    <row r="39" spans="10:41" x14ac:dyDescent="0.25">
      <c r="J39" t="s">
        <v>279</v>
      </c>
      <c r="L39" s="11">
        <f t="shared" ref="L39:AM39" si="10">L37+L38</f>
        <v>0</v>
      </c>
      <c r="M39" s="11">
        <f t="shared" si="10"/>
        <v>1257.8630000000001</v>
      </c>
      <c r="N39" s="11">
        <f t="shared" si="10"/>
        <v>0</v>
      </c>
      <c r="O39" s="11">
        <f t="shared" si="10"/>
        <v>0</v>
      </c>
      <c r="P39" s="11">
        <f t="shared" si="10"/>
        <v>0</v>
      </c>
      <c r="Q39" s="11">
        <f t="shared" si="10"/>
        <v>0</v>
      </c>
      <c r="R39" s="11">
        <f t="shared" si="10"/>
        <v>0</v>
      </c>
      <c r="S39" s="11">
        <f t="shared" si="10"/>
        <v>0</v>
      </c>
      <c r="T39" s="11">
        <f t="shared" si="10"/>
        <v>0</v>
      </c>
      <c r="U39" s="11">
        <f t="shared" si="10"/>
        <v>0</v>
      </c>
      <c r="V39" s="11">
        <f t="shared" si="10"/>
        <v>0</v>
      </c>
      <c r="W39" s="11">
        <f t="shared" si="10"/>
        <v>0</v>
      </c>
      <c r="X39" s="11">
        <f t="shared" si="10"/>
        <v>0</v>
      </c>
      <c r="Y39" s="11">
        <f t="shared" si="10"/>
        <v>0</v>
      </c>
      <c r="Z39" s="11">
        <f t="shared" si="10"/>
        <v>0</v>
      </c>
      <c r="AA39" s="11">
        <f t="shared" si="10"/>
        <v>0</v>
      </c>
      <c r="AB39" s="11">
        <f t="shared" si="10"/>
        <v>0</v>
      </c>
      <c r="AC39" s="11">
        <f t="shared" si="10"/>
        <v>0</v>
      </c>
      <c r="AD39" s="11">
        <f t="shared" si="10"/>
        <v>0</v>
      </c>
      <c r="AE39" s="11">
        <f t="shared" si="10"/>
        <v>0</v>
      </c>
      <c r="AF39" s="11">
        <f t="shared" si="10"/>
        <v>0</v>
      </c>
      <c r="AG39" s="11">
        <f t="shared" si="10"/>
        <v>0</v>
      </c>
      <c r="AH39" s="11">
        <f t="shared" si="10"/>
        <v>0</v>
      </c>
      <c r="AI39" s="11">
        <f t="shared" si="10"/>
        <v>0</v>
      </c>
      <c r="AJ39" s="11">
        <f t="shared" si="10"/>
        <v>0</v>
      </c>
      <c r="AK39" s="11">
        <f t="shared" si="10"/>
        <v>0</v>
      </c>
      <c r="AL39" s="11">
        <f t="shared" si="10"/>
        <v>0</v>
      </c>
      <c r="AM39" s="11">
        <f t="shared" si="10"/>
        <v>0</v>
      </c>
    </row>
    <row r="41" spans="10:41" x14ac:dyDescent="0.25"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3" spans="10:41" ht="15.75" thickBot="1" x14ac:dyDescent="0.3"/>
    <row r="44" spans="10:41" x14ac:dyDescent="0.25">
      <c r="J44" s="52" t="s">
        <v>170</v>
      </c>
      <c r="K44" s="47" t="s">
        <v>280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</row>
    <row r="45" spans="10:41" x14ac:dyDescent="0.25">
      <c r="J45" s="54" t="s">
        <v>104</v>
      </c>
      <c r="K45" s="44"/>
      <c r="L45" s="55">
        <f>L23+L33</f>
        <v>0</v>
      </c>
      <c r="M45" s="55">
        <f t="shared" ref="M45:AM45" si="11">M23+M33</f>
        <v>3.097</v>
      </c>
      <c r="N45" s="55">
        <f t="shared" si="11"/>
        <v>0</v>
      </c>
      <c r="O45" s="55">
        <f t="shared" si="11"/>
        <v>0</v>
      </c>
      <c r="P45" s="55">
        <f t="shared" si="11"/>
        <v>0</v>
      </c>
      <c r="Q45" s="55">
        <f t="shared" si="11"/>
        <v>0</v>
      </c>
      <c r="R45" s="55">
        <f t="shared" si="11"/>
        <v>0</v>
      </c>
      <c r="S45" s="55">
        <f t="shared" si="11"/>
        <v>0</v>
      </c>
      <c r="T45" s="55">
        <f t="shared" si="11"/>
        <v>0</v>
      </c>
      <c r="U45" s="55">
        <f t="shared" si="11"/>
        <v>0</v>
      </c>
      <c r="V45" s="55">
        <f t="shared" si="11"/>
        <v>0</v>
      </c>
      <c r="W45" s="55">
        <f t="shared" si="11"/>
        <v>0</v>
      </c>
      <c r="X45" s="55">
        <f t="shared" si="11"/>
        <v>0</v>
      </c>
      <c r="Y45" s="55">
        <f t="shared" si="11"/>
        <v>0</v>
      </c>
      <c r="Z45" s="55">
        <f t="shared" si="11"/>
        <v>0</v>
      </c>
      <c r="AA45" s="55">
        <f t="shared" si="11"/>
        <v>0</v>
      </c>
      <c r="AB45" s="55">
        <f t="shared" si="11"/>
        <v>0</v>
      </c>
      <c r="AC45" s="55">
        <f t="shared" si="11"/>
        <v>0</v>
      </c>
      <c r="AD45" s="55">
        <f t="shared" si="11"/>
        <v>0</v>
      </c>
      <c r="AE45" s="55">
        <f t="shared" si="11"/>
        <v>0</v>
      </c>
      <c r="AF45" s="55">
        <f t="shared" si="11"/>
        <v>0</v>
      </c>
      <c r="AG45" s="55">
        <f t="shared" si="11"/>
        <v>0</v>
      </c>
      <c r="AH45" s="55">
        <f t="shared" si="11"/>
        <v>0</v>
      </c>
      <c r="AI45" s="55">
        <f t="shared" si="11"/>
        <v>0</v>
      </c>
      <c r="AJ45" s="55">
        <f t="shared" si="11"/>
        <v>0</v>
      </c>
      <c r="AK45" s="55">
        <f t="shared" si="11"/>
        <v>0</v>
      </c>
      <c r="AL45" s="55">
        <f t="shared" si="11"/>
        <v>0</v>
      </c>
      <c r="AM45" s="55">
        <f t="shared" si="11"/>
        <v>0</v>
      </c>
    </row>
    <row r="46" spans="10:41" x14ac:dyDescent="0.25">
      <c r="J46" s="51" t="s">
        <v>140</v>
      </c>
      <c r="K46" s="46"/>
      <c r="L46" s="45">
        <f>L24+L25</f>
        <v>0</v>
      </c>
      <c r="M46" s="45">
        <f t="shared" ref="M46:AM46" si="12">M24+M25</f>
        <v>1258.558</v>
      </c>
      <c r="N46" s="45">
        <f t="shared" si="12"/>
        <v>0</v>
      </c>
      <c r="O46" s="45">
        <f t="shared" si="12"/>
        <v>0</v>
      </c>
      <c r="P46" s="45">
        <f t="shared" si="12"/>
        <v>0</v>
      </c>
      <c r="Q46" s="45">
        <f t="shared" si="12"/>
        <v>0</v>
      </c>
      <c r="R46" s="45">
        <f t="shared" si="12"/>
        <v>0</v>
      </c>
      <c r="S46" s="45">
        <f t="shared" si="12"/>
        <v>0</v>
      </c>
      <c r="T46" s="45">
        <f t="shared" si="12"/>
        <v>0</v>
      </c>
      <c r="U46" s="45">
        <f t="shared" si="12"/>
        <v>0</v>
      </c>
      <c r="V46" s="45">
        <f t="shared" si="12"/>
        <v>0</v>
      </c>
      <c r="W46" s="45">
        <f t="shared" si="12"/>
        <v>0</v>
      </c>
      <c r="X46" s="45">
        <f t="shared" si="12"/>
        <v>0</v>
      </c>
      <c r="Y46" s="45">
        <f t="shared" si="12"/>
        <v>0</v>
      </c>
      <c r="Z46" s="45">
        <f t="shared" si="12"/>
        <v>0</v>
      </c>
      <c r="AA46" s="45">
        <f t="shared" si="12"/>
        <v>0</v>
      </c>
      <c r="AB46" s="45">
        <f t="shared" si="12"/>
        <v>0</v>
      </c>
      <c r="AC46" s="45">
        <f t="shared" si="12"/>
        <v>0</v>
      </c>
      <c r="AD46" s="45">
        <f t="shared" si="12"/>
        <v>0</v>
      </c>
      <c r="AE46" s="45">
        <f t="shared" si="12"/>
        <v>0</v>
      </c>
      <c r="AF46" s="45">
        <f t="shared" si="12"/>
        <v>0</v>
      </c>
      <c r="AG46" s="45">
        <f t="shared" si="12"/>
        <v>0</v>
      </c>
      <c r="AH46" s="45">
        <f t="shared" si="12"/>
        <v>0</v>
      </c>
      <c r="AI46" s="45">
        <f t="shared" si="12"/>
        <v>0</v>
      </c>
      <c r="AJ46" s="45">
        <f t="shared" si="12"/>
        <v>0</v>
      </c>
      <c r="AK46" s="45">
        <f t="shared" si="12"/>
        <v>0</v>
      </c>
      <c r="AL46" s="45">
        <f t="shared" si="12"/>
        <v>0</v>
      </c>
      <c r="AM46" s="45">
        <f t="shared" si="12"/>
        <v>0</v>
      </c>
    </row>
    <row r="47" spans="10:41" x14ac:dyDescent="0.25">
      <c r="J47" s="51" t="s">
        <v>105</v>
      </c>
      <c r="K47" s="46"/>
      <c r="L47" s="45">
        <f>L29</f>
        <v>0</v>
      </c>
      <c r="M47" s="45">
        <f t="shared" ref="M47:AM47" si="13">M29</f>
        <v>273.459</v>
      </c>
      <c r="N47" s="45">
        <f t="shared" si="13"/>
        <v>0</v>
      </c>
      <c r="O47" s="45">
        <f t="shared" si="13"/>
        <v>0</v>
      </c>
      <c r="P47" s="45">
        <f t="shared" si="13"/>
        <v>0</v>
      </c>
      <c r="Q47" s="45">
        <f t="shared" si="13"/>
        <v>0</v>
      </c>
      <c r="R47" s="45">
        <f t="shared" si="13"/>
        <v>0</v>
      </c>
      <c r="S47" s="45">
        <f t="shared" si="13"/>
        <v>0</v>
      </c>
      <c r="T47" s="45">
        <f t="shared" si="13"/>
        <v>0</v>
      </c>
      <c r="U47" s="45">
        <f t="shared" si="13"/>
        <v>0</v>
      </c>
      <c r="V47" s="45">
        <f t="shared" si="13"/>
        <v>0</v>
      </c>
      <c r="W47" s="45">
        <f t="shared" si="13"/>
        <v>0</v>
      </c>
      <c r="X47" s="45">
        <f t="shared" si="13"/>
        <v>0</v>
      </c>
      <c r="Y47" s="45">
        <f t="shared" si="13"/>
        <v>0</v>
      </c>
      <c r="Z47" s="45">
        <f t="shared" si="13"/>
        <v>0</v>
      </c>
      <c r="AA47" s="45">
        <f t="shared" si="13"/>
        <v>0</v>
      </c>
      <c r="AB47" s="45">
        <f t="shared" si="13"/>
        <v>0</v>
      </c>
      <c r="AC47" s="45">
        <f t="shared" si="13"/>
        <v>0</v>
      </c>
      <c r="AD47" s="45">
        <f t="shared" si="13"/>
        <v>0</v>
      </c>
      <c r="AE47" s="45">
        <f t="shared" si="13"/>
        <v>0</v>
      </c>
      <c r="AF47" s="45">
        <f t="shared" si="13"/>
        <v>0</v>
      </c>
      <c r="AG47" s="45">
        <f t="shared" si="13"/>
        <v>0</v>
      </c>
      <c r="AH47" s="45">
        <f t="shared" si="13"/>
        <v>0</v>
      </c>
      <c r="AI47" s="45">
        <f t="shared" si="13"/>
        <v>0</v>
      </c>
      <c r="AJ47" s="45">
        <f t="shared" si="13"/>
        <v>0</v>
      </c>
      <c r="AK47" s="45">
        <f t="shared" si="13"/>
        <v>0</v>
      </c>
      <c r="AL47" s="45">
        <f t="shared" si="13"/>
        <v>0</v>
      </c>
      <c r="AM47" s="45">
        <f t="shared" si="13"/>
        <v>0</v>
      </c>
    </row>
    <row r="48" spans="10:41" x14ac:dyDescent="0.25">
      <c r="J48" s="51" t="s">
        <v>141</v>
      </c>
      <c r="K48" s="46" t="s">
        <v>455</v>
      </c>
      <c r="L48" s="45">
        <f>L30+L31-L33+L34</f>
        <v>0</v>
      </c>
      <c r="M48" s="45">
        <f t="shared" ref="M48:AM48" si="14">M30+M31-M33+M34</f>
        <v>7.0000000000000001E-3</v>
      </c>
      <c r="N48" s="45">
        <f t="shared" si="14"/>
        <v>0</v>
      </c>
      <c r="O48" s="45">
        <f t="shared" si="14"/>
        <v>0</v>
      </c>
      <c r="P48" s="45">
        <f t="shared" si="14"/>
        <v>0</v>
      </c>
      <c r="Q48" s="45">
        <f t="shared" si="14"/>
        <v>0</v>
      </c>
      <c r="R48" s="45">
        <f t="shared" si="14"/>
        <v>0</v>
      </c>
      <c r="S48" s="45">
        <f t="shared" si="14"/>
        <v>0</v>
      </c>
      <c r="T48" s="45">
        <f t="shared" si="14"/>
        <v>0</v>
      </c>
      <c r="U48" s="45">
        <f t="shared" si="14"/>
        <v>0</v>
      </c>
      <c r="V48" s="45">
        <f t="shared" si="14"/>
        <v>0</v>
      </c>
      <c r="W48" s="45">
        <f t="shared" si="14"/>
        <v>0</v>
      </c>
      <c r="X48" s="45">
        <f t="shared" si="14"/>
        <v>0</v>
      </c>
      <c r="Y48" s="45">
        <f t="shared" si="14"/>
        <v>0</v>
      </c>
      <c r="Z48" s="45">
        <f t="shared" si="14"/>
        <v>0</v>
      </c>
      <c r="AA48" s="45">
        <f t="shared" si="14"/>
        <v>0</v>
      </c>
      <c r="AB48" s="45">
        <f t="shared" si="14"/>
        <v>0</v>
      </c>
      <c r="AC48" s="45">
        <f t="shared" si="14"/>
        <v>0</v>
      </c>
      <c r="AD48" s="45">
        <f t="shared" si="14"/>
        <v>0</v>
      </c>
      <c r="AE48" s="45">
        <f t="shared" si="14"/>
        <v>0</v>
      </c>
      <c r="AF48" s="45">
        <f t="shared" si="14"/>
        <v>0</v>
      </c>
      <c r="AG48" s="45">
        <f t="shared" si="14"/>
        <v>0</v>
      </c>
      <c r="AH48" s="45">
        <f t="shared" si="14"/>
        <v>0</v>
      </c>
      <c r="AI48" s="45">
        <f t="shared" si="14"/>
        <v>0</v>
      </c>
      <c r="AJ48" s="45">
        <f t="shared" si="14"/>
        <v>0</v>
      </c>
      <c r="AK48" s="45">
        <f t="shared" si="14"/>
        <v>0</v>
      </c>
      <c r="AL48" s="45">
        <f t="shared" si="14"/>
        <v>0</v>
      </c>
      <c r="AM48" s="45">
        <f t="shared" si="14"/>
        <v>0</v>
      </c>
    </row>
    <row r="49" spans="10:39" x14ac:dyDescent="0.25">
      <c r="J49" s="54" t="s">
        <v>454</v>
      </c>
      <c r="K49" s="48"/>
      <c r="L49" s="55">
        <f t="shared" ref="L49:AM49" si="15">SUM(L46:L48)</f>
        <v>0</v>
      </c>
      <c r="M49" s="55">
        <f t="shared" si="15"/>
        <v>1532.0240000000001</v>
      </c>
      <c r="N49" s="55">
        <f t="shared" si="15"/>
        <v>0</v>
      </c>
      <c r="O49" s="55">
        <f t="shared" si="15"/>
        <v>0</v>
      </c>
      <c r="P49" s="55">
        <f t="shared" si="15"/>
        <v>0</v>
      </c>
      <c r="Q49" s="55">
        <f t="shared" si="15"/>
        <v>0</v>
      </c>
      <c r="R49" s="55">
        <f t="shared" si="15"/>
        <v>0</v>
      </c>
      <c r="S49" s="55">
        <f t="shared" si="15"/>
        <v>0</v>
      </c>
      <c r="T49" s="55">
        <f t="shared" si="15"/>
        <v>0</v>
      </c>
      <c r="U49" s="55">
        <f t="shared" si="15"/>
        <v>0</v>
      </c>
      <c r="V49" s="55">
        <f t="shared" si="15"/>
        <v>0</v>
      </c>
      <c r="W49" s="55">
        <f t="shared" si="15"/>
        <v>0</v>
      </c>
      <c r="X49" s="55">
        <f t="shared" si="15"/>
        <v>0</v>
      </c>
      <c r="Y49" s="55">
        <f t="shared" si="15"/>
        <v>0</v>
      </c>
      <c r="Z49" s="55">
        <f t="shared" si="15"/>
        <v>0</v>
      </c>
      <c r="AA49" s="55">
        <f t="shared" si="15"/>
        <v>0</v>
      </c>
      <c r="AB49" s="55">
        <f t="shared" si="15"/>
        <v>0</v>
      </c>
      <c r="AC49" s="55">
        <f t="shared" si="15"/>
        <v>0</v>
      </c>
      <c r="AD49" s="55">
        <f t="shared" si="15"/>
        <v>0</v>
      </c>
      <c r="AE49" s="55">
        <f t="shared" si="15"/>
        <v>0</v>
      </c>
      <c r="AF49" s="55">
        <f t="shared" si="15"/>
        <v>0</v>
      </c>
      <c r="AG49" s="55">
        <f t="shared" si="15"/>
        <v>0</v>
      </c>
      <c r="AH49" s="55">
        <f t="shared" si="15"/>
        <v>0</v>
      </c>
      <c r="AI49" s="55">
        <f t="shared" si="15"/>
        <v>0</v>
      </c>
      <c r="AJ49" s="55">
        <f t="shared" si="15"/>
        <v>0</v>
      </c>
      <c r="AK49" s="55">
        <f t="shared" si="15"/>
        <v>0</v>
      </c>
      <c r="AL49" s="55">
        <f t="shared" si="15"/>
        <v>0</v>
      </c>
      <c r="AM49" s="55">
        <f t="shared" si="15"/>
        <v>0</v>
      </c>
    </row>
    <row r="50" spans="10:39" x14ac:dyDescent="0.25">
      <c r="J50" s="54" t="s">
        <v>420</v>
      </c>
      <c r="K50" s="44"/>
      <c r="L50" s="55">
        <f>VLOOKUP($J50,output!$A$9:$AI$2200,L$1-$L$1+2)</f>
        <v>0</v>
      </c>
      <c r="M50" s="55">
        <f>VLOOKUP($J50,output!$A$9:$AI$2200,M$1-$L$1+2)</f>
        <v>0.98</v>
      </c>
      <c r="N50" s="55">
        <f>VLOOKUP($J50,output!$A$9:$AI$2200,N$1-$L$1+2)</f>
        <v>0.77500000000000002</v>
      </c>
      <c r="O50" s="55">
        <f>VLOOKUP($J50,output!$A$9:$AI$2200,O$1-$L$1+2)</f>
        <v>1.139</v>
      </c>
      <c r="P50" s="55">
        <f>VLOOKUP($J50,output!$A$9:$AI$2200,P$1-$L$1+2)</f>
        <v>1.2050000000000001</v>
      </c>
      <c r="Q50" s="55">
        <f>VLOOKUP($J50,output!$A$9:$AI$2200,Q$1-$L$1+2)</f>
        <v>1.1539999999999999</v>
      </c>
      <c r="R50" s="55">
        <f>VLOOKUP($J50,output!$A$9:$AI$2200,R$1-$L$1+2)</f>
        <v>1.075</v>
      </c>
      <c r="S50" s="55">
        <f>VLOOKUP($J50,output!$A$9:$AI$2200,S$1-$L$1+2)</f>
        <v>1.23</v>
      </c>
      <c r="T50" s="55">
        <f>VLOOKUP($J50,output!$A$9:$AI$2200,T$1-$L$1+2)</f>
        <v>1.5229999999999999</v>
      </c>
      <c r="U50" s="55">
        <f>VLOOKUP($J50,output!$A$9:$AI$2200,U$1-$L$1+2)</f>
        <v>1.462</v>
      </c>
      <c r="V50" s="55">
        <f>VLOOKUP($J50,output!$A$9:$AI$2200,V$1-$L$1+2)</f>
        <v>1.3859999999999999</v>
      </c>
      <c r="W50" s="55">
        <f>VLOOKUP($J50,output!$A$9:$AI$2200,W$1-$L$1+2)</f>
        <v>1.359</v>
      </c>
      <c r="X50" s="55">
        <f>VLOOKUP($J50,output!$A$9:$AI$2200,X$1-$L$1+2)</f>
        <v>1.2669999999999999</v>
      </c>
      <c r="Y50" s="55">
        <f>VLOOKUP($J50,output!$A$9:$AI$2200,Y$1-$L$1+2)</f>
        <v>1.284</v>
      </c>
      <c r="Z50" s="55">
        <f>VLOOKUP($J50,output!$A$9:$AI$2200,Z$1-$L$1+2)</f>
        <v>1.7829999999999999</v>
      </c>
      <c r="AA50" s="55">
        <f>VLOOKUP($J50,output!$A$9:$AI$2200,AA$1-$L$1+2)</f>
        <v>1.679</v>
      </c>
      <c r="AB50" s="55">
        <f>VLOOKUP($J50,output!$A$9:$AI$2200,AB$1-$L$1+2)</f>
        <v>1.62</v>
      </c>
      <c r="AC50" s="55">
        <f>VLOOKUP($J50,output!$A$9:$AI$2200,AC$1-$L$1+2)</f>
        <v>2.2850000000000001</v>
      </c>
      <c r="AD50" s="55">
        <f>VLOOKUP($J50,output!$A$9:$AI$2200,AD$1-$L$1+2)</f>
        <v>1.7869999999999999</v>
      </c>
      <c r="AE50" s="55">
        <f>VLOOKUP($J50,output!$A$9:$AI$2200,AE$1-$L$1+2)</f>
        <v>1.7010000000000001</v>
      </c>
      <c r="AF50" s="55">
        <f>VLOOKUP($J50,output!$A$9:$AI$2200,AF$1-$L$1+2)</f>
        <v>1.5029999999999999</v>
      </c>
      <c r="AG50" s="55">
        <f>VLOOKUP($J50,output!$A$9:$AI$2200,AG$1-$L$1+2)</f>
        <v>1.4930000000000001</v>
      </c>
      <c r="AH50" s="55">
        <f>VLOOKUP($J50,output!$A$9:$AI$2200,AH$1-$L$1+2)</f>
        <v>1.4279999999999999</v>
      </c>
      <c r="AI50" s="55">
        <f>VLOOKUP($J50,output!$A$9:$AI$2200,AI$1-$L$1+2)</f>
        <v>1.365</v>
      </c>
      <c r="AJ50" s="55">
        <f>VLOOKUP($J50,output!$A$9:$AI$2200,AJ$1-$L$1+2)</f>
        <v>1.3069999999999999</v>
      </c>
      <c r="AK50" s="55">
        <f>VLOOKUP($J50,output!$A$9:$AI$2200,AK$1-$L$1+2)</f>
        <v>1.2529999999999999</v>
      </c>
      <c r="AL50" s="55">
        <f>VLOOKUP($J50,output!$A$9:$AI$2200,AL$1-$L$1+2)</f>
        <v>1.202</v>
      </c>
      <c r="AM50" s="55">
        <f>VLOOKUP($J50,output!$A$9:$AI$2200,AM$1-$L$1+2)</f>
        <v>1.159</v>
      </c>
    </row>
    <row r="51" spans="10:39" ht="15.75" thickBot="1" x14ac:dyDescent="0.3">
      <c r="J51" s="53" t="s">
        <v>106</v>
      </c>
      <c r="K51" s="49"/>
      <c r="L51" s="50">
        <f t="shared" ref="L51:AM51" si="16">L32</f>
        <v>0</v>
      </c>
      <c r="M51" s="50">
        <f t="shared" si="16"/>
        <v>0</v>
      </c>
      <c r="N51" s="50">
        <f t="shared" si="16"/>
        <v>0</v>
      </c>
      <c r="O51" s="50">
        <f t="shared" si="16"/>
        <v>0</v>
      </c>
      <c r="P51" s="50">
        <f t="shared" si="16"/>
        <v>0</v>
      </c>
      <c r="Q51" s="50">
        <f t="shared" si="16"/>
        <v>0</v>
      </c>
      <c r="R51" s="50">
        <f t="shared" si="16"/>
        <v>0</v>
      </c>
      <c r="S51" s="50">
        <f t="shared" si="16"/>
        <v>0</v>
      </c>
      <c r="T51" s="50">
        <f t="shared" si="16"/>
        <v>0</v>
      </c>
      <c r="U51" s="50">
        <f t="shared" si="16"/>
        <v>0</v>
      </c>
      <c r="V51" s="50">
        <f t="shared" si="16"/>
        <v>0</v>
      </c>
      <c r="W51" s="50">
        <f t="shared" si="16"/>
        <v>0</v>
      </c>
      <c r="X51" s="50">
        <f t="shared" si="16"/>
        <v>0</v>
      </c>
      <c r="Y51" s="50">
        <f t="shared" si="16"/>
        <v>0</v>
      </c>
      <c r="Z51" s="50">
        <f t="shared" si="16"/>
        <v>0</v>
      </c>
      <c r="AA51" s="50">
        <f t="shared" si="16"/>
        <v>0</v>
      </c>
      <c r="AB51" s="50">
        <f t="shared" si="16"/>
        <v>0</v>
      </c>
      <c r="AC51" s="50">
        <f t="shared" si="16"/>
        <v>0</v>
      </c>
      <c r="AD51" s="50">
        <f t="shared" si="16"/>
        <v>0</v>
      </c>
      <c r="AE51" s="50">
        <f t="shared" si="16"/>
        <v>0</v>
      </c>
      <c r="AF51" s="50">
        <f t="shared" si="16"/>
        <v>0</v>
      </c>
      <c r="AG51" s="50">
        <f t="shared" si="16"/>
        <v>0</v>
      </c>
      <c r="AH51" s="50">
        <f t="shared" si="16"/>
        <v>0</v>
      </c>
      <c r="AI51" s="50">
        <f t="shared" si="16"/>
        <v>0</v>
      </c>
      <c r="AJ51" s="50">
        <f t="shared" si="16"/>
        <v>0</v>
      </c>
      <c r="AK51" s="50">
        <f t="shared" si="16"/>
        <v>0</v>
      </c>
      <c r="AL51" s="50">
        <f t="shared" si="16"/>
        <v>0</v>
      </c>
      <c r="AM51" s="50">
        <f t="shared" si="16"/>
        <v>0</v>
      </c>
    </row>
    <row r="54" spans="10:39" x14ac:dyDescent="0.25">
      <c r="J54" s="2" t="s">
        <v>168</v>
      </c>
    </row>
    <row r="55" spans="10:39" x14ac:dyDescent="0.25"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r="56" spans="10:39" x14ac:dyDescent="0.25">
      <c r="J56" t="s">
        <v>67</v>
      </c>
      <c r="K56" t="s">
        <v>357</v>
      </c>
      <c r="L56" s="11">
        <f>VLOOKUP($J56,output!$A$9:$AI$2200,L$1-$L$1+2)</f>
        <v>0</v>
      </c>
      <c r="M56" s="11">
        <f>VLOOKUP($J56,output!$A$9:$AI$2200,M$1-$L$1+2)</f>
        <v>2408.6390000000001</v>
      </c>
      <c r="N56" s="11">
        <f>VLOOKUP($J56,output!$A$9:$AI$2200,N$1-$L$1+2)</f>
        <v>0</v>
      </c>
      <c r="O56" s="11">
        <f>VLOOKUP($J56,output!$A$9:$AI$2200,O$1-$L$1+2)</f>
        <v>0</v>
      </c>
      <c r="P56" s="11">
        <f>VLOOKUP($J56,output!$A$9:$AI$2200,P$1-$L$1+2)</f>
        <v>0</v>
      </c>
      <c r="Q56" s="11">
        <f>VLOOKUP($J56,output!$A$9:$AI$2200,Q$1-$L$1+2)</f>
        <v>0</v>
      </c>
      <c r="R56" s="11">
        <f>VLOOKUP($J56,output!$A$9:$AI$2200,R$1-$L$1+2)</f>
        <v>0</v>
      </c>
      <c r="S56" s="11">
        <f>VLOOKUP($J56,output!$A$9:$AI$2200,S$1-$L$1+2)</f>
        <v>0</v>
      </c>
      <c r="T56" s="11">
        <f>VLOOKUP($J56,output!$A$9:$AI$2200,T$1-$L$1+2)</f>
        <v>0</v>
      </c>
      <c r="U56" s="11">
        <f>VLOOKUP($J56,output!$A$9:$AI$2200,U$1-$L$1+2)</f>
        <v>0</v>
      </c>
      <c r="V56" s="11">
        <f>VLOOKUP($J56,output!$A$9:$AI$2200,V$1-$L$1+2)</f>
        <v>0</v>
      </c>
      <c r="W56" s="11">
        <f>VLOOKUP($J56,output!$A$9:$AI$2200,W$1-$L$1+2)</f>
        <v>0</v>
      </c>
      <c r="X56" s="11">
        <f>VLOOKUP($J56,output!$A$9:$AI$2200,X$1-$L$1+2)</f>
        <v>0</v>
      </c>
      <c r="Y56" s="11">
        <f>VLOOKUP($J56,output!$A$9:$AI$2200,Y$1-$L$1+2)</f>
        <v>0</v>
      </c>
      <c r="Z56" s="11">
        <f>VLOOKUP($J56,output!$A$9:$AI$2200,Z$1-$L$1+2)</f>
        <v>0</v>
      </c>
      <c r="AA56" s="11">
        <f>VLOOKUP($J56,output!$A$9:$AI$2200,AA$1-$L$1+2)</f>
        <v>0</v>
      </c>
      <c r="AB56" s="11">
        <f>VLOOKUP($J56,output!$A$9:$AI$2200,AB$1-$L$1+2)</f>
        <v>0</v>
      </c>
      <c r="AC56" s="11">
        <f>VLOOKUP($J56,output!$A$9:$AI$2200,AC$1-$L$1+2)</f>
        <v>0</v>
      </c>
      <c r="AD56" s="11">
        <f>VLOOKUP($J56,output!$A$9:$AI$2200,AD$1-$L$1+2)</f>
        <v>0</v>
      </c>
      <c r="AE56" s="11">
        <f>VLOOKUP($J56,output!$A$9:$AI$2200,AE$1-$L$1+2)</f>
        <v>0</v>
      </c>
      <c r="AF56" s="11">
        <f>VLOOKUP($J56,output!$A$9:$AI$2200,AF$1-$L$1+2)</f>
        <v>0</v>
      </c>
      <c r="AG56" s="11">
        <f>VLOOKUP($J56,output!$A$9:$AI$2200,AG$1-$L$1+2)</f>
        <v>0</v>
      </c>
      <c r="AH56" s="11">
        <f>VLOOKUP($J56,output!$A$9:$AI$2200,AH$1-$L$1+2)</f>
        <v>0</v>
      </c>
      <c r="AI56" s="11">
        <f>VLOOKUP($J56,output!$A$9:$AI$2200,AI$1-$L$1+2)</f>
        <v>0</v>
      </c>
      <c r="AJ56" s="11">
        <f>VLOOKUP($J56,output!$A$9:$AI$2200,AJ$1-$L$1+2)</f>
        <v>0</v>
      </c>
      <c r="AK56" s="11">
        <f>VLOOKUP($J56,output!$A$9:$AI$2200,AK$1-$L$1+2)</f>
        <v>0</v>
      </c>
      <c r="AL56" s="11">
        <f>VLOOKUP($J56,output!$A$9:$AI$2200,AL$1-$L$1+2)</f>
        <v>0</v>
      </c>
      <c r="AM56" s="11">
        <f>VLOOKUP($J56,output!$A$9:$AI$2200,AM$1-$L$1+2)</f>
        <v>0</v>
      </c>
    </row>
    <row r="57" spans="10:39" x14ac:dyDescent="0.25">
      <c r="J57" s="21" t="s">
        <v>98</v>
      </c>
      <c r="L57" s="11">
        <f>VLOOKUP($J57,output!$A$9:$AI$2200,L$1-$L$1+2)</f>
        <v>0</v>
      </c>
      <c r="M57" s="11">
        <f>VLOOKUP($J57,output!$A$9:$AI$2200,M$1-$L$1+2)</f>
        <v>1256.951</v>
      </c>
      <c r="N57" s="11">
        <f>VLOOKUP($J57,output!$A$9:$AI$2200,N$1-$L$1+2)</f>
        <v>0</v>
      </c>
      <c r="O57" s="11">
        <f>VLOOKUP($J57,output!$A$9:$AI$2200,O$1-$L$1+2)</f>
        <v>0</v>
      </c>
      <c r="P57" s="11">
        <f>VLOOKUP($J57,output!$A$9:$AI$2200,P$1-$L$1+2)</f>
        <v>0</v>
      </c>
      <c r="Q57" s="11">
        <f>VLOOKUP($J57,output!$A$9:$AI$2200,Q$1-$L$1+2)</f>
        <v>0</v>
      </c>
      <c r="R57" s="11">
        <f>VLOOKUP($J57,output!$A$9:$AI$2200,R$1-$L$1+2)</f>
        <v>0</v>
      </c>
      <c r="S57" s="11">
        <f>VLOOKUP($J57,output!$A$9:$AI$2200,S$1-$L$1+2)</f>
        <v>0</v>
      </c>
      <c r="T57" s="11">
        <f>VLOOKUP($J57,output!$A$9:$AI$2200,T$1-$L$1+2)</f>
        <v>0</v>
      </c>
      <c r="U57" s="11">
        <f>VLOOKUP($J57,output!$A$9:$AI$2200,U$1-$L$1+2)</f>
        <v>0</v>
      </c>
      <c r="V57" s="11">
        <f>VLOOKUP($J57,output!$A$9:$AI$2200,V$1-$L$1+2)</f>
        <v>0</v>
      </c>
      <c r="W57" s="11">
        <f>VLOOKUP($J57,output!$A$9:$AI$2200,W$1-$L$1+2)</f>
        <v>0</v>
      </c>
      <c r="X57" s="11">
        <f>VLOOKUP($J57,output!$A$9:$AI$2200,X$1-$L$1+2)</f>
        <v>0</v>
      </c>
      <c r="Y57" s="11">
        <f>VLOOKUP($J57,output!$A$9:$AI$2200,Y$1-$L$1+2)</f>
        <v>0</v>
      </c>
      <c r="Z57" s="11">
        <f>VLOOKUP($J57,output!$A$9:$AI$2200,Z$1-$L$1+2)</f>
        <v>0</v>
      </c>
      <c r="AA57" s="11">
        <f>VLOOKUP($J57,output!$A$9:$AI$2200,AA$1-$L$1+2)</f>
        <v>0</v>
      </c>
      <c r="AB57" s="11">
        <f>VLOOKUP($J57,output!$A$9:$AI$2200,AB$1-$L$1+2)</f>
        <v>0</v>
      </c>
      <c r="AC57" s="11">
        <f>VLOOKUP($J57,output!$A$9:$AI$2200,AC$1-$L$1+2)</f>
        <v>0</v>
      </c>
      <c r="AD57" s="11">
        <f>VLOOKUP($J57,output!$A$9:$AI$2200,AD$1-$L$1+2)</f>
        <v>0</v>
      </c>
      <c r="AE57" s="11">
        <f>VLOOKUP($J57,output!$A$9:$AI$2200,AE$1-$L$1+2)</f>
        <v>0</v>
      </c>
      <c r="AF57" s="11">
        <f>VLOOKUP($J57,output!$A$9:$AI$2200,AF$1-$L$1+2)</f>
        <v>0</v>
      </c>
      <c r="AG57" s="11">
        <f>VLOOKUP($J57,output!$A$9:$AI$2200,AG$1-$L$1+2)</f>
        <v>0</v>
      </c>
      <c r="AH57" s="11">
        <f>VLOOKUP($J57,output!$A$9:$AI$2200,AH$1-$L$1+2)</f>
        <v>0</v>
      </c>
      <c r="AI57" s="11">
        <f>VLOOKUP($J57,output!$A$9:$AI$2200,AI$1-$L$1+2)</f>
        <v>0</v>
      </c>
      <c r="AJ57" s="11">
        <f>VLOOKUP($J57,output!$A$9:$AI$2200,AJ$1-$L$1+2)</f>
        <v>0</v>
      </c>
      <c r="AK57" s="11">
        <f>VLOOKUP($J57,output!$A$9:$AI$2200,AK$1-$L$1+2)</f>
        <v>0</v>
      </c>
      <c r="AL57" s="11">
        <f>VLOOKUP($J57,output!$A$9:$AI$2200,AL$1-$L$1+2)</f>
        <v>0</v>
      </c>
      <c r="AM57" s="11">
        <f>VLOOKUP($J57,output!$A$9:$AI$2200,AM$1-$L$1+2)</f>
        <v>0</v>
      </c>
    </row>
    <row r="58" spans="10:39" x14ac:dyDescent="0.25">
      <c r="J58" s="21" t="s">
        <v>258</v>
      </c>
      <c r="L58" s="11">
        <f>VLOOKUP($J58,output!$A$9:$AI$2200,L$1-$L$1+2)</f>
        <v>0</v>
      </c>
      <c r="M58" s="11">
        <f>VLOOKUP($J58,output!$A$9:$AI$2200,M$1-$L$1+2)</f>
        <v>1256.951</v>
      </c>
      <c r="N58" s="11">
        <f>VLOOKUP($J58,output!$A$9:$AI$2200,N$1-$L$1+2)</f>
        <v>0</v>
      </c>
      <c r="O58" s="11">
        <f>VLOOKUP($J58,output!$A$9:$AI$2200,O$1-$L$1+2)</f>
        <v>0</v>
      </c>
      <c r="P58" s="11">
        <f>VLOOKUP($J58,output!$A$9:$AI$2200,P$1-$L$1+2)</f>
        <v>0</v>
      </c>
      <c r="Q58" s="11">
        <f>VLOOKUP($J58,output!$A$9:$AI$2200,Q$1-$L$1+2)</f>
        <v>0</v>
      </c>
      <c r="R58" s="11">
        <f>VLOOKUP($J58,output!$A$9:$AI$2200,R$1-$L$1+2)</f>
        <v>0</v>
      </c>
      <c r="S58" s="11">
        <f>VLOOKUP($J58,output!$A$9:$AI$2200,S$1-$L$1+2)</f>
        <v>0</v>
      </c>
      <c r="T58" s="11">
        <f>VLOOKUP($J58,output!$A$9:$AI$2200,T$1-$L$1+2)</f>
        <v>0</v>
      </c>
      <c r="U58" s="11">
        <f>VLOOKUP($J58,output!$A$9:$AI$2200,U$1-$L$1+2)</f>
        <v>0</v>
      </c>
      <c r="V58" s="11">
        <f>VLOOKUP($J58,output!$A$9:$AI$2200,V$1-$L$1+2)</f>
        <v>0</v>
      </c>
      <c r="W58" s="11">
        <f>VLOOKUP($J58,output!$A$9:$AI$2200,W$1-$L$1+2)</f>
        <v>0</v>
      </c>
      <c r="X58" s="11">
        <f>VLOOKUP($J58,output!$A$9:$AI$2200,X$1-$L$1+2)</f>
        <v>0</v>
      </c>
      <c r="Y58" s="11">
        <f>VLOOKUP($J58,output!$A$9:$AI$2200,Y$1-$L$1+2)</f>
        <v>0</v>
      </c>
      <c r="Z58" s="11">
        <f>VLOOKUP($J58,output!$A$9:$AI$2200,Z$1-$L$1+2)</f>
        <v>0</v>
      </c>
      <c r="AA58" s="11">
        <f>VLOOKUP($J58,output!$A$9:$AI$2200,AA$1-$L$1+2)</f>
        <v>0</v>
      </c>
      <c r="AB58" s="11">
        <f>VLOOKUP($J58,output!$A$9:$AI$2200,AB$1-$L$1+2)</f>
        <v>0</v>
      </c>
      <c r="AC58" s="11">
        <f>VLOOKUP($J58,output!$A$9:$AI$2200,AC$1-$L$1+2)</f>
        <v>0</v>
      </c>
      <c r="AD58" s="11">
        <f>VLOOKUP($J58,output!$A$9:$AI$2200,AD$1-$L$1+2)</f>
        <v>0</v>
      </c>
      <c r="AE58" s="11">
        <f>VLOOKUP($J58,output!$A$9:$AI$2200,AE$1-$L$1+2)</f>
        <v>0</v>
      </c>
      <c r="AF58" s="11">
        <f>VLOOKUP($J58,output!$A$9:$AI$2200,AF$1-$L$1+2)</f>
        <v>0</v>
      </c>
      <c r="AG58" s="11">
        <f>VLOOKUP($J58,output!$A$9:$AI$2200,AG$1-$L$1+2)</f>
        <v>0</v>
      </c>
      <c r="AH58" s="11">
        <f>VLOOKUP($J58,output!$A$9:$AI$2200,AH$1-$L$1+2)</f>
        <v>0</v>
      </c>
      <c r="AI58" s="11">
        <f>VLOOKUP($J58,output!$A$9:$AI$2200,AI$1-$L$1+2)</f>
        <v>0</v>
      </c>
      <c r="AJ58" s="11">
        <f>VLOOKUP($J58,output!$A$9:$AI$2200,AJ$1-$L$1+2)</f>
        <v>0</v>
      </c>
      <c r="AK58" s="11">
        <f>VLOOKUP($J58,output!$A$9:$AI$2200,AK$1-$L$1+2)</f>
        <v>0</v>
      </c>
      <c r="AL58" s="11">
        <f>VLOOKUP($J58,output!$A$9:$AI$2200,AL$1-$L$1+2)</f>
        <v>0</v>
      </c>
      <c r="AM58" s="11">
        <f>VLOOKUP($J58,output!$A$9:$AI$2200,AM$1-$L$1+2)</f>
        <v>0</v>
      </c>
    </row>
    <row r="59" spans="10:39" x14ac:dyDescent="0.25">
      <c r="K59" s="59" t="s">
        <v>281</v>
      </c>
      <c r="L59" s="60">
        <f>SUM(L57:L58)</f>
        <v>0</v>
      </c>
      <c r="M59" s="60">
        <f t="shared" ref="M59:AM59" si="17">SUM(M57:M58)</f>
        <v>2513.902</v>
      </c>
      <c r="N59" s="60">
        <f t="shared" si="17"/>
        <v>0</v>
      </c>
      <c r="O59" s="60">
        <f t="shared" si="17"/>
        <v>0</v>
      </c>
      <c r="P59" s="60">
        <f t="shared" si="17"/>
        <v>0</v>
      </c>
      <c r="Q59" s="60">
        <f t="shared" si="17"/>
        <v>0</v>
      </c>
      <c r="R59" s="60">
        <f t="shared" si="17"/>
        <v>0</v>
      </c>
      <c r="S59" s="60">
        <f t="shared" si="17"/>
        <v>0</v>
      </c>
      <c r="T59" s="60">
        <f t="shared" si="17"/>
        <v>0</v>
      </c>
      <c r="U59" s="60">
        <f t="shared" si="17"/>
        <v>0</v>
      </c>
      <c r="V59" s="60">
        <f t="shared" si="17"/>
        <v>0</v>
      </c>
      <c r="W59" s="60">
        <f t="shared" si="17"/>
        <v>0</v>
      </c>
      <c r="X59" s="60">
        <f t="shared" si="17"/>
        <v>0</v>
      </c>
      <c r="Y59" s="60">
        <f t="shared" si="17"/>
        <v>0</v>
      </c>
      <c r="Z59" s="60">
        <f t="shared" si="17"/>
        <v>0</v>
      </c>
      <c r="AA59" s="60">
        <f t="shared" si="17"/>
        <v>0</v>
      </c>
      <c r="AB59" s="60">
        <f t="shared" si="17"/>
        <v>0</v>
      </c>
      <c r="AC59" s="60">
        <f t="shared" si="17"/>
        <v>0</v>
      </c>
      <c r="AD59" s="60">
        <f t="shared" si="17"/>
        <v>0</v>
      </c>
      <c r="AE59" s="60">
        <f t="shared" si="17"/>
        <v>0</v>
      </c>
      <c r="AF59" s="60">
        <f t="shared" si="17"/>
        <v>0</v>
      </c>
      <c r="AG59" s="60">
        <f t="shared" si="17"/>
        <v>0</v>
      </c>
      <c r="AH59" s="60">
        <f t="shared" si="17"/>
        <v>0</v>
      </c>
      <c r="AI59" s="60">
        <f t="shared" si="17"/>
        <v>0</v>
      </c>
      <c r="AJ59" s="60">
        <f t="shared" si="17"/>
        <v>0</v>
      </c>
      <c r="AK59" s="60">
        <f t="shared" si="17"/>
        <v>0</v>
      </c>
      <c r="AL59" s="60">
        <f t="shared" si="17"/>
        <v>0</v>
      </c>
      <c r="AM59" s="60">
        <f t="shared" si="17"/>
        <v>0</v>
      </c>
    </row>
    <row r="60" spans="10:39" x14ac:dyDescent="0.25">
      <c r="J60" s="25" t="s">
        <v>254</v>
      </c>
      <c r="L60" s="11">
        <f>VLOOKUP($J60,output!$A$9:$AI$2200,L$1-$L$1+2)</f>
        <v>0</v>
      </c>
      <c r="M60" s="11">
        <f>VLOOKUP($J60,output!$A$9:$AI$2200,M$1-$L$1+2)</f>
        <v>53.749000000000002</v>
      </c>
      <c r="N60" s="11">
        <f>VLOOKUP($J60,output!$A$9:$AI$2200,N$1-$L$1+2)</f>
        <v>0</v>
      </c>
      <c r="O60" s="11">
        <f>VLOOKUP($J60,output!$A$9:$AI$2200,O$1-$L$1+2)</f>
        <v>0</v>
      </c>
      <c r="P60" s="11">
        <f>VLOOKUP($J60,output!$A$9:$AI$2200,P$1-$L$1+2)</f>
        <v>0</v>
      </c>
      <c r="Q60" s="11">
        <f>VLOOKUP($J60,output!$A$9:$AI$2200,Q$1-$L$1+2)</f>
        <v>0</v>
      </c>
      <c r="R60" s="11">
        <f>VLOOKUP($J60,output!$A$9:$AI$2200,R$1-$L$1+2)</f>
        <v>0</v>
      </c>
      <c r="S60" s="11">
        <f>VLOOKUP($J60,output!$A$9:$AI$2200,S$1-$L$1+2)</f>
        <v>0</v>
      </c>
      <c r="T60" s="11">
        <f>VLOOKUP($J60,output!$A$9:$AI$2200,T$1-$L$1+2)</f>
        <v>0</v>
      </c>
      <c r="U60" s="11">
        <f>VLOOKUP($J60,output!$A$9:$AI$2200,U$1-$L$1+2)</f>
        <v>0</v>
      </c>
      <c r="V60" s="11">
        <f>VLOOKUP($J60,output!$A$9:$AI$2200,V$1-$L$1+2)</f>
        <v>0</v>
      </c>
      <c r="W60" s="11">
        <f>VLOOKUP($J60,output!$A$9:$AI$2200,W$1-$L$1+2)</f>
        <v>0</v>
      </c>
      <c r="X60" s="11">
        <f>VLOOKUP($J60,output!$A$9:$AI$2200,X$1-$L$1+2)</f>
        <v>0</v>
      </c>
      <c r="Y60" s="11">
        <f>VLOOKUP($J60,output!$A$9:$AI$2200,Y$1-$L$1+2)</f>
        <v>0</v>
      </c>
      <c r="Z60" s="11">
        <f>VLOOKUP($J60,output!$A$9:$AI$2200,Z$1-$L$1+2)</f>
        <v>0</v>
      </c>
      <c r="AA60" s="11">
        <f>VLOOKUP($J60,output!$A$9:$AI$2200,AA$1-$L$1+2)</f>
        <v>0</v>
      </c>
      <c r="AB60" s="11">
        <f>VLOOKUP($J60,output!$A$9:$AI$2200,AB$1-$L$1+2)</f>
        <v>0</v>
      </c>
      <c r="AC60" s="11">
        <f>VLOOKUP($J60,output!$A$9:$AI$2200,AC$1-$L$1+2)</f>
        <v>0</v>
      </c>
      <c r="AD60" s="11">
        <f>VLOOKUP($J60,output!$A$9:$AI$2200,AD$1-$L$1+2)</f>
        <v>0</v>
      </c>
      <c r="AE60" s="11">
        <f>VLOOKUP($J60,output!$A$9:$AI$2200,AE$1-$L$1+2)</f>
        <v>0</v>
      </c>
      <c r="AF60" s="11">
        <f>VLOOKUP($J60,output!$A$9:$AI$2200,AF$1-$L$1+2)</f>
        <v>0</v>
      </c>
      <c r="AG60" s="11">
        <f>VLOOKUP($J60,output!$A$9:$AI$2200,AG$1-$L$1+2)</f>
        <v>0</v>
      </c>
      <c r="AH60" s="11">
        <f>VLOOKUP($J60,output!$A$9:$AI$2200,AH$1-$L$1+2)</f>
        <v>0</v>
      </c>
      <c r="AI60" s="11">
        <f>VLOOKUP($J60,output!$A$9:$AI$2200,AI$1-$L$1+2)</f>
        <v>0</v>
      </c>
      <c r="AJ60" s="11">
        <f>VLOOKUP($J60,output!$A$9:$AI$2200,AJ$1-$L$1+2)</f>
        <v>0</v>
      </c>
      <c r="AK60" s="11">
        <f>VLOOKUP($J60,output!$A$9:$AI$2200,AK$1-$L$1+2)</f>
        <v>0</v>
      </c>
      <c r="AL60" s="11">
        <f>VLOOKUP($J60,output!$A$9:$AI$2200,AL$1-$L$1+2)</f>
        <v>0</v>
      </c>
      <c r="AM60" s="11">
        <f>VLOOKUP($J60,output!$A$9:$AI$2200,AM$1-$L$1+2)</f>
        <v>0</v>
      </c>
    </row>
    <row r="61" spans="10:39" x14ac:dyDescent="0.25">
      <c r="J61" s="25" t="s">
        <v>201</v>
      </c>
      <c r="L61" s="11">
        <f>VLOOKUP($J61,output!$A$9:$AI$2200,L$1-$L$1+2)</f>
        <v>0</v>
      </c>
      <c r="M61" s="11">
        <f>VLOOKUP($J61,output!$A$9:$AI$2200,M$1-$L$1+2)</f>
        <v>0</v>
      </c>
      <c r="N61" s="11">
        <f>VLOOKUP($J61,output!$A$9:$AI$2200,N$1-$L$1+2)</f>
        <v>0</v>
      </c>
      <c r="O61" s="11">
        <f>VLOOKUP($J61,output!$A$9:$AI$2200,O$1-$L$1+2)</f>
        <v>0</v>
      </c>
      <c r="P61" s="11">
        <f>VLOOKUP($J61,output!$A$9:$AI$2200,P$1-$L$1+2)</f>
        <v>0</v>
      </c>
      <c r="Q61" s="11">
        <f>VLOOKUP($J61,output!$A$9:$AI$2200,Q$1-$L$1+2)</f>
        <v>0</v>
      </c>
      <c r="R61" s="11">
        <f>VLOOKUP($J61,output!$A$9:$AI$2200,R$1-$L$1+2)</f>
        <v>0</v>
      </c>
      <c r="S61" s="11">
        <f>VLOOKUP($J61,output!$A$9:$AI$2200,S$1-$L$1+2)</f>
        <v>0</v>
      </c>
      <c r="T61" s="11">
        <f>VLOOKUP($J61,output!$A$9:$AI$2200,T$1-$L$1+2)</f>
        <v>0</v>
      </c>
      <c r="U61" s="11">
        <f>VLOOKUP($J61,output!$A$9:$AI$2200,U$1-$L$1+2)</f>
        <v>0</v>
      </c>
      <c r="V61" s="11">
        <f>VLOOKUP($J61,output!$A$9:$AI$2200,V$1-$L$1+2)</f>
        <v>0</v>
      </c>
      <c r="W61" s="11">
        <f>VLOOKUP($J61,output!$A$9:$AI$2200,W$1-$L$1+2)</f>
        <v>0</v>
      </c>
      <c r="X61" s="11">
        <f>VLOOKUP($J61,output!$A$9:$AI$2200,X$1-$L$1+2)</f>
        <v>0</v>
      </c>
      <c r="Y61" s="11">
        <f>VLOOKUP($J61,output!$A$9:$AI$2200,Y$1-$L$1+2)</f>
        <v>0</v>
      </c>
      <c r="Z61" s="11">
        <f>VLOOKUP($J61,output!$A$9:$AI$2200,Z$1-$L$1+2)</f>
        <v>0</v>
      </c>
      <c r="AA61" s="11">
        <f>VLOOKUP($J61,output!$A$9:$AI$2200,AA$1-$L$1+2)</f>
        <v>0</v>
      </c>
      <c r="AB61" s="11">
        <f>VLOOKUP($J61,output!$A$9:$AI$2200,AB$1-$L$1+2)</f>
        <v>0</v>
      </c>
      <c r="AC61" s="11">
        <f>VLOOKUP($J61,output!$A$9:$AI$2200,AC$1-$L$1+2)</f>
        <v>0</v>
      </c>
      <c r="AD61" s="11">
        <f>VLOOKUP($J61,output!$A$9:$AI$2200,AD$1-$L$1+2)</f>
        <v>0</v>
      </c>
      <c r="AE61" s="11">
        <f>VLOOKUP($J61,output!$A$9:$AI$2200,AE$1-$L$1+2)</f>
        <v>0</v>
      </c>
      <c r="AF61" s="11">
        <f>VLOOKUP($J61,output!$A$9:$AI$2200,AF$1-$L$1+2)</f>
        <v>0</v>
      </c>
      <c r="AG61" s="11">
        <f>VLOOKUP($J61,output!$A$9:$AI$2200,AG$1-$L$1+2)</f>
        <v>0</v>
      </c>
      <c r="AH61" s="11">
        <f>VLOOKUP($J61,output!$A$9:$AI$2200,AH$1-$L$1+2)</f>
        <v>0</v>
      </c>
      <c r="AI61" s="11">
        <f>VLOOKUP($J61,output!$A$9:$AI$2200,AI$1-$L$1+2)</f>
        <v>0</v>
      </c>
      <c r="AJ61" s="11">
        <f>VLOOKUP($J61,output!$A$9:$AI$2200,AJ$1-$L$1+2)</f>
        <v>0</v>
      </c>
      <c r="AK61" s="11">
        <f>VLOOKUP($J61,output!$A$9:$AI$2200,AK$1-$L$1+2)</f>
        <v>0</v>
      </c>
      <c r="AL61" s="11">
        <f>VLOOKUP($J61,output!$A$9:$AI$2200,AL$1-$L$1+2)</f>
        <v>0</v>
      </c>
      <c r="AM61" s="11">
        <f>VLOOKUP($J61,output!$A$9:$AI$2200,AM$1-$L$1+2)</f>
        <v>0</v>
      </c>
    </row>
    <row r="62" spans="10:39" x14ac:dyDescent="0.25">
      <c r="K62" s="61" t="s">
        <v>141</v>
      </c>
      <c r="L62" s="66">
        <f>SUM(L60:L61)</f>
        <v>0</v>
      </c>
      <c r="M62" s="66">
        <f t="shared" ref="M62:AM62" si="18">SUM(M60:M61)</f>
        <v>53.749000000000002</v>
      </c>
      <c r="N62" s="66">
        <f t="shared" si="18"/>
        <v>0</v>
      </c>
      <c r="O62" s="66">
        <f t="shared" si="18"/>
        <v>0</v>
      </c>
      <c r="P62" s="66">
        <f t="shared" si="18"/>
        <v>0</v>
      </c>
      <c r="Q62" s="66">
        <f t="shared" si="18"/>
        <v>0</v>
      </c>
      <c r="R62" s="66">
        <f t="shared" si="18"/>
        <v>0</v>
      </c>
      <c r="S62" s="66">
        <f t="shared" si="18"/>
        <v>0</v>
      </c>
      <c r="T62" s="66">
        <f t="shared" si="18"/>
        <v>0</v>
      </c>
      <c r="U62" s="66">
        <f t="shared" si="18"/>
        <v>0</v>
      </c>
      <c r="V62" s="66">
        <f t="shared" si="18"/>
        <v>0</v>
      </c>
      <c r="W62" s="66">
        <f t="shared" si="18"/>
        <v>0</v>
      </c>
      <c r="X62" s="66">
        <f t="shared" si="18"/>
        <v>0</v>
      </c>
      <c r="Y62" s="66">
        <f t="shared" si="18"/>
        <v>0</v>
      </c>
      <c r="Z62" s="66">
        <f t="shared" si="18"/>
        <v>0</v>
      </c>
      <c r="AA62" s="66">
        <f t="shared" si="18"/>
        <v>0</v>
      </c>
      <c r="AB62" s="66">
        <f t="shared" si="18"/>
        <v>0</v>
      </c>
      <c r="AC62" s="66">
        <f t="shared" si="18"/>
        <v>0</v>
      </c>
      <c r="AD62" s="66">
        <f t="shared" si="18"/>
        <v>0</v>
      </c>
      <c r="AE62" s="66">
        <f t="shared" si="18"/>
        <v>0</v>
      </c>
      <c r="AF62" s="66">
        <f t="shared" si="18"/>
        <v>0</v>
      </c>
      <c r="AG62" s="66">
        <f t="shared" si="18"/>
        <v>0</v>
      </c>
      <c r="AH62" s="66">
        <f t="shared" si="18"/>
        <v>0</v>
      </c>
      <c r="AI62" s="66">
        <f t="shared" si="18"/>
        <v>0</v>
      </c>
      <c r="AJ62" s="66">
        <f t="shared" si="18"/>
        <v>0</v>
      </c>
      <c r="AK62" s="66">
        <f t="shared" si="18"/>
        <v>0</v>
      </c>
      <c r="AL62" s="66">
        <f t="shared" si="18"/>
        <v>0</v>
      </c>
      <c r="AM62" s="66">
        <f t="shared" si="18"/>
        <v>0</v>
      </c>
    </row>
    <row r="63" spans="10:39" x14ac:dyDescent="0.25">
      <c r="J63" s="24" t="s">
        <v>71</v>
      </c>
      <c r="L63" s="11">
        <f>VLOOKUP($J63,output!$A$9:$AI$2200,L$1-$L$1+2)</f>
        <v>0</v>
      </c>
      <c r="M63" s="11">
        <f>VLOOKUP($J63,output!$A$9:$AI$2200,M$1-$L$1+2)</f>
        <v>149.137</v>
      </c>
      <c r="N63" s="11">
        <f>VLOOKUP($J63,output!$A$9:$AI$2200,N$1-$L$1+2)</f>
        <v>0</v>
      </c>
      <c r="O63" s="11">
        <f>VLOOKUP($J63,output!$A$9:$AI$2200,O$1-$L$1+2)</f>
        <v>0</v>
      </c>
      <c r="P63" s="11">
        <f>VLOOKUP($J63,output!$A$9:$AI$2200,P$1-$L$1+2)</f>
        <v>0</v>
      </c>
      <c r="Q63" s="11">
        <f>VLOOKUP($J63,output!$A$9:$AI$2200,Q$1-$L$1+2)</f>
        <v>0</v>
      </c>
      <c r="R63" s="11">
        <f>VLOOKUP($J63,output!$A$9:$AI$2200,R$1-$L$1+2)</f>
        <v>0</v>
      </c>
      <c r="S63" s="11">
        <f>VLOOKUP($J63,output!$A$9:$AI$2200,S$1-$L$1+2)</f>
        <v>0</v>
      </c>
      <c r="T63" s="11">
        <f>VLOOKUP($J63,output!$A$9:$AI$2200,T$1-$L$1+2)</f>
        <v>0</v>
      </c>
      <c r="U63" s="11">
        <f>VLOOKUP($J63,output!$A$9:$AI$2200,U$1-$L$1+2)</f>
        <v>0</v>
      </c>
      <c r="V63" s="11">
        <f>VLOOKUP($J63,output!$A$9:$AI$2200,V$1-$L$1+2)</f>
        <v>0</v>
      </c>
      <c r="W63" s="11">
        <f>VLOOKUP($J63,output!$A$9:$AI$2200,W$1-$L$1+2)</f>
        <v>0</v>
      </c>
      <c r="X63" s="11">
        <f>VLOOKUP($J63,output!$A$9:$AI$2200,X$1-$L$1+2)</f>
        <v>0</v>
      </c>
      <c r="Y63" s="11">
        <f>VLOOKUP($J63,output!$A$9:$AI$2200,Y$1-$L$1+2)</f>
        <v>0</v>
      </c>
      <c r="Z63" s="11">
        <f>VLOOKUP($J63,output!$A$9:$AI$2200,Z$1-$L$1+2)</f>
        <v>0</v>
      </c>
      <c r="AA63" s="11">
        <f>VLOOKUP($J63,output!$A$9:$AI$2200,AA$1-$L$1+2)</f>
        <v>0</v>
      </c>
      <c r="AB63" s="11">
        <f>VLOOKUP($J63,output!$A$9:$AI$2200,AB$1-$L$1+2)</f>
        <v>0</v>
      </c>
      <c r="AC63" s="11">
        <f>VLOOKUP($J63,output!$A$9:$AI$2200,AC$1-$L$1+2)</f>
        <v>0</v>
      </c>
      <c r="AD63" s="11">
        <f>VLOOKUP($J63,output!$A$9:$AI$2200,AD$1-$L$1+2)</f>
        <v>0</v>
      </c>
      <c r="AE63" s="11">
        <f>VLOOKUP($J63,output!$A$9:$AI$2200,AE$1-$L$1+2)</f>
        <v>0</v>
      </c>
      <c r="AF63" s="11">
        <f>VLOOKUP($J63,output!$A$9:$AI$2200,AF$1-$L$1+2)</f>
        <v>0</v>
      </c>
      <c r="AG63" s="11">
        <f>VLOOKUP($J63,output!$A$9:$AI$2200,AG$1-$L$1+2)</f>
        <v>0</v>
      </c>
      <c r="AH63" s="11">
        <f>VLOOKUP($J63,output!$A$9:$AI$2200,AH$1-$L$1+2)</f>
        <v>0</v>
      </c>
      <c r="AI63" s="11">
        <f>VLOOKUP($J63,output!$A$9:$AI$2200,AI$1-$L$1+2)</f>
        <v>0</v>
      </c>
      <c r="AJ63" s="11">
        <f>VLOOKUP($J63,output!$A$9:$AI$2200,AJ$1-$L$1+2)</f>
        <v>0</v>
      </c>
      <c r="AK63" s="11">
        <f>VLOOKUP($J63,output!$A$9:$AI$2200,AK$1-$L$1+2)</f>
        <v>0</v>
      </c>
      <c r="AL63" s="11">
        <f>VLOOKUP($J63,output!$A$9:$AI$2200,AL$1-$L$1+2)</f>
        <v>0</v>
      </c>
      <c r="AM63" s="11">
        <f>VLOOKUP($J63,output!$A$9:$AI$2200,AM$1-$L$1+2)</f>
        <v>0</v>
      </c>
    </row>
    <row r="64" spans="10:39" x14ac:dyDescent="0.25">
      <c r="J64" s="24" t="s">
        <v>262</v>
      </c>
      <c r="L64" s="11">
        <f>VLOOKUP($J64,output!$A$9:$AI$2200,L$1-$L$1+2)</f>
        <v>0</v>
      </c>
      <c r="M64" s="11">
        <f>VLOOKUP($J64,output!$A$9:$AI$2200,M$1-$L$1+2)</f>
        <v>0</v>
      </c>
      <c r="N64" s="11">
        <f>VLOOKUP($J64,output!$A$9:$AI$2200,N$1-$L$1+2)</f>
        <v>0</v>
      </c>
      <c r="O64" s="11">
        <f>VLOOKUP($J64,output!$A$9:$AI$2200,O$1-$L$1+2)</f>
        <v>0</v>
      </c>
      <c r="P64" s="11">
        <f>VLOOKUP($J64,output!$A$9:$AI$2200,P$1-$L$1+2)</f>
        <v>0</v>
      </c>
      <c r="Q64" s="11">
        <f>VLOOKUP($J64,output!$A$9:$AI$2200,Q$1-$L$1+2)</f>
        <v>0</v>
      </c>
      <c r="R64" s="11">
        <f>VLOOKUP($J64,output!$A$9:$AI$2200,R$1-$L$1+2)</f>
        <v>0</v>
      </c>
      <c r="S64" s="11">
        <f>VLOOKUP($J64,output!$A$9:$AI$2200,S$1-$L$1+2)</f>
        <v>0</v>
      </c>
      <c r="T64" s="11">
        <f>VLOOKUP($J64,output!$A$9:$AI$2200,T$1-$L$1+2)</f>
        <v>0</v>
      </c>
      <c r="U64" s="11">
        <f>VLOOKUP($J64,output!$A$9:$AI$2200,U$1-$L$1+2)</f>
        <v>0</v>
      </c>
      <c r="V64" s="11">
        <f>VLOOKUP($J64,output!$A$9:$AI$2200,V$1-$L$1+2)</f>
        <v>0</v>
      </c>
      <c r="W64" s="11">
        <f>VLOOKUP($J64,output!$A$9:$AI$2200,W$1-$L$1+2)</f>
        <v>0</v>
      </c>
      <c r="X64" s="11">
        <f>VLOOKUP($J64,output!$A$9:$AI$2200,X$1-$L$1+2)</f>
        <v>0</v>
      </c>
      <c r="Y64" s="11">
        <f>VLOOKUP($J64,output!$A$9:$AI$2200,Y$1-$L$1+2)</f>
        <v>0</v>
      </c>
      <c r="Z64" s="11">
        <f>VLOOKUP($J64,output!$A$9:$AI$2200,Z$1-$L$1+2)</f>
        <v>0</v>
      </c>
      <c r="AA64" s="11">
        <f>VLOOKUP($J64,output!$A$9:$AI$2200,AA$1-$L$1+2)</f>
        <v>0</v>
      </c>
      <c r="AB64" s="11">
        <f>VLOOKUP($J64,output!$A$9:$AI$2200,AB$1-$L$1+2)</f>
        <v>0</v>
      </c>
      <c r="AC64" s="11">
        <f>VLOOKUP($J64,output!$A$9:$AI$2200,AC$1-$L$1+2)</f>
        <v>0</v>
      </c>
      <c r="AD64" s="11">
        <f>VLOOKUP($J64,output!$A$9:$AI$2200,AD$1-$L$1+2)</f>
        <v>0</v>
      </c>
      <c r="AE64" s="11">
        <f>VLOOKUP($J64,output!$A$9:$AI$2200,AE$1-$L$1+2)</f>
        <v>0</v>
      </c>
      <c r="AF64" s="11">
        <f>VLOOKUP($J64,output!$A$9:$AI$2200,AF$1-$L$1+2)</f>
        <v>0</v>
      </c>
      <c r="AG64" s="11">
        <f>VLOOKUP($J64,output!$A$9:$AI$2200,AG$1-$L$1+2)</f>
        <v>0</v>
      </c>
      <c r="AH64" s="11">
        <f>VLOOKUP($J64,output!$A$9:$AI$2200,AH$1-$L$1+2)</f>
        <v>0</v>
      </c>
      <c r="AI64" s="11">
        <f>VLOOKUP($J64,output!$A$9:$AI$2200,AI$1-$L$1+2)</f>
        <v>0</v>
      </c>
      <c r="AJ64" s="11">
        <f>VLOOKUP($J64,output!$A$9:$AI$2200,AJ$1-$L$1+2)</f>
        <v>0</v>
      </c>
      <c r="AK64" s="11">
        <f>VLOOKUP($J64,output!$A$9:$AI$2200,AK$1-$L$1+2)</f>
        <v>0</v>
      </c>
      <c r="AL64" s="11">
        <f>VLOOKUP($J64,output!$A$9:$AI$2200,AL$1-$L$1+2)</f>
        <v>0</v>
      </c>
      <c r="AM64" s="11">
        <f>VLOOKUP($J64,output!$A$9:$AI$2200,AM$1-$L$1+2)</f>
        <v>0</v>
      </c>
    </row>
    <row r="65" spans="10:39" x14ac:dyDescent="0.25">
      <c r="J65" s="24" t="s">
        <v>260</v>
      </c>
      <c r="L65" s="11">
        <f>VLOOKUP($J65,output!$A$9:$AI$2200,L$1-$L$1+2)</f>
        <v>0</v>
      </c>
      <c r="M65" s="11">
        <f>VLOOKUP($J65,output!$A$9:$AI$2200,M$1-$L$1+2)</f>
        <v>273.221</v>
      </c>
      <c r="N65" s="11">
        <f>VLOOKUP($J65,output!$A$9:$AI$2200,N$1-$L$1+2)</f>
        <v>0</v>
      </c>
      <c r="O65" s="11">
        <f>VLOOKUP($J65,output!$A$9:$AI$2200,O$1-$L$1+2)</f>
        <v>0</v>
      </c>
      <c r="P65" s="11">
        <f>VLOOKUP($J65,output!$A$9:$AI$2200,P$1-$L$1+2)</f>
        <v>0</v>
      </c>
      <c r="Q65" s="11">
        <f>VLOOKUP($J65,output!$A$9:$AI$2200,Q$1-$L$1+2)</f>
        <v>0</v>
      </c>
      <c r="R65" s="11">
        <f>VLOOKUP($J65,output!$A$9:$AI$2200,R$1-$L$1+2)</f>
        <v>0</v>
      </c>
      <c r="S65" s="11">
        <f>VLOOKUP($J65,output!$A$9:$AI$2200,S$1-$L$1+2)</f>
        <v>0</v>
      </c>
      <c r="T65" s="11">
        <f>VLOOKUP($J65,output!$A$9:$AI$2200,T$1-$L$1+2)</f>
        <v>0</v>
      </c>
      <c r="U65" s="11">
        <f>VLOOKUP($J65,output!$A$9:$AI$2200,U$1-$L$1+2)</f>
        <v>0</v>
      </c>
      <c r="V65" s="11">
        <f>VLOOKUP($J65,output!$A$9:$AI$2200,V$1-$L$1+2)</f>
        <v>0</v>
      </c>
      <c r="W65" s="11">
        <f>VLOOKUP($J65,output!$A$9:$AI$2200,W$1-$L$1+2)</f>
        <v>0</v>
      </c>
      <c r="X65" s="11">
        <f>VLOOKUP($J65,output!$A$9:$AI$2200,X$1-$L$1+2)</f>
        <v>0</v>
      </c>
      <c r="Y65" s="11">
        <f>VLOOKUP($J65,output!$A$9:$AI$2200,Y$1-$L$1+2)</f>
        <v>0</v>
      </c>
      <c r="Z65" s="11">
        <f>VLOOKUP($J65,output!$A$9:$AI$2200,Z$1-$L$1+2)</f>
        <v>0</v>
      </c>
      <c r="AA65" s="11">
        <f>VLOOKUP($J65,output!$A$9:$AI$2200,AA$1-$L$1+2)</f>
        <v>0</v>
      </c>
      <c r="AB65" s="11">
        <f>VLOOKUP($J65,output!$A$9:$AI$2200,AB$1-$L$1+2)</f>
        <v>0</v>
      </c>
      <c r="AC65" s="11">
        <f>VLOOKUP($J65,output!$A$9:$AI$2200,AC$1-$L$1+2)</f>
        <v>0</v>
      </c>
      <c r="AD65" s="11">
        <f>VLOOKUP($J65,output!$A$9:$AI$2200,AD$1-$L$1+2)</f>
        <v>0</v>
      </c>
      <c r="AE65" s="11">
        <f>VLOOKUP($J65,output!$A$9:$AI$2200,AE$1-$L$1+2)</f>
        <v>0</v>
      </c>
      <c r="AF65" s="11">
        <f>VLOOKUP($J65,output!$A$9:$AI$2200,AF$1-$L$1+2)</f>
        <v>0</v>
      </c>
      <c r="AG65" s="11">
        <f>VLOOKUP($J65,output!$A$9:$AI$2200,AG$1-$L$1+2)</f>
        <v>0</v>
      </c>
      <c r="AH65" s="11">
        <f>VLOOKUP($J65,output!$A$9:$AI$2200,AH$1-$L$1+2)</f>
        <v>0</v>
      </c>
      <c r="AI65" s="11">
        <f>VLOOKUP($J65,output!$A$9:$AI$2200,AI$1-$L$1+2)</f>
        <v>0</v>
      </c>
      <c r="AJ65" s="11">
        <f>VLOOKUP($J65,output!$A$9:$AI$2200,AJ$1-$L$1+2)</f>
        <v>0</v>
      </c>
      <c r="AK65" s="11">
        <f>VLOOKUP($J65,output!$A$9:$AI$2200,AK$1-$L$1+2)</f>
        <v>0</v>
      </c>
      <c r="AL65" s="11">
        <f>VLOOKUP($J65,output!$A$9:$AI$2200,AL$1-$L$1+2)</f>
        <v>0</v>
      </c>
      <c r="AM65" s="11">
        <f>VLOOKUP($J65,output!$A$9:$AI$2200,AM$1-$L$1+2)</f>
        <v>0</v>
      </c>
    </row>
    <row r="66" spans="10:39" x14ac:dyDescent="0.25">
      <c r="K66" s="62" t="s">
        <v>210</v>
      </c>
      <c r="L66" s="63">
        <f>SUM(L63:L65)</f>
        <v>0</v>
      </c>
      <c r="M66" s="63">
        <f t="shared" ref="M66:AM66" si="19">SUM(M63:M65)</f>
        <v>422.358</v>
      </c>
      <c r="N66" s="63">
        <f t="shared" si="19"/>
        <v>0</v>
      </c>
      <c r="O66" s="63">
        <f t="shared" si="19"/>
        <v>0</v>
      </c>
      <c r="P66" s="63">
        <f t="shared" si="19"/>
        <v>0</v>
      </c>
      <c r="Q66" s="63">
        <f t="shared" si="19"/>
        <v>0</v>
      </c>
      <c r="R66" s="63">
        <f t="shared" si="19"/>
        <v>0</v>
      </c>
      <c r="S66" s="63">
        <f t="shared" si="19"/>
        <v>0</v>
      </c>
      <c r="T66" s="63">
        <f t="shared" si="19"/>
        <v>0</v>
      </c>
      <c r="U66" s="63">
        <f t="shared" si="19"/>
        <v>0</v>
      </c>
      <c r="V66" s="63">
        <f t="shared" si="19"/>
        <v>0</v>
      </c>
      <c r="W66" s="63">
        <f t="shared" si="19"/>
        <v>0</v>
      </c>
      <c r="X66" s="63">
        <f t="shared" si="19"/>
        <v>0</v>
      </c>
      <c r="Y66" s="63">
        <f t="shared" si="19"/>
        <v>0</v>
      </c>
      <c r="Z66" s="63">
        <f t="shared" si="19"/>
        <v>0</v>
      </c>
      <c r="AA66" s="63">
        <f t="shared" si="19"/>
        <v>0</v>
      </c>
      <c r="AB66" s="63">
        <f t="shared" si="19"/>
        <v>0</v>
      </c>
      <c r="AC66" s="63">
        <f t="shared" si="19"/>
        <v>0</v>
      </c>
      <c r="AD66" s="63">
        <f t="shared" si="19"/>
        <v>0</v>
      </c>
      <c r="AE66" s="63">
        <f t="shared" si="19"/>
        <v>0</v>
      </c>
      <c r="AF66" s="63">
        <f t="shared" si="19"/>
        <v>0</v>
      </c>
      <c r="AG66" s="63">
        <f t="shared" si="19"/>
        <v>0</v>
      </c>
      <c r="AH66" s="63">
        <f t="shared" si="19"/>
        <v>0</v>
      </c>
      <c r="AI66" s="63">
        <f t="shared" si="19"/>
        <v>0</v>
      </c>
      <c r="AJ66" s="63">
        <f t="shared" si="19"/>
        <v>0</v>
      </c>
      <c r="AK66" s="63">
        <f t="shared" si="19"/>
        <v>0</v>
      </c>
      <c r="AL66" s="63">
        <f t="shared" si="19"/>
        <v>0</v>
      </c>
      <c r="AM66" s="63">
        <f t="shared" si="19"/>
        <v>0</v>
      </c>
    </row>
    <row r="67" spans="10:39" x14ac:dyDescent="0.25">
      <c r="J67" t="s">
        <v>419</v>
      </c>
      <c r="K67" s="64" t="s">
        <v>453</v>
      </c>
      <c r="L67" s="65">
        <f>VLOOKUP($J67,output!$A$9:$AI$2200,L$1-$L$1+2)</f>
        <v>0</v>
      </c>
      <c r="M67" s="65">
        <f>VLOOKUP($J67,output!$A$9:$AI$2200,M$1-$L$1+2)</f>
        <v>600.85699999999997</v>
      </c>
      <c r="N67" s="65">
        <f>VLOOKUP($J67,output!$A$9:$AI$2200,N$1-$L$1+2)</f>
        <v>435.21600000000001</v>
      </c>
      <c r="O67" s="65">
        <f>VLOOKUP($J67,output!$A$9:$AI$2200,O$1-$L$1+2)</f>
        <v>624.22199999999998</v>
      </c>
      <c r="P67" s="65">
        <f>VLOOKUP($J67,output!$A$9:$AI$2200,P$1-$L$1+2)</f>
        <v>673.15200000000004</v>
      </c>
      <c r="Q67" s="65">
        <f>VLOOKUP($J67,output!$A$9:$AI$2200,Q$1-$L$1+2)</f>
        <v>685.49099999999999</v>
      </c>
      <c r="R67" s="65">
        <f>VLOOKUP($J67,output!$A$9:$AI$2200,R$1-$L$1+2)</f>
        <v>664.053</v>
      </c>
      <c r="S67" s="65">
        <f>VLOOKUP($J67,output!$A$9:$AI$2200,S$1-$L$1+2)</f>
        <v>710.43600000000004</v>
      </c>
      <c r="T67" s="65">
        <f>VLOOKUP($J67,output!$A$9:$AI$2200,T$1-$L$1+2)</f>
        <v>934.53099999999995</v>
      </c>
      <c r="U67" s="65">
        <f>VLOOKUP($J67,output!$A$9:$AI$2200,U$1-$L$1+2)</f>
        <v>880.7</v>
      </c>
      <c r="V67" s="65">
        <f>VLOOKUP($J67,output!$A$9:$AI$2200,V$1-$L$1+2)</f>
        <v>852.71100000000001</v>
      </c>
      <c r="W67" s="65">
        <f>VLOOKUP($J67,output!$A$9:$AI$2200,W$1-$L$1+2)</f>
        <v>866.88699999999994</v>
      </c>
      <c r="X67" s="65">
        <f>VLOOKUP($J67,output!$A$9:$AI$2200,X$1-$L$1+2)</f>
        <v>831.27499999999998</v>
      </c>
      <c r="Y67" s="65">
        <f>VLOOKUP($J67,output!$A$9:$AI$2200,Y$1-$L$1+2)</f>
        <v>828.06100000000004</v>
      </c>
      <c r="Z67" s="65">
        <f>VLOOKUP($J67,output!$A$9:$AI$2200,Z$1-$L$1+2)</f>
        <v>1249.94</v>
      </c>
      <c r="AA67" s="65">
        <f>VLOOKUP($J67,output!$A$9:$AI$2200,AA$1-$L$1+2)</f>
        <v>1187.1849999999999</v>
      </c>
      <c r="AB67" s="65">
        <f>VLOOKUP($J67,output!$A$9:$AI$2200,AB$1-$L$1+2)</f>
        <v>1164.289</v>
      </c>
      <c r="AC67" s="65">
        <f>VLOOKUP($J67,output!$A$9:$AI$2200,AC$1-$L$1+2)</f>
        <v>1411.4090000000001</v>
      </c>
      <c r="AD67" s="65">
        <f>VLOOKUP($J67,output!$A$9:$AI$2200,AD$1-$L$1+2)</f>
        <v>1240.482</v>
      </c>
      <c r="AE67" s="65">
        <f>VLOOKUP($J67,output!$A$9:$AI$2200,AE$1-$L$1+2)</f>
        <v>1187.8009999999999</v>
      </c>
      <c r="AF67" s="65">
        <f>VLOOKUP($J67,output!$A$9:$AI$2200,AF$1-$L$1+2)</f>
        <v>1057.498</v>
      </c>
      <c r="AG67" s="65">
        <f>VLOOKUP($J67,output!$A$9:$AI$2200,AG$1-$L$1+2)</f>
        <v>1059.9280000000001</v>
      </c>
      <c r="AH67" s="65">
        <f>VLOOKUP($J67,output!$A$9:$AI$2200,AH$1-$L$1+2)</f>
        <v>1009.215</v>
      </c>
      <c r="AI67" s="65">
        <f>VLOOKUP($J67,output!$A$9:$AI$2200,AI$1-$L$1+2)</f>
        <v>962.01300000000003</v>
      </c>
      <c r="AJ67" s="65">
        <f>VLOOKUP($J67,output!$A$9:$AI$2200,AJ$1-$L$1+2)</f>
        <v>917.62599999999998</v>
      </c>
      <c r="AK67" s="65">
        <f>VLOOKUP($J67,output!$A$9:$AI$2200,AK$1-$L$1+2)</f>
        <v>876.84199999999998</v>
      </c>
      <c r="AL67" s="65">
        <f>VLOOKUP($J67,output!$A$9:$AI$2200,AL$1-$L$1+2)</f>
        <v>838.50099999999998</v>
      </c>
      <c r="AM67" s="65">
        <f>VLOOKUP($J67,output!$A$9:$AI$2200,AM$1-$L$1+2)</f>
        <v>803.86300000000006</v>
      </c>
    </row>
    <row r="68" spans="10:39" x14ac:dyDescent="0.25">
      <c r="L68" s="11"/>
      <c r="M68" s="11"/>
      <c r="N68" s="11"/>
      <c r="O68" s="11"/>
      <c r="P68" s="11"/>
      <c r="Q68" s="11"/>
      <c r="R68" s="11"/>
    </row>
    <row r="69" spans="10:39" x14ac:dyDescent="0.25">
      <c r="J69" t="s">
        <v>207</v>
      </c>
      <c r="R69" t="e">
        <f t="shared" ref="R69:AM69" si="20">R25*1000/R59</f>
        <v>#DIV/0!</v>
      </c>
      <c r="S69" t="e">
        <f t="shared" si="20"/>
        <v>#DIV/0!</v>
      </c>
      <c r="T69" t="e">
        <f t="shared" si="20"/>
        <v>#DIV/0!</v>
      </c>
      <c r="U69" t="e">
        <f t="shared" si="20"/>
        <v>#DIV/0!</v>
      </c>
      <c r="V69" t="e">
        <f t="shared" si="20"/>
        <v>#DIV/0!</v>
      </c>
      <c r="W69" t="e">
        <f t="shared" si="20"/>
        <v>#DIV/0!</v>
      </c>
      <c r="X69" t="e">
        <f t="shared" si="20"/>
        <v>#DIV/0!</v>
      </c>
      <c r="Y69" t="e">
        <f t="shared" si="20"/>
        <v>#DIV/0!</v>
      </c>
      <c r="Z69" t="e">
        <f t="shared" si="20"/>
        <v>#DIV/0!</v>
      </c>
      <c r="AA69" t="e">
        <f t="shared" si="20"/>
        <v>#DIV/0!</v>
      </c>
      <c r="AB69" t="e">
        <f t="shared" si="20"/>
        <v>#DIV/0!</v>
      </c>
      <c r="AC69" t="e">
        <f t="shared" si="20"/>
        <v>#DIV/0!</v>
      </c>
      <c r="AD69" t="e">
        <f t="shared" si="20"/>
        <v>#DIV/0!</v>
      </c>
      <c r="AE69" t="e">
        <f t="shared" si="20"/>
        <v>#DIV/0!</v>
      </c>
      <c r="AF69" t="e">
        <f t="shared" si="20"/>
        <v>#DIV/0!</v>
      </c>
      <c r="AG69" t="e">
        <f t="shared" si="20"/>
        <v>#DIV/0!</v>
      </c>
      <c r="AH69" t="e">
        <f t="shared" si="20"/>
        <v>#DIV/0!</v>
      </c>
      <c r="AI69" t="e">
        <f t="shared" si="20"/>
        <v>#DIV/0!</v>
      </c>
      <c r="AJ69" t="e">
        <f t="shared" si="20"/>
        <v>#DIV/0!</v>
      </c>
      <c r="AK69" t="e">
        <f t="shared" si="20"/>
        <v>#DIV/0!</v>
      </c>
      <c r="AL69" t="e">
        <f t="shared" si="20"/>
        <v>#DIV/0!</v>
      </c>
      <c r="AM69" t="e">
        <f t="shared" si="20"/>
        <v>#DIV/0!</v>
      </c>
    </row>
    <row r="70" spans="10:39" x14ac:dyDescent="0.25">
      <c r="P70" t="s">
        <v>283</v>
      </c>
      <c r="R70">
        <v>0.62346638677486566</v>
      </c>
      <c r="S70">
        <v>0.63096400164792943</v>
      </c>
      <c r="T70">
        <v>0.63765718559167162</v>
      </c>
      <c r="U70">
        <v>0.70404858926883684</v>
      </c>
      <c r="V70">
        <v>0.71194831764191802</v>
      </c>
      <c r="W70">
        <v>0.72318968241109571</v>
      </c>
      <c r="X70">
        <v>0.79155525397127935</v>
      </c>
      <c r="Y70">
        <v>0.79857176123573703</v>
      </c>
      <c r="Z70">
        <v>0.80324428690171346</v>
      </c>
      <c r="AA70">
        <v>0.80163558516290601</v>
      </c>
      <c r="AB70">
        <v>0.80874274589331629</v>
      </c>
      <c r="AC70">
        <v>0.81087653811119731</v>
      </c>
      <c r="AD70">
        <v>0.84134557709748581</v>
      </c>
      <c r="AE70">
        <v>0.795239212280623</v>
      </c>
      <c r="AF70">
        <v>0.94339064653311333</v>
      </c>
      <c r="AG70">
        <v>1.04147450711529</v>
      </c>
      <c r="AH70">
        <v>1.0459087329353658</v>
      </c>
      <c r="AI70">
        <v>0.89886164300647442</v>
      </c>
      <c r="AJ70">
        <v>0.93009790262922953</v>
      </c>
      <c r="AK70">
        <v>0.93704481220910785</v>
      </c>
      <c r="AL70">
        <v>0.96926276022030833</v>
      </c>
      <c r="AM70">
        <v>0.97747023084194473</v>
      </c>
    </row>
    <row r="71" spans="10:39" x14ac:dyDescent="0.25">
      <c r="R71" s="26"/>
    </row>
    <row r="73" spans="10:39" x14ac:dyDescent="0.25">
      <c r="J73" s="2" t="s">
        <v>444</v>
      </c>
    </row>
    <row r="75" spans="10:39" ht="30" x14ac:dyDescent="0.25">
      <c r="J75" t="s">
        <v>445</v>
      </c>
      <c r="K75" s="19" t="s">
        <v>447</v>
      </c>
      <c r="L75" s="31">
        <f>'Switch heater '!L49+'Switch heater '!L50+'Switch heater '!L54</f>
        <v>1508.1360000000002</v>
      </c>
      <c r="M75" s="31">
        <f>'Switch heater '!M49+'Switch heater '!M50+'Switch heater '!M54</f>
        <v>1573.1839999999997</v>
      </c>
      <c r="N75" s="31">
        <f>'Switch heater '!N49+'Switch heater '!N50+'Switch heater '!N54</f>
        <v>1399.8690000000001</v>
      </c>
      <c r="O75" s="31">
        <f>'Switch heater '!O49+'Switch heater '!O50+'Switch heater '!O54</f>
        <v>1455.9179999999999</v>
      </c>
      <c r="P75" s="31">
        <f>'Switch heater '!P49+'Switch heater '!P50+'Switch heater '!P54</f>
        <v>1321.9470000000001</v>
      </c>
      <c r="Q75" s="31">
        <f>'Switch heater '!Q49+'Switch heater '!Q50+'Switch heater '!Q54</f>
        <v>1170.9180000000001</v>
      </c>
      <c r="R75" s="31">
        <f>'Switch heater '!R49+'Switch heater '!R54</f>
        <v>714.25300000000004</v>
      </c>
      <c r="S75" s="31">
        <f>'Switch heater '!S49+'Switch heater '!S54</f>
        <v>804.93700000000001</v>
      </c>
      <c r="T75" s="31">
        <f>'Switch heater '!T49+'Switch heater '!T54</f>
        <v>762.57299999999998</v>
      </c>
      <c r="U75" s="31">
        <f>'Switch heater '!U49+'Switch heater '!U54</f>
        <v>795.21800000000007</v>
      </c>
      <c r="V75" s="31">
        <f>'Switch heater '!V49+'Switch heater '!V54</f>
        <v>832.85400000000004</v>
      </c>
      <c r="W75" s="31">
        <f>'Switch heater '!W49+'Switch heater '!W54</f>
        <v>868.86</v>
      </c>
      <c r="X75" s="31">
        <f>'Switch heater '!X49+'Switch heater '!X54</f>
        <v>744.524</v>
      </c>
      <c r="Y75" s="31">
        <f>'Switch heater '!Y49+'Switch heater '!Y54</f>
        <v>785.14499999999998</v>
      </c>
      <c r="Z75" s="31">
        <f>'Switch heater '!Z49+'Switch heater '!Z54</f>
        <v>805.16000000000008</v>
      </c>
      <c r="AA75" s="31">
        <f>'Switch heater '!AA49+'Switch heater '!AA54</f>
        <v>757.65100000000007</v>
      </c>
      <c r="AB75" s="31">
        <f>'Switch heater '!AB49+'Switch heater '!AB54</f>
        <v>836.06299999999999</v>
      </c>
      <c r="AC75" s="31">
        <f>'Switch heater '!AC49+'Switch heater '!AC54</f>
        <v>765.22700000000009</v>
      </c>
      <c r="AD75" s="31">
        <f>'Switch heater '!AD49+'Switch heater '!AD54</f>
        <v>759.21499999999992</v>
      </c>
      <c r="AE75" s="31">
        <f>'Switch heater '!AE49+'Switch heater '!AE54</f>
        <v>718.399</v>
      </c>
      <c r="AF75" s="31">
        <f>'Switch heater '!AF49+'Switch heater '!AF54</f>
        <v>1099.3630000000001</v>
      </c>
      <c r="AG75" s="31">
        <f>'Switch heater '!AG49+'Switch heater '!AG54</f>
        <v>998.88800000000003</v>
      </c>
      <c r="AH75" s="31">
        <f>'Switch heater '!AH49+'Switch heater '!AH54</f>
        <v>988.16399999999999</v>
      </c>
      <c r="AI75" s="31">
        <f>'Switch heater '!AI49+'Switch heater '!AI54</f>
        <v>1013.188</v>
      </c>
      <c r="AJ75" s="31">
        <f>'Switch heater '!AJ49+'Switch heater '!AJ54</f>
        <v>976.87900000000002</v>
      </c>
      <c r="AK75" s="31">
        <f>'Switch heater '!AK49+'Switch heater '!AK54</f>
        <v>936.14200000000005</v>
      </c>
      <c r="AL75" s="31">
        <f>'Switch heater '!AL49+'Switch heater '!AL54</f>
        <v>895.91699999999992</v>
      </c>
      <c r="AM75" s="31" t="e">
        <f>'Switch heater '!#REF!+'Switch heater '!#REF!</f>
        <v>#REF!</v>
      </c>
    </row>
    <row r="76" spans="10:39" x14ac:dyDescent="0.25">
      <c r="J76" t="s">
        <v>446</v>
      </c>
      <c r="K76" t="s">
        <v>448</v>
      </c>
      <c r="L76" s="31">
        <f>'Gestes de rénovation'!L17</f>
        <v>0</v>
      </c>
      <c r="M76" s="31">
        <f>'Gestes de rénovation'!M17</f>
        <v>600.98400000000004</v>
      </c>
      <c r="N76" s="31">
        <f>'Gestes de rénovation'!N17</f>
        <v>435.21600000000001</v>
      </c>
      <c r="O76" s="31">
        <f>'Gestes de rénovation'!O17</f>
        <v>624.22199999999998</v>
      </c>
      <c r="P76" s="31">
        <f>'Gestes de rénovation'!P17</f>
        <v>673.15200000000004</v>
      </c>
      <c r="Q76" s="31">
        <f>'Gestes de rénovation'!Q17</f>
        <v>685.49099999999999</v>
      </c>
      <c r="R76" s="31">
        <f>'Gestes de rénovation'!R17</f>
        <v>664.053</v>
      </c>
      <c r="S76" s="31">
        <f>'Gestes de rénovation'!S17</f>
        <v>710.43600000000004</v>
      </c>
      <c r="T76" s="31">
        <f>'Gestes de rénovation'!T17</f>
        <v>934.53099999999995</v>
      </c>
      <c r="U76" s="31">
        <f>'Gestes de rénovation'!U17</f>
        <v>880.7</v>
      </c>
      <c r="V76" s="31">
        <f>'Gestes de rénovation'!V17</f>
        <v>852.71100000000001</v>
      </c>
      <c r="W76" s="31">
        <f>'Gestes de rénovation'!W17</f>
        <v>866.88699999999994</v>
      </c>
      <c r="X76" s="31">
        <f>'Gestes de rénovation'!X17</f>
        <v>831.27499999999998</v>
      </c>
      <c r="Y76" s="31">
        <f>'Gestes de rénovation'!Y17</f>
        <v>828.06100000000004</v>
      </c>
      <c r="Z76" s="31">
        <f>'Gestes de rénovation'!Z17</f>
        <v>1249.94</v>
      </c>
      <c r="AA76" s="31">
        <f>'Gestes de rénovation'!AA17</f>
        <v>1187.1849999999999</v>
      </c>
      <c r="AB76" s="31">
        <f>'Gestes de rénovation'!AB17</f>
        <v>1164.289</v>
      </c>
      <c r="AC76" s="31">
        <f>'Gestes de rénovation'!AC17</f>
        <v>1411.4090000000001</v>
      </c>
      <c r="AD76" s="31">
        <f>'Gestes de rénovation'!AD17</f>
        <v>1240.482</v>
      </c>
      <c r="AE76" s="31">
        <f>'Gestes de rénovation'!AE17</f>
        <v>1187.8009999999999</v>
      </c>
      <c r="AF76" s="31">
        <f>'Gestes de rénovation'!AF17</f>
        <v>1057.498</v>
      </c>
      <c r="AG76" s="31">
        <f>'Gestes de rénovation'!AG17</f>
        <v>1059.9280000000001</v>
      </c>
      <c r="AH76" s="31">
        <f>'Gestes de rénovation'!AH17</f>
        <v>1009.215</v>
      </c>
      <c r="AI76" s="31">
        <f>'Gestes de rénovation'!AI17</f>
        <v>962.01300000000003</v>
      </c>
      <c r="AJ76" s="31">
        <f>'Gestes de rénovation'!AJ17</f>
        <v>917.62599999999998</v>
      </c>
      <c r="AK76" s="31">
        <f>'Gestes de rénovation'!AK17</f>
        <v>876.84199999999998</v>
      </c>
      <c r="AL76" s="31">
        <f>'Gestes de rénovation'!AL17</f>
        <v>838.50099999999998</v>
      </c>
      <c r="AM76" s="31">
        <f>'Gestes de rénovation'!AM17</f>
        <v>803.86300000000006</v>
      </c>
    </row>
    <row r="77" spans="10:39" x14ac:dyDescent="0.25">
      <c r="J77" s="58" t="s">
        <v>456</v>
      </c>
      <c r="K77" s="56"/>
      <c r="L77" s="57">
        <f>SUM(L75:L76)</f>
        <v>1508.1360000000002</v>
      </c>
      <c r="M77" s="57">
        <f t="shared" ref="M77:AM77" si="21">SUM(M75:M76)</f>
        <v>2174.1679999999997</v>
      </c>
      <c r="N77" s="57">
        <f t="shared" si="21"/>
        <v>1835.085</v>
      </c>
      <c r="O77" s="57">
        <f t="shared" si="21"/>
        <v>2080.14</v>
      </c>
      <c r="P77" s="57">
        <f t="shared" si="21"/>
        <v>1995.0990000000002</v>
      </c>
      <c r="Q77" s="57">
        <f t="shared" si="21"/>
        <v>1856.4090000000001</v>
      </c>
      <c r="R77" s="57">
        <f t="shared" si="21"/>
        <v>1378.306</v>
      </c>
      <c r="S77" s="57">
        <f t="shared" si="21"/>
        <v>1515.373</v>
      </c>
      <c r="T77" s="57">
        <f t="shared" si="21"/>
        <v>1697.1039999999998</v>
      </c>
      <c r="U77" s="57">
        <f t="shared" si="21"/>
        <v>1675.9180000000001</v>
      </c>
      <c r="V77" s="57">
        <f t="shared" si="21"/>
        <v>1685.5650000000001</v>
      </c>
      <c r="W77" s="57">
        <f t="shared" si="21"/>
        <v>1735.7469999999998</v>
      </c>
      <c r="X77" s="57">
        <f t="shared" si="21"/>
        <v>1575.799</v>
      </c>
      <c r="Y77" s="57">
        <f t="shared" si="21"/>
        <v>1613.2060000000001</v>
      </c>
      <c r="Z77" s="57">
        <f t="shared" si="21"/>
        <v>2055.1000000000004</v>
      </c>
      <c r="AA77" s="57">
        <f t="shared" si="21"/>
        <v>1944.836</v>
      </c>
      <c r="AB77" s="57">
        <f t="shared" si="21"/>
        <v>2000.3519999999999</v>
      </c>
      <c r="AC77" s="57">
        <f t="shared" si="21"/>
        <v>2176.6360000000004</v>
      </c>
      <c r="AD77" s="57">
        <f t="shared" si="21"/>
        <v>1999.6969999999999</v>
      </c>
      <c r="AE77" s="57">
        <f t="shared" si="21"/>
        <v>1906.1999999999998</v>
      </c>
      <c r="AF77" s="57">
        <f t="shared" si="21"/>
        <v>2156.8609999999999</v>
      </c>
      <c r="AG77" s="57">
        <f t="shared" si="21"/>
        <v>2058.8160000000003</v>
      </c>
      <c r="AH77" s="57">
        <f t="shared" si="21"/>
        <v>1997.3789999999999</v>
      </c>
      <c r="AI77" s="57">
        <f t="shared" si="21"/>
        <v>1975.201</v>
      </c>
      <c r="AJ77" s="57">
        <f t="shared" si="21"/>
        <v>1894.5050000000001</v>
      </c>
      <c r="AK77" s="57">
        <f t="shared" si="21"/>
        <v>1812.9839999999999</v>
      </c>
      <c r="AL77" s="57">
        <f t="shared" si="21"/>
        <v>1734.4179999999999</v>
      </c>
      <c r="AM77" s="57" t="e">
        <f t="shared" si="21"/>
        <v>#REF!</v>
      </c>
    </row>
    <row r="78" spans="10:39" x14ac:dyDescent="0.25"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</row>
    <row r="79" spans="10:39" x14ac:dyDescent="0.25"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</row>
    <row r="81" spans="10:39" x14ac:dyDescent="0.25">
      <c r="J81" t="s">
        <v>449</v>
      </c>
    </row>
    <row r="82" spans="10:39" x14ac:dyDescent="0.25">
      <c r="J82" t="s">
        <v>382</v>
      </c>
      <c r="L82" s="33">
        <f>VLOOKUP($J82,output!$A$9:$AI$2200,L$1-$L$1+2)</f>
        <v>0</v>
      </c>
      <c r="M82" s="33">
        <f>VLOOKUP($J82,output!$A$9:$AI$2200,M$1-$L$1+2)</f>
        <v>0.03</v>
      </c>
      <c r="N82" s="33">
        <f>VLOOKUP($J82,output!$A$9:$AI$2200,N$1-$L$1+2)</f>
        <v>0</v>
      </c>
      <c r="O82" s="33">
        <f>VLOOKUP($J82,output!$A$9:$AI$2200,O$1-$L$1+2)</f>
        <v>0</v>
      </c>
      <c r="P82" s="33">
        <f>VLOOKUP($J82,output!$A$9:$AI$2200,P$1-$L$1+2)</f>
        <v>0</v>
      </c>
      <c r="Q82" s="33">
        <f>VLOOKUP($J82,output!$A$9:$AI$2200,Q$1-$L$1+2)</f>
        <v>0</v>
      </c>
      <c r="R82" s="33">
        <f>VLOOKUP($J82,output!$A$9:$AI$2200,R$1-$L$1+2)</f>
        <v>0</v>
      </c>
      <c r="S82" s="33">
        <f>VLOOKUP($J82,output!$A$9:$AI$2200,S$1-$L$1+2)</f>
        <v>0</v>
      </c>
      <c r="T82" s="33">
        <f>VLOOKUP($J82,output!$A$9:$AI$2200,T$1-$L$1+2)</f>
        <v>0</v>
      </c>
      <c r="U82" s="33">
        <f>VLOOKUP($J82,output!$A$9:$AI$2200,U$1-$L$1+2)</f>
        <v>0</v>
      </c>
      <c r="V82" s="33">
        <f>VLOOKUP($J82,output!$A$9:$AI$2200,V$1-$L$1+2)</f>
        <v>0</v>
      </c>
      <c r="W82" s="33">
        <f>VLOOKUP($J82,output!$A$9:$AI$2200,W$1-$L$1+2)</f>
        <v>0</v>
      </c>
      <c r="X82" s="33">
        <f>VLOOKUP($J82,output!$A$9:$AI$2200,X$1-$L$1+2)</f>
        <v>0</v>
      </c>
      <c r="Y82" s="33">
        <f>VLOOKUP($J82,output!$A$9:$AI$2200,Y$1-$L$1+2)</f>
        <v>0</v>
      </c>
      <c r="Z82" s="33">
        <f>VLOOKUP($J82,output!$A$9:$AI$2200,Z$1-$L$1+2)</f>
        <v>0</v>
      </c>
      <c r="AA82" s="33">
        <f>VLOOKUP($J82,output!$A$9:$AI$2200,AA$1-$L$1+2)</f>
        <v>0</v>
      </c>
      <c r="AB82" s="33">
        <f>VLOOKUP($J82,output!$A$9:$AI$2200,AB$1-$L$1+2)</f>
        <v>0</v>
      </c>
      <c r="AC82" s="33">
        <f>VLOOKUP($J82,output!$A$9:$AI$2200,AC$1-$L$1+2)</f>
        <v>0</v>
      </c>
      <c r="AD82" s="33">
        <f>VLOOKUP($J82,output!$A$9:$AI$2200,AD$1-$L$1+2)</f>
        <v>0</v>
      </c>
      <c r="AE82" s="33">
        <f>VLOOKUP($J82,output!$A$9:$AI$2200,AE$1-$L$1+2)</f>
        <v>0</v>
      </c>
      <c r="AF82" s="33">
        <f>VLOOKUP($J82,output!$A$9:$AI$2200,AF$1-$L$1+2)</f>
        <v>0</v>
      </c>
      <c r="AG82" s="33">
        <f>VLOOKUP($J82,output!$A$9:$AI$2200,AG$1-$L$1+2)</f>
        <v>0</v>
      </c>
      <c r="AH82" s="33">
        <f>VLOOKUP($J82,output!$A$9:$AI$2200,AH$1-$L$1+2)</f>
        <v>0</v>
      </c>
      <c r="AI82" s="33">
        <f>VLOOKUP($J82,output!$A$9:$AI$2200,AI$1-$L$1+2)</f>
        <v>0</v>
      </c>
      <c r="AJ82" s="33">
        <f>VLOOKUP($J82,output!$A$9:$AI$2200,AJ$1-$L$1+2)</f>
        <v>0</v>
      </c>
      <c r="AK82" s="33">
        <f>VLOOKUP($J82,output!$A$9:$AI$2200,AK$1-$L$1+2)</f>
        <v>0</v>
      </c>
      <c r="AL82" s="33">
        <f>VLOOKUP($J82,output!$A$9:$AI$2200,AL$1-$L$1+2)</f>
        <v>0</v>
      </c>
      <c r="AM82" s="33">
        <f>VLOOKUP($J82,output!$A$9:$AI$2200,AM$1-$L$1+2)</f>
        <v>0</v>
      </c>
    </row>
    <row r="83" spans="10:39" x14ac:dyDescent="0.25">
      <c r="J83" s="43" t="s">
        <v>451</v>
      </c>
      <c r="L83" s="26">
        <f>VLOOKUP($J83,output!$A$9:$AI$2200,L$1-$L$1+2)</f>
        <v>0</v>
      </c>
      <c r="M83" s="26">
        <f>VLOOKUP($J83,output!$A$9:$AI$2200,M$1-$L$1+2)</f>
        <v>90.516999999999996</v>
      </c>
      <c r="N83" s="26">
        <f>VLOOKUP($J83,output!$A$9:$AI$2200,N$1-$L$1+2)</f>
        <v>0</v>
      </c>
      <c r="O83" s="26">
        <f>VLOOKUP($J83,output!$A$9:$AI$2200,O$1-$L$1+2)</f>
        <v>0</v>
      </c>
      <c r="P83" s="26">
        <f>VLOOKUP($J83,output!$A$9:$AI$2200,P$1-$L$1+2)</f>
        <v>0</v>
      </c>
      <c r="Q83" s="26">
        <f>VLOOKUP($J83,output!$A$9:$AI$2200,Q$1-$L$1+2)</f>
        <v>0</v>
      </c>
      <c r="R83" s="26">
        <f>VLOOKUP($J83,output!$A$9:$AI$2200,R$1-$L$1+2)</f>
        <v>0</v>
      </c>
      <c r="S83" s="26">
        <f>VLOOKUP($J83,output!$A$9:$AI$2200,S$1-$L$1+2)</f>
        <v>0</v>
      </c>
      <c r="T83" s="26">
        <f>VLOOKUP($J83,output!$A$9:$AI$2200,T$1-$L$1+2)</f>
        <v>0</v>
      </c>
      <c r="U83" s="26">
        <f>VLOOKUP($J83,output!$A$9:$AI$2200,U$1-$L$1+2)</f>
        <v>0</v>
      </c>
      <c r="V83" s="26">
        <f>VLOOKUP($J83,output!$A$9:$AI$2200,V$1-$L$1+2)</f>
        <v>0</v>
      </c>
      <c r="W83" s="26">
        <f>VLOOKUP($J83,output!$A$9:$AI$2200,W$1-$L$1+2)</f>
        <v>0</v>
      </c>
      <c r="X83" s="26">
        <f>VLOOKUP($J83,output!$A$9:$AI$2200,X$1-$L$1+2)</f>
        <v>0</v>
      </c>
      <c r="Y83" s="26">
        <f>VLOOKUP($J83,output!$A$9:$AI$2200,Y$1-$L$1+2)</f>
        <v>0</v>
      </c>
      <c r="Z83" s="26">
        <f>VLOOKUP($J83,output!$A$9:$AI$2200,Z$1-$L$1+2)</f>
        <v>0</v>
      </c>
      <c r="AA83" s="26">
        <f>VLOOKUP($J83,output!$A$9:$AI$2200,AA$1-$L$1+2)</f>
        <v>0</v>
      </c>
      <c r="AB83" s="26">
        <f>VLOOKUP($J83,output!$A$9:$AI$2200,AB$1-$L$1+2)</f>
        <v>0</v>
      </c>
      <c r="AC83" s="26">
        <f>VLOOKUP($J83,output!$A$9:$AI$2200,AC$1-$L$1+2)</f>
        <v>0</v>
      </c>
      <c r="AD83" s="26">
        <f>VLOOKUP($J83,output!$A$9:$AI$2200,AD$1-$L$1+2)</f>
        <v>0</v>
      </c>
      <c r="AE83" s="26">
        <f>VLOOKUP($J83,output!$A$9:$AI$2200,AE$1-$L$1+2)</f>
        <v>0</v>
      </c>
      <c r="AF83" s="26">
        <f>VLOOKUP($J83,output!$A$9:$AI$2200,AF$1-$L$1+2)</f>
        <v>0</v>
      </c>
      <c r="AG83" s="26">
        <f>VLOOKUP($J83,output!$A$9:$AI$2200,AG$1-$L$1+2)</f>
        <v>0</v>
      </c>
      <c r="AH83" s="26">
        <f>VLOOKUP($J83,output!$A$9:$AI$2200,AH$1-$L$1+2)</f>
        <v>0</v>
      </c>
      <c r="AI83" s="26">
        <f>VLOOKUP($J83,output!$A$9:$AI$2200,AI$1-$L$1+2)</f>
        <v>0</v>
      </c>
      <c r="AJ83" s="26">
        <f>VLOOKUP($J83,output!$A$9:$AI$2200,AJ$1-$L$1+2)</f>
        <v>0</v>
      </c>
      <c r="AK83" s="26">
        <f>VLOOKUP($J83,output!$A$9:$AI$2200,AK$1-$L$1+2)</f>
        <v>0</v>
      </c>
      <c r="AL83" s="26">
        <f>VLOOKUP($J83,output!$A$9:$AI$2200,AL$1-$L$1+2)</f>
        <v>0</v>
      </c>
      <c r="AM83" s="26">
        <f>VLOOKUP($J83,output!$A$9:$AI$2200,AM$1-$L$1+2)</f>
        <v>0</v>
      </c>
    </row>
    <row r="84" spans="10:39" x14ac:dyDescent="0.25">
      <c r="J84" s="43" t="s">
        <v>452</v>
      </c>
      <c r="L84" s="26">
        <f>VLOOKUP($J84,output!$A$9:$AI$2200,L$1-$L$1+2)</f>
        <v>0</v>
      </c>
      <c r="M84" s="26">
        <f>VLOOKUP($J84,output!$A$9:$AI$2200,M$1-$L$1+2)</f>
        <v>60.067999999999998</v>
      </c>
      <c r="N84" s="26">
        <f>VLOOKUP($J84,output!$A$9:$AI$2200,N$1-$L$1+2)</f>
        <v>0</v>
      </c>
      <c r="O84" s="26">
        <f>VLOOKUP($J84,output!$A$9:$AI$2200,O$1-$L$1+2)</f>
        <v>0</v>
      </c>
      <c r="P84" s="26">
        <f>VLOOKUP($J84,output!$A$9:$AI$2200,P$1-$L$1+2)</f>
        <v>0</v>
      </c>
      <c r="Q84" s="26">
        <f>VLOOKUP($J84,output!$A$9:$AI$2200,Q$1-$L$1+2)</f>
        <v>0</v>
      </c>
      <c r="R84" s="26">
        <f>VLOOKUP($J84,output!$A$9:$AI$2200,R$1-$L$1+2)</f>
        <v>0</v>
      </c>
      <c r="S84" s="26">
        <f>VLOOKUP($J84,output!$A$9:$AI$2200,S$1-$L$1+2)</f>
        <v>0</v>
      </c>
      <c r="T84" s="26">
        <f>VLOOKUP($J84,output!$A$9:$AI$2200,T$1-$L$1+2)</f>
        <v>0</v>
      </c>
      <c r="U84" s="26">
        <f>VLOOKUP($J84,output!$A$9:$AI$2200,U$1-$L$1+2)</f>
        <v>0</v>
      </c>
      <c r="V84" s="26">
        <f>VLOOKUP($J84,output!$A$9:$AI$2200,V$1-$L$1+2)</f>
        <v>0</v>
      </c>
      <c r="W84" s="26">
        <f>VLOOKUP($J84,output!$A$9:$AI$2200,W$1-$L$1+2)</f>
        <v>0</v>
      </c>
      <c r="X84" s="26">
        <f>VLOOKUP($J84,output!$A$9:$AI$2200,X$1-$L$1+2)</f>
        <v>0</v>
      </c>
      <c r="Y84" s="26">
        <f>VLOOKUP($J84,output!$A$9:$AI$2200,Y$1-$L$1+2)</f>
        <v>0</v>
      </c>
      <c r="Z84" s="26">
        <f>VLOOKUP($J84,output!$A$9:$AI$2200,Z$1-$L$1+2)</f>
        <v>0</v>
      </c>
      <c r="AA84" s="26">
        <f>VLOOKUP($J84,output!$A$9:$AI$2200,AA$1-$L$1+2)</f>
        <v>0</v>
      </c>
      <c r="AB84" s="26">
        <f>VLOOKUP($J84,output!$A$9:$AI$2200,AB$1-$L$1+2)</f>
        <v>0</v>
      </c>
      <c r="AC84" s="26">
        <f>VLOOKUP($J84,output!$A$9:$AI$2200,AC$1-$L$1+2)</f>
        <v>0</v>
      </c>
      <c r="AD84" s="26">
        <f>VLOOKUP($J84,output!$A$9:$AI$2200,AD$1-$L$1+2)</f>
        <v>0</v>
      </c>
      <c r="AE84" s="26">
        <f>VLOOKUP($J84,output!$A$9:$AI$2200,AE$1-$L$1+2)</f>
        <v>0</v>
      </c>
      <c r="AF84" s="26">
        <f>VLOOKUP($J84,output!$A$9:$AI$2200,AF$1-$L$1+2)</f>
        <v>0</v>
      </c>
      <c r="AG84" s="26">
        <f>VLOOKUP($J84,output!$A$9:$AI$2200,AG$1-$L$1+2)</f>
        <v>0</v>
      </c>
      <c r="AH84" s="26">
        <f>VLOOKUP($J84,output!$A$9:$AI$2200,AH$1-$L$1+2)</f>
        <v>0</v>
      </c>
      <c r="AI84" s="26">
        <f>VLOOKUP($J84,output!$A$9:$AI$2200,AI$1-$L$1+2)</f>
        <v>0</v>
      </c>
      <c r="AJ84" s="26">
        <f>VLOOKUP($J84,output!$A$9:$AI$2200,AJ$1-$L$1+2)</f>
        <v>0</v>
      </c>
      <c r="AK84" s="26">
        <f>VLOOKUP($J84,output!$A$9:$AI$2200,AK$1-$L$1+2)</f>
        <v>0</v>
      </c>
      <c r="AL84" s="26">
        <f>VLOOKUP($J84,output!$A$9:$AI$2200,AL$1-$L$1+2)</f>
        <v>0</v>
      </c>
      <c r="AM84" s="26">
        <f>VLOOKUP($J84,output!$A$9:$AI$2200,AM$1-$L$1+2)</f>
        <v>0</v>
      </c>
    </row>
    <row r="85" spans="10:39" x14ac:dyDescent="0.25">
      <c r="J85" s="43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3FC8-EFA6-4A05-91D9-9C065A919500}">
  <dimension ref="I1:AL68"/>
  <sheetViews>
    <sheetView zoomScale="85" zoomScaleNormal="85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J25" sqref="J25"/>
    </sheetView>
  </sheetViews>
  <sheetFormatPr baseColWidth="10" defaultRowHeight="15" x14ac:dyDescent="0.25"/>
  <cols>
    <col min="9" max="9" width="22.28515625" customWidth="1"/>
    <col min="10" max="10" width="69.85546875" bestFit="1" customWidth="1"/>
  </cols>
  <sheetData>
    <row r="1" spans="10:38" x14ac:dyDescent="0.25"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  <c r="V1" s="2">
        <v>2034</v>
      </c>
      <c r="W1" s="2">
        <v>2035</v>
      </c>
      <c r="X1" s="2">
        <v>2036</v>
      </c>
      <c r="Y1" s="2">
        <v>2037</v>
      </c>
      <c r="Z1" s="2">
        <v>2038</v>
      </c>
      <c r="AA1" s="2">
        <v>2039</v>
      </c>
      <c r="AB1" s="2">
        <v>2040</v>
      </c>
      <c r="AC1" s="2">
        <v>2041</v>
      </c>
      <c r="AD1" s="2">
        <v>2042</v>
      </c>
      <c r="AE1" s="2">
        <v>2043</v>
      </c>
      <c r="AF1" s="2">
        <v>2044</v>
      </c>
      <c r="AG1" s="2">
        <v>2045</v>
      </c>
      <c r="AH1" s="2">
        <v>2046</v>
      </c>
      <c r="AI1" s="2">
        <v>2047</v>
      </c>
      <c r="AJ1" s="2">
        <v>2048</v>
      </c>
      <c r="AK1" s="2">
        <v>2049</v>
      </c>
      <c r="AL1" s="2">
        <v>2050</v>
      </c>
    </row>
    <row r="2" spans="10:38" x14ac:dyDescent="0.25">
      <c r="J2" t="s">
        <v>327</v>
      </c>
      <c r="K2" s="11">
        <f>VLOOKUP($J2,output!$A$9:$AI$2200,K$1-$L$1+3)</f>
        <v>0</v>
      </c>
      <c r="L2" s="11">
        <f>VLOOKUP($J2,output!$A$9:$AI$2200,L$1-$L$1+3)</f>
        <v>605.49400000000003</v>
      </c>
      <c r="M2" s="11">
        <f>VLOOKUP($J2,output!$A$9:$AI$2200,M$1-$L$1+3)</f>
        <v>514.27200000000005</v>
      </c>
      <c r="N2" s="11">
        <f>VLOOKUP($J2,output!$A$9:$AI$2200,N$1-$L$1+3)</f>
        <v>473.10199999999998</v>
      </c>
      <c r="O2" s="11">
        <f>VLOOKUP($J2,output!$A$9:$AI$2200,O$1-$L$1+3)</f>
        <v>531.97699999999998</v>
      </c>
      <c r="P2" s="11">
        <f>VLOOKUP($J2,output!$A$9:$AI$2200,P$1-$L$1+3)</f>
        <v>499.55200000000002</v>
      </c>
      <c r="Q2" s="11">
        <f>VLOOKUP($J2,output!$A$9:$AI$2200,Q$1-$L$1+3)</f>
        <v>461.78300000000002</v>
      </c>
      <c r="R2" s="11">
        <f>VLOOKUP($J2,output!$A$9:$AI$2200,R$1-$L$1+3)</f>
        <v>425.16399999999999</v>
      </c>
      <c r="S2" s="11">
        <f>VLOOKUP($J2,output!$A$9:$AI$2200,S$1-$L$1+3)</f>
        <v>513.226</v>
      </c>
      <c r="T2" s="11">
        <f>VLOOKUP($J2,output!$A$9:$AI$2200,T$1-$L$1+3)</f>
        <v>471.50700000000001</v>
      </c>
      <c r="U2" s="11">
        <f>VLOOKUP($J2,output!$A$9:$AI$2200,U$1-$L$1+3)</f>
        <v>502.40300000000002</v>
      </c>
      <c r="V2" s="11">
        <f>VLOOKUP($J2,output!$A$9:$AI$2200,V$1-$L$1+3)</f>
        <v>537.89200000000005</v>
      </c>
      <c r="W2" s="11">
        <f>VLOOKUP($J2,output!$A$9:$AI$2200,W$1-$L$1+3)</f>
        <v>573.60799999999995</v>
      </c>
      <c r="X2" s="11">
        <f>VLOOKUP($J2,output!$A$9:$AI$2200,X$1-$L$1+3)</f>
        <v>450.96</v>
      </c>
      <c r="Y2" s="11">
        <f>VLOOKUP($J2,output!$A$9:$AI$2200,Y$1-$L$1+3)</f>
        <v>491.04300000000001</v>
      </c>
      <c r="Z2" s="11">
        <f>VLOOKUP($J2,output!$A$9:$AI$2200,Z$1-$L$1+3)</f>
        <v>510.65499999999997</v>
      </c>
      <c r="AA2" s="11">
        <f>VLOOKUP($J2,output!$A$9:$AI$2200,AA$1-$L$1+3)</f>
        <v>464.37299999999999</v>
      </c>
      <c r="AB2" s="11">
        <f>VLOOKUP($J2,output!$A$9:$AI$2200,AB$1-$L$1+3)</f>
        <v>540.43200000000002</v>
      </c>
      <c r="AC2" s="11">
        <f>VLOOKUP($J2,output!$A$9:$AI$2200,AC$1-$L$1+3)</f>
        <v>472.19</v>
      </c>
      <c r="AD2" s="11">
        <f>VLOOKUP($J2,output!$A$9:$AI$2200,AD$1-$L$1+3)</f>
        <v>466.50099999999998</v>
      </c>
      <c r="AE2" s="11">
        <f>VLOOKUP($J2,output!$A$9:$AI$2200,AE$1-$L$1+3)</f>
        <v>431.47199999999998</v>
      </c>
      <c r="AF2" s="11">
        <f>VLOOKUP($J2,output!$A$9:$AI$2200,AF$1-$L$1+3)</f>
        <v>200.83099999999999</v>
      </c>
      <c r="AG2" s="11">
        <f>VLOOKUP($J2,output!$A$9:$AI$2200,AG$1-$L$1+3)</f>
        <v>196.84899999999999</v>
      </c>
      <c r="AH2" s="11">
        <f>VLOOKUP($J2,output!$A$9:$AI$2200,AH$1-$L$1+3)</f>
        <v>225.762</v>
      </c>
      <c r="AI2" s="11">
        <f>VLOOKUP($J2,output!$A$9:$AI$2200,AI$1-$L$1+3)</f>
        <v>191.565</v>
      </c>
      <c r="AJ2" s="11">
        <f>VLOOKUP($J2,output!$A$9:$AI$2200,AJ$1-$L$1+3)</f>
        <v>188.541</v>
      </c>
      <c r="AK2" s="11">
        <f>VLOOKUP($J2,output!$A$9:$AI$2200,AK$1-$L$1+3)</f>
        <v>187.089</v>
      </c>
      <c r="AL2" s="11">
        <f>VLOOKUP($J2,output!$A$9:$AI$2200,AL$1-$L$1+3)</f>
        <v>184.57599999999999</v>
      </c>
    </row>
    <row r="3" spans="10:38" x14ac:dyDescent="0.25">
      <c r="J3" t="s">
        <v>333</v>
      </c>
      <c r="K3" s="11">
        <f>VLOOKUP($J3,output!$A$9:$AI$2200,K$1-$L$1+3)</f>
        <v>0</v>
      </c>
      <c r="L3" s="11">
        <f>VLOOKUP($J3,output!$A$9:$AI$2200,L$1-$L$1+3)</f>
        <v>321.32299999999998</v>
      </c>
      <c r="M3" s="11">
        <f>VLOOKUP($J3,output!$A$9:$AI$2200,M$1-$L$1+3)</f>
        <v>446.85</v>
      </c>
      <c r="N3" s="11">
        <f>VLOOKUP($J3,output!$A$9:$AI$2200,N$1-$L$1+3)</f>
        <v>415.19499999999999</v>
      </c>
      <c r="O3" s="11">
        <f>VLOOKUP($J3,output!$A$9:$AI$2200,O$1-$L$1+3)</f>
        <v>455.91899999999998</v>
      </c>
      <c r="P3" s="11">
        <f>VLOOKUP($J3,output!$A$9:$AI$2200,P$1-$L$1+3)</f>
        <v>429.78800000000001</v>
      </c>
      <c r="Q3" s="11">
        <f>VLOOKUP($J3,output!$A$9:$AI$2200,Q$1-$L$1+3)</f>
        <v>399.298</v>
      </c>
      <c r="R3" s="11">
        <f>VLOOKUP($J3,output!$A$9:$AI$2200,R$1-$L$1+3)</f>
        <v>370.16300000000001</v>
      </c>
      <c r="S3" s="11">
        <f>VLOOKUP($J3,output!$A$9:$AI$2200,S$1-$L$1+3)</f>
        <v>432.85</v>
      </c>
      <c r="T3" s="11">
        <f>VLOOKUP($J3,output!$A$9:$AI$2200,T$1-$L$1+3)</f>
        <v>400.22699999999998</v>
      </c>
      <c r="U3" s="11">
        <f>VLOOKUP($J3,output!$A$9:$AI$2200,U$1-$L$1+3)</f>
        <v>421.19299999999998</v>
      </c>
      <c r="V3" s="11">
        <f>VLOOKUP($J3,output!$A$9:$AI$2200,V$1-$L$1+3)</f>
        <v>445.66699999999997</v>
      </c>
      <c r="W3" s="11">
        <f>VLOOKUP($J3,output!$A$9:$AI$2200,W$1-$L$1+3)</f>
        <v>468.815</v>
      </c>
      <c r="X3" s="11">
        <f>VLOOKUP($J3,output!$A$9:$AI$2200,X$1-$L$1+3)</f>
        <v>387.40100000000001</v>
      </c>
      <c r="Y3" s="11">
        <f>VLOOKUP($J3,output!$A$9:$AI$2200,Y$1-$L$1+3)</f>
        <v>415.74099999999999</v>
      </c>
      <c r="Z3" s="11">
        <f>VLOOKUP($J3,output!$A$9:$AI$2200,Z$1-$L$1+3)</f>
        <v>429.72500000000002</v>
      </c>
      <c r="AA3" s="11">
        <f>VLOOKUP($J3,output!$A$9:$AI$2200,AA$1-$L$1+3)</f>
        <v>398.53300000000002</v>
      </c>
      <c r="AB3" s="11">
        <f>VLOOKUP($J3,output!$A$9:$AI$2200,AB$1-$L$1+3)</f>
        <v>451.92099999999999</v>
      </c>
      <c r="AC3" s="11">
        <f>VLOOKUP($J3,output!$A$9:$AI$2200,AC$1-$L$1+3)</f>
        <v>404.214</v>
      </c>
      <c r="AD3" s="11">
        <f>VLOOKUP($J3,output!$A$9:$AI$2200,AD$1-$L$1+3)</f>
        <v>400.43799999999999</v>
      </c>
      <c r="AE3" s="11">
        <f>VLOOKUP($J3,output!$A$9:$AI$2200,AE$1-$L$1+3)</f>
        <v>373.363</v>
      </c>
      <c r="AF3" s="11">
        <f>VLOOKUP($J3,output!$A$9:$AI$2200,AF$1-$L$1+3)</f>
        <v>600.35</v>
      </c>
      <c r="AG3" s="11">
        <f>VLOOKUP($J3,output!$A$9:$AI$2200,AG$1-$L$1+3)</f>
        <v>608.10599999999999</v>
      </c>
      <c r="AH3" s="11">
        <f>VLOOKUP($J3,output!$A$9:$AI$2200,AH$1-$L$1+3)</f>
        <v>597.33100000000002</v>
      </c>
      <c r="AI3" s="11">
        <f>VLOOKUP($J3,output!$A$9:$AI$2200,AI$1-$L$1+3)</f>
        <v>616.90200000000004</v>
      </c>
      <c r="AJ3" s="11">
        <f>VLOOKUP($J3,output!$A$9:$AI$2200,AJ$1-$L$1+3)</f>
        <v>589.54899999999998</v>
      </c>
      <c r="AK3" s="11">
        <f>VLOOKUP($J3,output!$A$9:$AI$2200,AK$1-$L$1+3)</f>
        <v>558.75</v>
      </c>
      <c r="AL3" s="11">
        <f>VLOOKUP($J3,output!$A$9:$AI$2200,AL$1-$L$1+3)</f>
        <v>528.52200000000005</v>
      </c>
    </row>
    <row r="4" spans="10:38" x14ac:dyDescent="0.25">
      <c r="J4" t="s">
        <v>244</v>
      </c>
      <c r="K4" s="11">
        <f>VLOOKUP($J4,output!$A$9:$AI$2200,K$1-$L$1+3)</f>
        <v>0</v>
      </c>
      <c r="L4" s="11">
        <f>VLOOKUP($J4,output!$A$9:$AI$2200,L$1-$L$1+3)</f>
        <v>416.06099999999998</v>
      </c>
      <c r="M4" s="11">
        <f>VLOOKUP($J4,output!$A$9:$AI$2200,M$1-$L$1+3)</f>
        <v>207.47300000000001</v>
      </c>
      <c r="N4" s="11">
        <f>VLOOKUP($J4,output!$A$9:$AI$2200,N$1-$L$1+3)</f>
        <v>198.68299999999999</v>
      </c>
      <c r="O4" s="11">
        <f>VLOOKUP($J4,output!$A$9:$AI$2200,O$1-$L$1+3)</f>
        <v>217.56399999999999</v>
      </c>
      <c r="P4" s="11">
        <f>VLOOKUP($J4,output!$A$9:$AI$2200,P$1-$L$1+3)</f>
        <v>210.60499999999999</v>
      </c>
      <c r="Q4" s="11">
        <f>VLOOKUP($J4,output!$A$9:$AI$2200,Q$1-$L$1+3)</f>
        <v>201.822</v>
      </c>
      <c r="R4" s="11">
        <f>VLOOKUP($J4,output!$A$9:$AI$2200,R$1-$L$1+3)</f>
        <v>193.33199999999999</v>
      </c>
      <c r="S4" s="11">
        <f>VLOOKUP($J4,output!$A$9:$AI$2200,S$1-$L$1+3)</f>
        <v>220.83600000000001</v>
      </c>
      <c r="T4" s="11">
        <f>VLOOKUP($J4,output!$A$9:$AI$2200,T$1-$L$1+3)</f>
        <v>210.916</v>
      </c>
      <c r="U4" s="11">
        <f>VLOOKUP($J4,output!$A$9:$AI$2200,U$1-$L$1+3)</f>
        <v>222.30600000000001</v>
      </c>
      <c r="V4" s="11">
        <f>VLOOKUP($J4,output!$A$9:$AI$2200,V$1-$L$1+3)</f>
        <v>235.28100000000001</v>
      </c>
      <c r="W4" s="11">
        <f>VLOOKUP($J4,output!$A$9:$AI$2200,W$1-$L$1+3)</f>
        <v>247.93</v>
      </c>
      <c r="X4" s="11">
        <f>VLOOKUP($J4,output!$A$9:$AI$2200,X$1-$L$1+3)</f>
        <v>209.22300000000001</v>
      </c>
      <c r="Y4" s="11">
        <f>VLOOKUP($J4,output!$A$9:$AI$2200,Y$1-$L$1+3)</f>
        <v>221.142</v>
      </c>
      <c r="Z4" s="11">
        <f>VLOOKUP($J4,output!$A$9:$AI$2200,Z$1-$L$1+3)</f>
        <v>226.99100000000001</v>
      </c>
      <c r="AA4" s="11">
        <f>VLOOKUP($J4,output!$A$9:$AI$2200,AA$1-$L$1+3)</f>
        <v>212.24</v>
      </c>
      <c r="AB4" s="11">
        <f>VLOOKUP($J4,output!$A$9:$AI$2200,AB$1-$L$1+3)</f>
        <v>235.92500000000001</v>
      </c>
      <c r="AC4" s="11">
        <f>VLOOKUP($J4,output!$A$9:$AI$2200,AC$1-$L$1+3)</f>
        <v>214.429</v>
      </c>
      <c r="AD4" s="11">
        <f>VLOOKUP($J4,output!$A$9:$AI$2200,AD$1-$L$1+3)</f>
        <v>212.61099999999999</v>
      </c>
      <c r="AE4" s="11">
        <f>VLOOKUP($J4,output!$A$9:$AI$2200,AE$1-$L$1+3)</f>
        <v>200.185</v>
      </c>
      <c r="AF4" s="11">
        <f>VLOOKUP($J4,output!$A$9:$AI$2200,AF$1-$L$1+3)</f>
        <v>335.27</v>
      </c>
      <c r="AG4" s="11">
        <f>VLOOKUP($J4,output!$A$9:$AI$2200,AG$1-$L$1+3)</f>
        <v>240.071</v>
      </c>
      <c r="AH4" s="11">
        <f>VLOOKUP($J4,output!$A$9:$AI$2200,AH$1-$L$1+3)</f>
        <v>239.715</v>
      </c>
      <c r="AI4" s="11">
        <f>VLOOKUP($J4,output!$A$9:$AI$2200,AI$1-$L$1+3)</f>
        <v>245.22900000000001</v>
      </c>
      <c r="AJ4" s="11">
        <f>VLOOKUP($J4,output!$A$9:$AI$2200,AJ$1-$L$1+3)</f>
        <v>236.648</v>
      </c>
      <c r="AK4" s="11">
        <f>VLOOKUP($J4,output!$A$9:$AI$2200,AK$1-$L$1+3)</f>
        <v>226.93100000000001</v>
      </c>
      <c r="AL4" s="11">
        <f>VLOOKUP($J4,output!$A$9:$AI$2200,AL$1-$L$1+3)</f>
        <v>217.239</v>
      </c>
    </row>
    <row r="5" spans="10:38" x14ac:dyDescent="0.25">
      <c r="J5" t="s">
        <v>32</v>
      </c>
      <c r="K5" s="11">
        <f>VLOOKUP($J5,output!$A$9:$AI$2200,K$1-$L$1+3)</f>
        <v>0</v>
      </c>
      <c r="L5" s="11">
        <f>VLOOKUP($J5,output!$A$9:$AI$2200,L$1-$L$1+3)</f>
        <v>105.626</v>
      </c>
      <c r="M5" s="11">
        <f>VLOOKUP($J5,output!$A$9:$AI$2200,M$1-$L$1+3)</f>
        <v>159.85499999999999</v>
      </c>
      <c r="N5" s="11">
        <f>VLOOKUP($J5,output!$A$9:$AI$2200,N$1-$L$1+3)</f>
        <v>133.62200000000001</v>
      </c>
      <c r="O5" s="11">
        <f>VLOOKUP($J5,output!$A$9:$AI$2200,O$1-$L$1+3)</f>
        <v>143.84100000000001</v>
      </c>
      <c r="P5" s="11">
        <f>VLOOKUP($J5,output!$A$9:$AI$2200,P$1-$L$1+3)</f>
        <v>124.09</v>
      </c>
      <c r="Q5" s="11">
        <f>VLOOKUP($J5,output!$A$9:$AI$2200,Q$1-$L$1+3)</f>
        <v>101.407</v>
      </c>
      <c r="R5" s="11">
        <f>VLOOKUP($J5,output!$A$9:$AI$2200,R$1-$L$1+3)</f>
        <v>80.004999999999995</v>
      </c>
      <c r="S5" s="11">
        <f>VLOOKUP($J5,output!$A$9:$AI$2200,S$1-$L$1+3)</f>
        <v>110.98399999999999</v>
      </c>
      <c r="T5" s="11">
        <f>VLOOKUP($J5,output!$A$9:$AI$2200,T$1-$L$1+3)</f>
        <v>88.650999999999996</v>
      </c>
      <c r="U5" s="11">
        <f>VLOOKUP($J5,output!$A$9:$AI$2200,U$1-$L$1+3)</f>
        <v>96.700999999999993</v>
      </c>
      <c r="V5" s="11">
        <f>VLOOKUP($J5,output!$A$9:$AI$2200,V$1-$L$1+3)</f>
        <v>106.69</v>
      </c>
      <c r="W5" s="11">
        <f>VLOOKUP($J5,output!$A$9:$AI$2200,W$1-$L$1+3)</f>
        <v>115.774</v>
      </c>
      <c r="X5" s="11">
        <f>VLOOKUP($J5,output!$A$9:$AI$2200,X$1-$L$1+3)</f>
        <v>111.28400000000001</v>
      </c>
      <c r="Y5" s="11">
        <f>VLOOKUP($J5,output!$A$9:$AI$2200,Y$1-$L$1+3)</f>
        <v>125.464</v>
      </c>
      <c r="Z5" s="11">
        <f>VLOOKUP($J5,output!$A$9:$AI$2200,Z$1-$L$1+3)</f>
        <v>134.39400000000001</v>
      </c>
      <c r="AA5" s="11">
        <f>VLOOKUP($J5,output!$A$9:$AI$2200,AA$1-$L$1+3)</f>
        <v>136.726</v>
      </c>
      <c r="AB5" s="11">
        <f>VLOOKUP($J5,output!$A$9:$AI$2200,AB$1-$L$1+3)</f>
        <v>152.27799999999999</v>
      </c>
      <c r="AC5" s="11">
        <f>VLOOKUP($J5,output!$A$9:$AI$2200,AC$1-$L$1+3)</f>
        <v>144.83099999999999</v>
      </c>
      <c r="AD5" s="11">
        <f>VLOOKUP($J5,output!$A$9:$AI$2200,AD$1-$L$1+3)</f>
        <v>145.81200000000001</v>
      </c>
      <c r="AE5" s="11">
        <f>VLOOKUP($J5,output!$A$9:$AI$2200,AE$1-$L$1+3)</f>
        <v>142.875</v>
      </c>
      <c r="AF5" s="11">
        <f>VLOOKUP($J5,output!$A$9:$AI$2200,AF$1-$L$1+3)</f>
        <v>45.095999999999997</v>
      </c>
      <c r="AG5" s="11">
        <f>VLOOKUP($J5,output!$A$9:$AI$2200,AG$1-$L$1+3)</f>
        <v>56.726999999999997</v>
      </c>
      <c r="AH5" s="11">
        <f>VLOOKUP($J5,output!$A$9:$AI$2200,AH$1-$L$1+3)</f>
        <v>54.396999999999998</v>
      </c>
      <c r="AI5" s="11">
        <f>VLOOKUP($J5,output!$A$9:$AI$2200,AI$1-$L$1+3)</f>
        <v>52.470999999999997</v>
      </c>
      <c r="AJ5" s="11">
        <f>VLOOKUP($J5,output!$A$9:$AI$2200,AJ$1-$L$1+3)</f>
        <v>47.762999999999998</v>
      </c>
      <c r="AK5" s="11">
        <f>VLOOKUP($J5,output!$A$9:$AI$2200,AK$1-$L$1+3)</f>
        <v>42.679000000000002</v>
      </c>
      <c r="AL5" s="11">
        <f>VLOOKUP($J5,output!$A$9:$AI$2200,AL$1-$L$1+3)</f>
        <v>37.878999999999998</v>
      </c>
    </row>
    <row r="6" spans="10:38" x14ac:dyDescent="0.25">
      <c r="J6" t="s">
        <v>245</v>
      </c>
      <c r="K6" s="11">
        <f>VLOOKUP($J6,output!$A$9:$AI$2200,K$1-$L$1+3)</f>
        <v>0</v>
      </c>
      <c r="L6" s="11">
        <f>VLOOKUP($J6,output!$A$9:$AI$2200,L$1-$L$1+3)</f>
        <v>89.36</v>
      </c>
      <c r="M6" s="11">
        <f>VLOOKUP($J6,output!$A$9:$AI$2200,M$1-$L$1+3)</f>
        <v>138.86099999999999</v>
      </c>
      <c r="N6" s="11">
        <f>VLOOKUP($J6,output!$A$9:$AI$2200,N$1-$L$1+3)</f>
        <v>115.136</v>
      </c>
      <c r="O6" s="11">
        <f>VLOOKUP($J6,output!$A$9:$AI$2200,O$1-$L$1+3)</f>
        <v>121.592</v>
      </c>
      <c r="P6" s="11">
        <f>VLOOKUP($J6,output!$A$9:$AI$2200,P$1-$L$1+3)</f>
        <v>103.614</v>
      </c>
      <c r="Q6" s="11">
        <f>VLOOKUP($J6,output!$A$9:$AI$2200,Q$1-$L$1+3)</f>
        <v>83.141999999999996</v>
      </c>
      <c r="R6" s="11">
        <f>VLOOKUP($J6,output!$A$9:$AI$2200,R$1-$L$1+3)</f>
        <v>63.874000000000002</v>
      </c>
      <c r="S6" s="11">
        <f>VLOOKUP($J6,output!$A$9:$AI$2200,S$1-$L$1+3)</f>
        <v>89.855999999999995</v>
      </c>
      <c r="T6" s="11">
        <f>VLOOKUP($J6,output!$A$9:$AI$2200,T$1-$L$1+3)</f>
        <v>69.527000000000001</v>
      </c>
      <c r="U6" s="11">
        <f>VLOOKUP($J6,output!$A$9:$AI$2200,U$1-$L$1+3)</f>
        <v>75.402000000000001</v>
      </c>
      <c r="V6" s="11">
        <f>VLOOKUP($J6,output!$A$9:$AI$2200,V$1-$L$1+3)</f>
        <v>82.936000000000007</v>
      </c>
      <c r="W6" s="11">
        <f>VLOOKUP($J6,output!$A$9:$AI$2200,W$1-$L$1+3)</f>
        <v>89.587999999999994</v>
      </c>
      <c r="X6" s="11">
        <f>VLOOKUP($J6,output!$A$9:$AI$2200,X$1-$L$1+3)</f>
        <v>93.769000000000005</v>
      </c>
      <c r="Y6" s="11">
        <f>VLOOKUP($J6,output!$A$9:$AI$2200,Y$1-$L$1+3)</f>
        <v>105.453</v>
      </c>
      <c r="Z6" s="11">
        <f>VLOOKUP($J6,output!$A$9:$AI$2200,Z$1-$L$1+3)</f>
        <v>112.521</v>
      </c>
      <c r="AA6" s="11">
        <f>VLOOKUP($J6,output!$A$9:$AI$2200,AA$1-$L$1+3)</f>
        <v>118.49</v>
      </c>
      <c r="AB6" s="11">
        <f>VLOOKUP($J6,output!$A$9:$AI$2200,AB$1-$L$1+3)</f>
        <v>127.117</v>
      </c>
      <c r="AC6" s="11">
        <f>VLOOKUP($J6,output!$A$9:$AI$2200,AC$1-$L$1+3)</f>
        <v>123.696</v>
      </c>
      <c r="AD6" s="11">
        <f>VLOOKUP($J6,output!$A$9:$AI$2200,AD$1-$L$1+3)</f>
        <v>124.47199999999999</v>
      </c>
      <c r="AE6" s="11">
        <f>VLOOKUP($J6,output!$A$9:$AI$2200,AE$1-$L$1+3)</f>
        <v>124.581</v>
      </c>
      <c r="AF6" s="11">
        <f>VLOOKUP($J6,output!$A$9:$AI$2200,AF$1-$L$1+3)</f>
        <v>30.742000000000001</v>
      </c>
      <c r="AG6" s="11">
        <f>VLOOKUP($J6,output!$A$9:$AI$2200,AG$1-$L$1+3)</f>
        <v>45.759</v>
      </c>
      <c r="AH6" s="11">
        <f>VLOOKUP($J6,output!$A$9:$AI$2200,AH$1-$L$1+3)</f>
        <v>38.587000000000003</v>
      </c>
      <c r="AI6" s="11">
        <f>VLOOKUP($J6,output!$A$9:$AI$2200,AI$1-$L$1+3)</f>
        <v>40.598999999999997</v>
      </c>
      <c r="AJ6" s="11">
        <f>VLOOKUP($J6,output!$A$9:$AI$2200,AJ$1-$L$1+3)</f>
        <v>34.804000000000002</v>
      </c>
      <c r="AK6" s="11">
        <f>VLOOKUP($J6,output!$A$9:$AI$2200,AK$1-$L$1+3)</f>
        <v>28.283999999999999</v>
      </c>
      <c r="AL6" s="11">
        <f>VLOOKUP($J6,output!$A$9:$AI$2200,AL$1-$L$1+3)</f>
        <v>22.245000000000001</v>
      </c>
    </row>
    <row r="7" spans="10:38" x14ac:dyDescent="0.25">
      <c r="J7" t="s">
        <v>246</v>
      </c>
      <c r="K7" s="11">
        <f>VLOOKUP($J7,output!$A$9:$AI$2200,K$1-$L$1+3)</f>
        <v>0</v>
      </c>
      <c r="L7" s="11">
        <f>VLOOKUP($J7,output!$A$9:$AI$2200,L$1-$L$1+3)</f>
        <v>34.183999999999997</v>
      </c>
      <c r="M7" s="11">
        <f>VLOOKUP($J7,output!$A$9:$AI$2200,M$1-$L$1+3)</f>
        <v>0</v>
      </c>
      <c r="N7" s="11">
        <f>VLOOKUP($J7,output!$A$9:$AI$2200,N$1-$L$1+3)</f>
        <v>54.768000000000001</v>
      </c>
      <c r="O7" s="11">
        <f>VLOOKUP($J7,output!$A$9:$AI$2200,O$1-$L$1+3)</f>
        <v>35.398000000000003</v>
      </c>
      <c r="P7" s="11">
        <f>VLOOKUP($J7,output!$A$9:$AI$2200,P$1-$L$1+3)</f>
        <v>77.872</v>
      </c>
      <c r="Q7" s="11">
        <f>VLOOKUP($J7,output!$A$9:$AI$2200,Q$1-$L$1+3)</f>
        <v>126.503</v>
      </c>
      <c r="R7" s="11">
        <f>VLOOKUP($J7,output!$A$9:$AI$2200,R$1-$L$1+3)</f>
        <v>172.24700000000001</v>
      </c>
      <c r="S7" s="11">
        <f>VLOOKUP($J7,output!$A$9:$AI$2200,S$1-$L$1+3)</f>
        <v>101.687</v>
      </c>
      <c r="T7" s="11">
        <f>VLOOKUP($J7,output!$A$9:$AI$2200,T$1-$L$1+3)</f>
        <v>152.70699999999999</v>
      </c>
      <c r="U7" s="11">
        <f>VLOOKUP($J7,output!$A$9:$AI$2200,U$1-$L$1+3)</f>
        <v>134.70400000000001</v>
      </c>
      <c r="V7" s="11">
        <f>VLOOKUP($J7,output!$A$9:$AI$2200,V$1-$L$1+3)</f>
        <v>111.958</v>
      </c>
      <c r="W7" s="11">
        <f>VLOOKUP($J7,output!$A$9:$AI$2200,W$1-$L$1+3)</f>
        <v>91.938999999999993</v>
      </c>
      <c r="X7" s="11">
        <f>VLOOKUP($J7,output!$A$9:$AI$2200,X$1-$L$1+3)</f>
        <v>80.8</v>
      </c>
      <c r="Y7" s="11">
        <f>VLOOKUP($J7,output!$A$9:$AI$2200,Y$1-$L$1+3)</f>
        <v>48.869</v>
      </c>
      <c r="Z7" s="11">
        <f>VLOOKUP($J7,output!$A$9:$AI$2200,Z$1-$L$1+3)</f>
        <v>32.82</v>
      </c>
      <c r="AA7" s="11">
        <f>VLOOKUP($J7,output!$A$9:$AI$2200,AA$1-$L$1+3)</f>
        <v>19.89</v>
      </c>
      <c r="AB7" s="11">
        <f>VLOOKUP($J7,output!$A$9:$AI$2200,AB$1-$L$1+3)</f>
        <v>0</v>
      </c>
      <c r="AC7" s="11">
        <f>VLOOKUP($J7,output!$A$9:$AI$2200,AC$1-$L$1+3)</f>
        <v>11.452999999999999</v>
      </c>
      <c r="AD7" s="11">
        <f>VLOOKUP($J7,output!$A$9:$AI$2200,AD$1-$L$1+3)</f>
        <v>11.46</v>
      </c>
      <c r="AE7" s="11">
        <f>VLOOKUP($J7,output!$A$9:$AI$2200,AE$1-$L$1+3)</f>
        <v>12.702</v>
      </c>
      <c r="AF7" s="11">
        <f>VLOOKUP($J7,output!$A$9:$AI$2200,AF$1-$L$1+3)</f>
        <v>5.5880000000000001</v>
      </c>
      <c r="AG7" s="11">
        <f>VLOOKUP($J7,output!$A$9:$AI$2200,AG$1-$L$1+3)</f>
        <v>9.4209999999999994</v>
      </c>
      <c r="AH7" s="11">
        <f>VLOOKUP($J7,output!$A$9:$AI$2200,AH$1-$L$1+3)</f>
        <v>6.3630000000000004</v>
      </c>
      <c r="AI7" s="11">
        <f>VLOOKUP($J7,output!$A$9:$AI$2200,AI$1-$L$1+3)</f>
        <v>8.3369999999999997</v>
      </c>
      <c r="AJ7" s="11">
        <f>VLOOKUP($J7,output!$A$9:$AI$2200,AJ$1-$L$1+3)</f>
        <v>7.03</v>
      </c>
      <c r="AK7" s="11">
        <f>VLOOKUP($J7,output!$A$9:$AI$2200,AK$1-$L$1+3)</f>
        <v>5.5419999999999998</v>
      </c>
      <c r="AL7" s="11">
        <f>VLOOKUP($J7,output!$A$9:$AI$2200,AL$1-$L$1+3)</f>
        <v>4.0460000000000003</v>
      </c>
    </row>
    <row r="8" spans="10:38" x14ac:dyDescent="0.25">
      <c r="J8" t="s">
        <v>247</v>
      </c>
      <c r="K8" s="11">
        <f>VLOOKUP($J8,output!$A$9:$AI$2200,K$1-$L$1+3)</f>
        <v>0</v>
      </c>
      <c r="L8" s="11">
        <f>VLOOKUP($J8,output!$A$9:$AI$2200,L$1-$L$1+3)</f>
        <v>280.30200000000002</v>
      </c>
      <c r="M8" s="11">
        <f>VLOOKUP($J8,output!$A$9:$AI$2200,M$1-$L$1+3)</f>
        <v>268.38200000000001</v>
      </c>
      <c r="N8" s="11">
        <f>VLOOKUP($J8,output!$A$9:$AI$2200,N$1-$L$1+3)</f>
        <v>236.399</v>
      </c>
      <c r="O8" s="11">
        <f>VLOOKUP($J8,output!$A$9:$AI$2200,O$1-$L$1+3)</f>
        <v>248.36699999999999</v>
      </c>
      <c r="P8" s="11">
        <f>VLOOKUP($J8,output!$A$9:$AI$2200,P$1-$L$1+3)</f>
        <v>222.934</v>
      </c>
      <c r="Q8" s="11">
        <f>VLOOKUP($J8,output!$A$9:$AI$2200,Q$1-$L$1+3)</f>
        <v>193.81399999999999</v>
      </c>
      <c r="R8" s="11">
        <f>VLOOKUP($J8,output!$A$9:$AI$2200,R$1-$L$1+3)</f>
        <v>166.34800000000001</v>
      </c>
      <c r="S8" s="11">
        <f>VLOOKUP($J8,output!$A$9:$AI$2200,S$1-$L$1+3)</f>
        <v>209.91900000000001</v>
      </c>
      <c r="T8" s="11">
        <f>VLOOKUP($J8,output!$A$9:$AI$2200,T$1-$L$1+3)</f>
        <v>178.25200000000001</v>
      </c>
      <c r="U8" s="11">
        <f>VLOOKUP($J8,output!$A$9:$AI$2200,U$1-$L$1+3)</f>
        <v>189.35400000000001</v>
      </c>
      <c r="V8" s="11">
        <f>VLOOKUP($J8,output!$A$9:$AI$2200,V$1-$L$1+3)</f>
        <v>203.52500000000001</v>
      </c>
      <c r="W8" s="11">
        <f>VLOOKUP($J8,output!$A$9:$AI$2200,W$1-$L$1+3)</f>
        <v>216.744</v>
      </c>
      <c r="X8" s="11">
        <f>VLOOKUP($J8,output!$A$9:$AI$2200,X$1-$L$1+3)</f>
        <v>223.352</v>
      </c>
      <c r="Y8" s="11">
        <f>VLOOKUP($J8,output!$A$9:$AI$2200,Y$1-$L$1+3)</f>
        <v>243.126</v>
      </c>
      <c r="Z8" s="11">
        <f>VLOOKUP($J8,output!$A$9:$AI$2200,Z$1-$L$1+3)</f>
        <v>251.58500000000001</v>
      </c>
      <c r="AA8" s="11">
        <f>VLOOKUP($J8,output!$A$9:$AI$2200,AA$1-$L$1+3)</f>
        <v>257.90600000000001</v>
      </c>
      <c r="AB8" s="11">
        <f>VLOOKUP($J8,output!$A$9:$AI$2200,AB$1-$L$1+3)</f>
        <v>267.738</v>
      </c>
      <c r="AC8" s="11">
        <f>VLOOKUP($J8,output!$A$9:$AI$2200,AC$1-$L$1+3)</f>
        <v>257.62</v>
      </c>
      <c r="AD8" s="11">
        <f>VLOOKUP($J8,output!$A$9:$AI$2200,AD$1-$L$1+3)</f>
        <v>254.29499999999999</v>
      </c>
      <c r="AE8" s="11">
        <f>VLOOKUP($J8,output!$A$9:$AI$2200,AE$1-$L$1+3)</f>
        <v>249.85599999999999</v>
      </c>
      <c r="AF8" s="11">
        <f>VLOOKUP($J8,output!$A$9:$AI$2200,AF$1-$L$1+3)</f>
        <v>61.021999999999998</v>
      </c>
      <c r="AG8" s="11">
        <f>VLOOKUP($J8,output!$A$9:$AI$2200,AG$1-$L$1+3)</f>
        <v>90.576999999999998</v>
      </c>
      <c r="AH8" s="11">
        <f>VLOOKUP($J8,output!$A$9:$AI$2200,AH$1-$L$1+3)</f>
        <v>75.573999999999998</v>
      </c>
      <c r="AI8" s="11">
        <f>VLOOKUP($J8,output!$A$9:$AI$2200,AI$1-$L$1+3)</f>
        <v>79.405000000000001</v>
      </c>
      <c r="AJ8" s="11">
        <f>VLOOKUP($J8,output!$A$9:$AI$2200,AJ$1-$L$1+3)</f>
        <v>67.692999999999998</v>
      </c>
      <c r="AK8" s="11">
        <f>VLOOKUP($J8,output!$A$9:$AI$2200,AK$1-$L$1+3)</f>
        <v>54.753</v>
      </c>
      <c r="AL8" s="11">
        <f>VLOOKUP($J8,output!$A$9:$AI$2200,AL$1-$L$1+3)</f>
        <v>42.841999999999999</v>
      </c>
    </row>
    <row r="9" spans="10:38" x14ac:dyDescent="0.25">
      <c r="J9" t="s">
        <v>248</v>
      </c>
      <c r="K9" s="11">
        <f>VLOOKUP($J9,output!$A$9:$AI$2200,K$1-$L$1+3)</f>
        <v>0</v>
      </c>
      <c r="L9" s="11">
        <f>VLOOKUP($J9,output!$A$9:$AI$2200,L$1-$L$1+3)</f>
        <v>11.446</v>
      </c>
      <c r="M9" s="11">
        <f>VLOOKUP($J9,output!$A$9:$AI$2200,M$1-$L$1+3)</f>
        <v>6.9960000000000004</v>
      </c>
      <c r="N9" s="11">
        <f>VLOOKUP($J9,output!$A$9:$AI$2200,N$1-$L$1+3)</f>
        <v>6.89</v>
      </c>
      <c r="O9" s="11">
        <f>VLOOKUP($J9,output!$A$9:$AI$2200,O$1-$L$1+3)</f>
        <v>6.7919999999999998</v>
      </c>
      <c r="P9" s="11">
        <f>VLOOKUP($J9,output!$A$9:$AI$2200,P$1-$L$1+3)</f>
        <v>6.69</v>
      </c>
      <c r="Q9" s="11">
        <f>VLOOKUP($J9,output!$A$9:$AI$2200,Q$1-$L$1+3)</f>
        <v>6.609</v>
      </c>
      <c r="R9" s="11">
        <f>VLOOKUP($J9,output!$A$9:$AI$2200,R$1-$L$1+3)</f>
        <v>6.5529999999999999</v>
      </c>
      <c r="S9" s="11">
        <f>VLOOKUP($J9,output!$A$9:$AI$2200,S$1-$L$1+3)</f>
        <v>6.5119999999999996</v>
      </c>
      <c r="T9" s="11">
        <f>VLOOKUP($J9,output!$A$9:$AI$2200,T$1-$L$1+3)</f>
        <v>6.4379999999999997</v>
      </c>
      <c r="U9" s="11">
        <f>VLOOKUP($J9,output!$A$9:$AI$2200,U$1-$L$1+3)</f>
        <v>6.3940000000000001</v>
      </c>
      <c r="V9" s="11">
        <f>VLOOKUP($J9,output!$A$9:$AI$2200,V$1-$L$1+3)</f>
        <v>6.3440000000000003</v>
      </c>
      <c r="W9" s="11">
        <f>VLOOKUP($J9,output!$A$9:$AI$2200,W$1-$L$1+3)</f>
        <v>6.3010000000000002</v>
      </c>
      <c r="X9" s="11">
        <f>VLOOKUP($J9,output!$A$9:$AI$2200,X$1-$L$1+3)</f>
        <v>6.3369999999999997</v>
      </c>
      <c r="Y9" s="11">
        <f>VLOOKUP($J9,output!$A$9:$AI$2200,Y$1-$L$1+3)</f>
        <v>6.3869999999999996</v>
      </c>
      <c r="Z9" s="11">
        <f>VLOOKUP($J9,output!$A$9:$AI$2200,Z$1-$L$1+3)</f>
        <v>6.3780000000000001</v>
      </c>
      <c r="AA9" s="11">
        <f>VLOOKUP($J9,output!$A$9:$AI$2200,AA$1-$L$1+3)</f>
        <v>6.3529999999999998</v>
      </c>
      <c r="AB9" s="11">
        <f>VLOOKUP($J9,output!$A$9:$AI$2200,AB$1-$L$1+3)</f>
        <v>6.2960000000000003</v>
      </c>
      <c r="AC9" s="11">
        <f>VLOOKUP($J9,output!$A$9:$AI$2200,AC$1-$L$1+3)</f>
        <v>6.2009999999999996</v>
      </c>
      <c r="AD9" s="11">
        <f>VLOOKUP($J9,output!$A$9:$AI$2200,AD$1-$L$1+3)</f>
        <v>6.1040000000000001</v>
      </c>
      <c r="AE9" s="11">
        <f>VLOOKUP($J9,output!$A$9:$AI$2200,AE$1-$L$1+3)</f>
        <v>5.9909999999999997</v>
      </c>
      <c r="AF9" s="11">
        <f>VLOOKUP($J9,output!$A$9:$AI$2200,AF$1-$L$1+3)</f>
        <v>1.4890000000000001</v>
      </c>
      <c r="AG9" s="11">
        <f>VLOOKUP($J9,output!$A$9:$AI$2200,AG$1-$L$1+3)</f>
        <v>2.2240000000000002</v>
      </c>
      <c r="AH9" s="11">
        <f>VLOOKUP($J9,output!$A$9:$AI$2200,AH$1-$L$1+3)</f>
        <v>1.8320000000000001</v>
      </c>
      <c r="AI9" s="11">
        <f>VLOOKUP($J9,output!$A$9:$AI$2200,AI$1-$L$1+3)</f>
        <v>1.9430000000000001</v>
      </c>
      <c r="AJ9" s="11">
        <f>VLOOKUP($J9,output!$A$9:$AI$2200,AJ$1-$L$1+3)</f>
        <v>1.651</v>
      </c>
      <c r="AK9" s="11">
        <f>VLOOKUP($J9,output!$A$9:$AI$2200,AK$1-$L$1+3)</f>
        <v>1.329</v>
      </c>
      <c r="AL9" s="11">
        <f>VLOOKUP($J9,output!$A$9:$AI$2200,AL$1-$L$1+3)</f>
        <v>1.0329999999999999</v>
      </c>
    </row>
    <row r="10" spans="10:38" x14ac:dyDescent="0.25">
      <c r="J10" t="s">
        <v>249</v>
      </c>
      <c r="K10" s="11">
        <f>VLOOKUP($J10,output!$A$9:$AI$2200,K$1-$L$1+3)</f>
        <v>0</v>
      </c>
      <c r="L10" s="11">
        <f>VLOOKUP($J10,output!$A$9:$AI$2200,L$1-$L$1+3)</f>
        <v>71.019000000000005</v>
      </c>
      <c r="M10" s="11">
        <f>VLOOKUP($J10,output!$A$9:$AI$2200,M$1-$L$1+3)</f>
        <v>70.945999999999998</v>
      </c>
      <c r="N10" s="11">
        <f>VLOOKUP($J10,output!$A$9:$AI$2200,N$1-$L$1+3)</f>
        <v>70.861000000000004</v>
      </c>
      <c r="O10" s="11">
        <f>VLOOKUP($J10,output!$A$9:$AI$2200,O$1-$L$1+3)</f>
        <v>70.771000000000001</v>
      </c>
      <c r="P10" s="11">
        <f>VLOOKUP($J10,output!$A$9:$AI$2200,P$1-$L$1+3)</f>
        <v>70.662000000000006</v>
      </c>
      <c r="Q10" s="11">
        <f>VLOOKUP($J10,output!$A$9:$AI$2200,Q$1-$L$1+3)</f>
        <v>70.537000000000006</v>
      </c>
      <c r="R10" s="11">
        <f>VLOOKUP($J10,output!$A$9:$AI$2200,R$1-$L$1+3)</f>
        <v>70.381</v>
      </c>
      <c r="S10" s="11">
        <f>VLOOKUP($J10,output!$A$9:$AI$2200,S$1-$L$1+3)</f>
        <v>70.176000000000002</v>
      </c>
      <c r="T10" s="11">
        <f>VLOOKUP($J10,output!$A$9:$AI$2200,T$1-$L$1+3)</f>
        <v>69.903000000000006</v>
      </c>
      <c r="U10" s="11">
        <f>VLOOKUP($J10,output!$A$9:$AI$2200,U$1-$L$1+3)</f>
        <v>69.584999999999994</v>
      </c>
      <c r="V10" s="11">
        <f>VLOOKUP($J10,output!$A$9:$AI$2200,V$1-$L$1+3)</f>
        <v>69.197000000000003</v>
      </c>
      <c r="W10" s="11">
        <f>VLOOKUP($J10,output!$A$9:$AI$2200,W$1-$L$1+3)</f>
        <v>68.872</v>
      </c>
      <c r="X10" s="11">
        <f>VLOOKUP($J10,output!$A$9:$AI$2200,X$1-$L$1+3)</f>
        <v>68.491</v>
      </c>
      <c r="Y10" s="11">
        <f>VLOOKUP($J10,output!$A$9:$AI$2200,Y$1-$L$1+3)</f>
        <v>68.144999999999996</v>
      </c>
      <c r="Z10" s="11">
        <f>VLOOKUP($J10,output!$A$9:$AI$2200,Z$1-$L$1+3)</f>
        <v>67.831000000000003</v>
      </c>
      <c r="AA10" s="11">
        <f>VLOOKUP($J10,output!$A$9:$AI$2200,AA$1-$L$1+3)</f>
        <v>67.587999999999994</v>
      </c>
      <c r="AB10" s="11">
        <f>VLOOKUP($J10,output!$A$9:$AI$2200,AB$1-$L$1+3)</f>
        <v>67.393000000000001</v>
      </c>
      <c r="AC10" s="11">
        <f>VLOOKUP($J10,output!$A$9:$AI$2200,AC$1-$L$1+3)</f>
        <v>67.225999999999999</v>
      </c>
      <c r="AD10" s="11">
        <f>VLOOKUP($J10,output!$A$9:$AI$2200,AD$1-$L$1+3)</f>
        <v>67.147999999999996</v>
      </c>
      <c r="AE10" s="11">
        <f>VLOOKUP($J10,output!$A$9:$AI$2200,AE$1-$L$1+3)</f>
        <v>67.150000000000006</v>
      </c>
      <c r="AF10" s="11">
        <f>VLOOKUP($J10,output!$A$9:$AI$2200,AF$1-$L$1+3)</f>
        <v>183.60499999999999</v>
      </c>
      <c r="AG10" s="11">
        <f>VLOOKUP($J10,output!$A$9:$AI$2200,AG$1-$L$1+3)</f>
        <v>67.251000000000005</v>
      </c>
      <c r="AH10" s="11">
        <f>VLOOKUP($J10,output!$A$9:$AI$2200,AH$1-$L$1+3)</f>
        <v>253.51400000000001</v>
      </c>
      <c r="AI10" s="11">
        <f>VLOOKUP($J10,output!$A$9:$AI$2200,AI$1-$L$1+3)</f>
        <v>187.358</v>
      </c>
      <c r="AJ10" s="11">
        <f>VLOOKUP($J10,output!$A$9:$AI$2200,AJ$1-$L$1+3)</f>
        <v>330.93700000000001</v>
      </c>
      <c r="AK10" s="11">
        <f>VLOOKUP($J10,output!$A$9:$AI$2200,AK$1-$L$1+3)</f>
        <v>493.81299999999999</v>
      </c>
      <c r="AL10" s="11">
        <f>VLOOKUP($J10,output!$A$9:$AI$2200,AL$1-$L$1+3)</f>
        <v>643.58699999999999</v>
      </c>
    </row>
    <row r="11" spans="10:38" x14ac:dyDescent="0.25">
      <c r="J11" t="s">
        <v>250</v>
      </c>
      <c r="K11" s="11">
        <f>VLOOKUP($J11,output!$A$9:$AI$2200,K$1-$L$1+3)</f>
        <v>0</v>
      </c>
      <c r="L11" s="11">
        <f>VLOOKUP($J11,output!$A$9:$AI$2200,L$1-$L$1+3)</f>
        <v>144.798</v>
      </c>
      <c r="M11" s="11">
        <f>VLOOKUP($J11,output!$A$9:$AI$2200,M$1-$L$1+3)</f>
        <v>144.79599999999999</v>
      </c>
      <c r="N11" s="11">
        <f>VLOOKUP($J11,output!$A$9:$AI$2200,N$1-$L$1+3)</f>
        <v>144.79</v>
      </c>
      <c r="O11" s="11">
        <f>VLOOKUP($J11,output!$A$9:$AI$2200,O$1-$L$1+3)</f>
        <v>144.779</v>
      </c>
      <c r="P11" s="11">
        <f>VLOOKUP($J11,output!$A$9:$AI$2200,P$1-$L$1+3)</f>
        <v>144.76400000000001</v>
      </c>
      <c r="Q11" s="11">
        <f>VLOOKUP($J11,output!$A$9:$AI$2200,Q$1-$L$1+3)</f>
        <v>144.744</v>
      </c>
      <c r="R11" s="11">
        <f>VLOOKUP($J11,output!$A$9:$AI$2200,R$1-$L$1+3)</f>
        <v>144.71799999999999</v>
      </c>
      <c r="S11" s="11">
        <f>VLOOKUP($J11,output!$A$9:$AI$2200,S$1-$L$1+3)</f>
        <v>144.68600000000001</v>
      </c>
      <c r="T11" s="11">
        <f>VLOOKUP($J11,output!$A$9:$AI$2200,T$1-$L$1+3)</f>
        <v>144.649</v>
      </c>
      <c r="U11" s="11">
        <f>VLOOKUP($J11,output!$A$9:$AI$2200,U$1-$L$1+3)</f>
        <v>144.60400000000001</v>
      </c>
      <c r="V11" s="11">
        <f>VLOOKUP($J11,output!$A$9:$AI$2200,V$1-$L$1+3)</f>
        <v>144.55000000000001</v>
      </c>
      <c r="W11" s="11">
        <f>VLOOKUP($J11,output!$A$9:$AI$2200,W$1-$L$1+3)</f>
        <v>144.51300000000001</v>
      </c>
      <c r="X11" s="11">
        <f>VLOOKUP($J11,output!$A$9:$AI$2200,X$1-$L$1+3)</f>
        <v>144.48699999999999</v>
      </c>
      <c r="Y11" s="11">
        <f>VLOOKUP($J11,output!$A$9:$AI$2200,Y$1-$L$1+3)</f>
        <v>144.46799999999999</v>
      </c>
      <c r="Z11" s="11">
        <f>VLOOKUP($J11,output!$A$9:$AI$2200,Z$1-$L$1+3)</f>
        <v>144.45500000000001</v>
      </c>
      <c r="AA11" s="11">
        <f>VLOOKUP($J11,output!$A$9:$AI$2200,AA$1-$L$1+3)</f>
        <v>144.44999999999999</v>
      </c>
      <c r="AB11" s="11">
        <f>VLOOKUP($J11,output!$A$9:$AI$2200,AB$1-$L$1+3)</f>
        <v>144.44499999999999</v>
      </c>
      <c r="AC11" s="11">
        <f>VLOOKUP($J11,output!$A$9:$AI$2200,AC$1-$L$1+3)</f>
        <v>144.43899999999999</v>
      </c>
      <c r="AD11" s="11">
        <f>VLOOKUP($J11,output!$A$9:$AI$2200,AD$1-$L$1+3)</f>
        <v>144.43899999999999</v>
      </c>
      <c r="AE11" s="11">
        <f>VLOOKUP($J11,output!$A$9:$AI$2200,AE$1-$L$1+3)</f>
        <v>144.447</v>
      </c>
      <c r="AF11" s="11">
        <f>VLOOKUP($J11,output!$A$9:$AI$2200,AF$1-$L$1+3)</f>
        <v>735.19200000000001</v>
      </c>
      <c r="AG11" s="11">
        <f>VLOOKUP($J11,output!$A$9:$AI$2200,AG$1-$L$1+3)</f>
        <v>652.08699999999999</v>
      </c>
      <c r="AH11" s="11">
        <f>VLOOKUP($J11,output!$A$9:$AI$2200,AH$1-$L$1+3)</f>
        <v>611.84100000000001</v>
      </c>
      <c r="AI11" s="11">
        <f>VLOOKUP($J11,output!$A$9:$AI$2200,AI$1-$L$1+3)</f>
        <v>671.26599999999996</v>
      </c>
      <c r="AJ11" s="11">
        <f>VLOOKUP($J11,output!$A$9:$AI$2200,AJ$1-$L$1+3)</f>
        <v>638.26800000000003</v>
      </c>
      <c r="AK11" s="11">
        <f>VLOOKUP($J11,output!$A$9:$AI$2200,AK$1-$L$1+3)</f>
        <v>599.09</v>
      </c>
      <c r="AL11" s="11">
        <f>VLOOKUP($J11,output!$A$9:$AI$2200,AL$1-$L$1+3)</f>
        <v>561.53700000000003</v>
      </c>
    </row>
    <row r="12" spans="10:38" x14ac:dyDescent="0.25">
      <c r="J12" t="s">
        <v>251</v>
      </c>
      <c r="K12" s="11">
        <f>VLOOKUP($J12,output!$A$9:$AI$2200,K$1-$L$1+3)</f>
        <v>0</v>
      </c>
      <c r="L12" s="11">
        <f>VLOOKUP($J12,output!$A$9:$AI$2200,L$1-$L$1+3)</f>
        <v>10.6</v>
      </c>
      <c r="M12" s="11">
        <f>VLOOKUP($J12,output!$A$9:$AI$2200,M$1-$L$1+3)</f>
        <v>13.106</v>
      </c>
      <c r="N12" s="11">
        <f>VLOOKUP($J12,output!$A$9:$AI$2200,N$1-$L$1+3)</f>
        <v>11.132999999999999</v>
      </c>
      <c r="O12" s="11">
        <f>VLOOKUP($J12,output!$A$9:$AI$2200,O$1-$L$1+3)</f>
        <v>13.855</v>
      </c>
      <c r="P12" s="11">
        <f>VLOOKUP($J12,output!$A$9:$AI$2200,P$1-$L$1+3)</f>
        <v>12.298</v>
      </c>
      <c r="Q12" s="11">
        <f>VLOOKUP($J12,output!$A$9:$AI$2200,Q$1-$L$1+3)</f>
        <v>10.462999999999999</v>
      </c>
      <c r="R12" s="11">
        <f>VLOOKUP($J12,output!$A$9:$AI$2200,R$1-$L$1+3)</f>
        <v>8.6929999999999996</v>
      </c>
      <c r="S12" s="11">
        <f>VLOOKUP($J12,output!$A$9:$AI$2200,S$1-$L$1+3)</f>
        <v>12.613</v>
      </c>
      <c r="T12" s="11">
        <f>VLOOKUP($J12,output!$A$9:$AI$2200,T$1-$L$1+3)</f>
        <v>10.823</v>
      </c>
      <c r="U12" s="11">
        <f>VLOOKUP($J12,output!$A$9:$AI$2200,U$1-$L$1+3)</f>
        <v>12.404</v>
      </c>
      <c r="V12" s="11">
        <f>VLOOKUP($J12,output!$A$9:$AI$2200,V$1-$L$1+3)</f>
        <v>14.257</v>
      </c>
      <c r="W12" s="11">
        <f>VLOOKUP($J12,output!$A$9:$AI$2200,W$1-$L$1+3)</f>
        <v>16.097000000000001</v>
      </c>
      <c r="X12" s="11">
        <f>VLOOKUP($J12,output!$A$9:$AI$2200,X$1-$L$1+3)</f>
        <v>17.515000000000001</v>
      </c>
      <c r="Y12" s="11">
        <f>VLOOKUP($J12,output!$A$9:$AI$2200,Y$1-$L$1+3)</f>
        <v>20.010999999999999</v>
      </c>
      <c r="Z12" s="11">
        <f>VLOOKUP($J12,output!$A$9:$AI$2200,Z$1-$L$1+3)</f>
        <v>21.873000000000001</v>
      </c>
      <c r="AA12" s="11">
        <f>VLOOKUP($J12,output!$A$9:$AI$2200,AA$1-$L$1+3)</f>
        <v>18.236000000000001</v>
      </c>
      <c r="AB12" s="11">
        <f>VLOOKUP($J12,output!$A$9:$AI$2200,AB$1-$L$1+3)</f>
        <v>25.161999999999999</v>
      </c>
      <c r="AC12" s="11">
        <f>VLOOKUP($J12,output!$A$9:$AI$2200,AC$1-$L$1+3)</f>
        <v>21.135999999999999</v>
      </c>
      <c r="AD12" s="11">
        <f>VLOOKUP($J12,output!$A$9:$AI$2200,AD$1-$L$1+3)</f>
        <v>21.34</v>
      </c>
      <c r="AE12" s="11">
        <f>VLOOKUP($J12,output!$A$9:$AI$2200,AE$1-$L$1+3)</f>
        <v>18.294</v>
      </c>
      <c r="AF12" s="11">
        <f>VLOOKUP($J12,output!$A$9:$AI$2200,AF$1-$L$1+3)</f>
        <v>14.355</v>
      </c>
      <c r="AG12" s="11">
        <f>VLOOKUP($J12,output!$A$9:$AI$2200,AG$1-$L$1+3)</f>
        <v>10.967000000000001</v>
      </c>
      <c r="AH12" s="11">
        <f>VLOOKUP($J12,output!$A$9:$AI$2200,AH$1-$L$1+3)</f>
        <v>15.81</v>
      </c>
      <c r="AI12" s="11">
        <f>VLOOKUP($J12,output!$A$9:$AI$2200,AI$1-$L$1+3)</f>
        <v>11.872</v>
      </c>
      <c r="AJ12" s="11">
        <f>VLOOKUP($J12,output!$A$9:$AI$2200,AJ$1-$L$1+3)</f>
        <v>12.959</v>
      </c>
      <c r="AK12" s="11">
        <f>VLOOKUP($J12,output!$A$9:$AI$2200,AK$1-$L$1+3)</f>
        <v>14.396000000000001</v>
      </c>
      <c r="AL12" s="11">
        <f>VLOOKUP($J12,output!$A$9:$AI$2200,AL$1-$L$1+3)</f>
        <v>15.635</v>
      </c>
    </row>
    <row r="13" spans="10:38" x14ac:dyDescent="0.25">
      <c r="J13" t="s">
        <v>39</v>
      </c>
      <c r="K13" s="11">
        <f>VLOOKUP($J13,output!$A$9:$AI$2200,K$1-$L$1+3)</f>
        <v>0</v>
      </c>
      <c r="L13" s="11">
        <f>VLOOKUP($J13,output!$A$9:$AI$2200,L$1-$L$1+3)</f>
        <v>80.271000000000001</v>
      </c>
      <c r="M13" s="11">
        <f>VLOOKUP($J13,output!$A$9:$AI$2200,M$1-$L$1+3)</f>
        <v>0</v>
      </c>
      <c r="N13" s="11">
        <f>VLOOKUP($J13,output!$A$9:$AI$2200,N$1-$L$1+3)</f>
        <v>127.508</v>
      </c>
      <c r="O13" s="11">
        <f>VLOOKUP($J13,output!$A$9:$AI$2200,O$1-$L$1+3)</f>
        <v>81.686000000000007</v>
      </c>
      <c r="P13" s="11">
        <f>VLOOKUP($J13,output!$A$9:$AI$2200,P$1-$L$1+3)</f>
        <v>178.76400000000001</v>
      </c>
      <c r="Q13" s="11">
        <f>VLOOKUP($J13,output!$A$9:$AI$2200,Q$1-$L$1+3)</f>
        <v>288.11799999999999</v>
      </c>
      <c r="R13" s="11">
        <f>VLOOKUP($J13,output!$A$9:$AI$2200,R$1-$L$1+3)</f>
        <v>387.96</v>
      </c>
      <c r="S13" s="11">
        <f>VLOOKUP($J13,output!$A$9:$AI$2200,S$1-$L$1+3)</f>
        <v>225.672</v>
      </c>
      <c r="T13" s="11">
        <f>VLOOKUP($J13,output!$A$9:$AI$2200,T$1-$L$1+3)</f>
        <v>336.52</v>
      </c>
      <c r="U13" s="11">
        <f>VLOOKUP($J13,output!$A$9:$AI$2200,U$1-$L$1+3)</f>
        <v>293.64999999999998</v>
      </c>
      <c r="V13" s="11">
        <f>VLOOKUP($J13,output!$A$9:$AI$2200,V$1-$L$1+3)</f>
        <v>241.90600000000001</v>
      </c>
      <c r="W13" s="11">
        <f>VLOOKUP($J13,output!$A$9:$AI$2200,W$1-$L$1+3)</f>
        <v>196.95500000000001</v>
      </c>
      <c r="X13" s="11">
        <f>VLOOKUP($J13,output!$A$9:$AI$2200,X$1-$L$1+3)</f>
        <v>172.11799999999999</v>
      </c>
      <c r="Y13" s="11">
        <f>VLOOKUP($J13,output!$A$9:$AI$2200,Y$1-$L$1+3)</f>
        <v>104.04900000000001</v>
      </c>
      <c r="Z13" s="11">
        <f>VLOOKUP($J13,output!$A$9:$AI$2200,Z$1-$L$1+3)</f>
        <v>70.097999999999999</v>
      </c>
      <c r="AA13" s="11">
        <f>VLOOKUP($J13,output!$A$9:$AI$2200,AA$1-$L$1+3)</f>
        <v>33.027999999999999</v>
      </c>
      <c r="AB13" s="11">
        <f>VLOOKUP($J13,output!$A$9:$AI$2200,AB$1-$L$1+3)</f>
        <v>0</v>
      </c>
      <c r="AC13" s="11">
        <f>VLOOKUP($J13,output!$A$9:$AI$2200,AC$1-$L$1+3)</f>
        <v>20.146999999999998</v>
      </c>
      <c r="AD13" s="11">
        <f>VLOOKUP($J13,output!$A$9:$AI$2200,AD$1-$L$1+3)</f>
        <v>20.14</v>
      </c>
      <c r="AE13" s="11">
        <f>VLOOKUP($J13,output!$A$9:$AI$2200,AE$1-$L$1+3)</f>
        <v>18.898</v>
      </c>
      <c r="AF13" s="11">
        <f>VLOOKUP($J13,output!$A$9:$AI$2200,AF$1-$L$1+3)</f>
        <v>26.012</v>
      </c>
      <c r="AG13" s="11">
        <f>VLOOKUP($J13,output!$A$9:$AI$2200,AG$1-$L$1+3)</f>
        <v>22.178999999999998</v>
      </c>
      <c r="AH13" s="11">
        <f>VLOOKUP($J13,output!$A$9:$AI$2200,AH$1-$L$1+3)</f>
        <v>25.236999999999998</v>
      </c>
      <c r="AI13" s="11">
        <f>VLOOKUP($J13,output!$A$9:$AI$2200,AI$1-$L$1+3)</f>
        <v>23.263000000000002</v>
      </c>
      <c r="AJ13" s="11">
        <f>VLOOKUP($J13,output!$A$9:$AI$2200,AJ$1-$L$1+3)</f>
        <v>24.57</v>
      </c>
      <c r="AK13" s="11">
        <f>VLOOKUP($J13,output!$A$9:$AI$2200,AK$1-$L$1+3)</f>
        <v>26.058</v>
      </c>
      <c r="AL13" s="11">
        <f>VLOOKUP($J13,output!$A$9:$AI$2200,AL$1-$L$1+3)</f>
        <v>25.954000000000001</v>
      </c>
    </row>
    <row r="14" spans="10:38" x14ac:dyDescent="0.25">
      <c r="J14" t="s">
        <v>40</v>
      </c>
      <c r="K14" s="11">
        <f>VLOOKUP($J14,output!$A$9:$AI$2200,K$1-$L$1+3)</f>
        <v>0</v>
      </c>
      <c r="L14" s="11">
        <f>VLOOKUP($J14,output!$A$9:$AI$2200,L$1-$L$1+3)</f>
        <v>174.619</v>
      </c>
      <c r="M14" s="11">
        <f>VLOOKUP($J14,output!$A$9:$AI$2200,M$1-$L$1+3)</f>
        <v>133.69</v>
      </c>
      <c r="N14" s="11">
        <f>VLOOKUP($J14,output!$A$9:$AI$2200,N$1-$L$1+3)</f>
        <v>125.655</v>
      </c>
      <c r="O14" s="11">
        <f>VLOOKUP($J14,output!$A$9:$AI$2200,O$1-$L$1+3)</f>
        <v>158.42599999999999</v>
      </c>
      <c r="P14" s="11">
        <f>VLOOKUP($J14,output!$A$9:$AI$2200,P$1-$L$1+3)</f>
        <v>151.721</v>
      </c>
      <c r="Q14" s="11">
        <f>VLOOKUP($J14,output!$A$9:$AI$2200,Q$1-$L$1+3)</f>
        <v>142.83199999999999</v>
      </c>
      <c r="R14" s="11">
        <f>VLOOKUP($J14,output!$A$9:$AI$2200,R$1-$L$1+3)</f>
        <v>134.17699999999999</v>
      </c>
      <c r="S14" s="11">
        <f>VLOOKUP($J14,output!$A$9:$AI$2200,S$1-$L$1+3)</f>
        <v>171.322</v>
      </c>
      <c r="T14" s="11">
        <f>VLOOKUP($J14,output!$A$9:$AI$2200,T$1-$L$1+3)</f>
        <v>161.572</v>
      </c>
      <c r="U14" s="11">
        <f>VLOOKUP($J14,output!$A$9:$AI$2200,U$1-$L$1+3)</f>
        <v>179.059</v>
      </c>
      <c r="V14" s="11">
        <f>VLOOKUP($J14,output!$A$9:$AI$2200,V$1-$L$1+3)</f>
        <v>198.381</v>
      </c>
      <c r="W14" s="11">
        <f>VLOOKUP($J14,output!$A$9:$AI$2200,W$1-$L$1+3)</f>
        <v>217.12899999999999</v>
      </c>
      <c r="X14" s="11">
        <f>VLOOKUP($J14,output!$A$9:$AI$2200,X$1-$L$1+3)</f>
        <v>228.785</v>
      </c>
      <c r="Y14" s="11">
        <f>VLOOKUP($J14,output!$A$9:$AI$2200,Y$1-$L$1+3)</f>
        <v>249.29</v>
      </c>
      <c r="Z14" s="11">
        <f>VLOOKUP($J14,output!$A$9:$AI$2200,Z$1-$L$1+3)</f>
        <v>260.67599999999999</v>
      </c>
      <c r="AA14" s="11">
        <f>VLOOKUP($J14,output!$A$9:$AI$2200,AA$1-$L$1+3)</f>
        <v>208.41800000000001</v>
      </c>
      <c r="AB14" s="11">
        <f>VLOOKUP($J14,output!$A$9:$AI$2200,AB$1-$L$1+3)</f>
        <v>275.66300000000001</v>
      </c>
      <c r="AC14" s="11">
        <f>VLOOKUP($J14,output!$A$9:$AI$2200,AC$1-$L$1+3)</f>
        <v>216.58500000000001</v>
      </c>
      <c r="AD14" s="11">
        <f>VLOOKUP($J14,output!$A$9:$AI$2200,AD$1-$L$1+3)</f>
        <v>214.316</v>
      </c>
      <c r="AE14" s="11">
        <f>VLOOKUP($J14,output!$A$9:$AI$2200,AE$1-$L$1+3)</f>
        <v>179.24600000000001</v>
      </c>
      <c r="AF14" s="11">
        <f>VLOOKUP($J14,output!$A$9:$AI$2200,AF$1-$L$1+3)</f>
        <v>139.40600000000001</v>
      </c>
      <c r="AG14" s="11">
        <f>VLOOKUP($J14,output!$A$9:$AI$2200,AG$1-$L$1+3)</f>
        <v>105.514</v>
      </c>
      <c r="AH14" s="11">
        <f>VLOOKUP($J14,output!$A$9:$AI$2200,AH$1-$L$1+3)</f>
        <v>149.63200000000001</v>
      </c>
      <c r="AI14" s="11">
        <f>VLOOKUP($J14,output!$A$9:$AI$2200,AI$1-$L$1+3)</f>
        <v>111.46</v>
      </c>
      <c r="AJ14" s="11">
        <f>VLOOKUP($J14,output!$A$9:$AI$2200,AJ$1-$L$1+3)</f>
        <v>120.236</v>
      </c>
      <c r="AK14" s="11">
        <f>VLOOKUP($J14,output!$A$9:$AI$2200,AK$1-$L$1+3)</f>
        <v>131.83799999999999</v>
      </c>
      <c r="AL14" s="11">
        <f>VLOOKUP($J14,output!$A$9:$AI$2200,AL$1-$L$1+3)</f>
        <v>141.38200000000001</v>
      </c>
    </row>
    <row r="15" spans="10:38" x14ac:dyDescent="0.25">
      <c r="J15" t="s">
        <v>41</v>
      </c>
      <c r="K15" s="11">
        <f>VLOOKUP($J15,output!$A$9:$AI$2200,K$1-$L$1+3)</f>
        <v>0</v>
      </c>
      <c r="L15" s="11">
        <f>VLOOKUP($J15,output!$A$9:$AI$2200,L$1-$L$1+3)</f>
        <v>514.33500000000004</v>
      </c>
      <c r="M15" s="11">
        <f>VLOOKUP($J15,output!$A$9:$AI$2200,M$1-$L$1+3)</f>
        <v>636.47299999999996</v>
      </c>
      <c r="N15" s="11">
        <f>VLOOKUP($J15,output!$A$9:$AI$2200,N$1-$L$1+3)</f>
        <v>517.43600000000004</v>
      </c>
      <c r="O15" s="11">
        <f>VLOOKUP($J15,output!$A$9:$AI$2200,O$1-$L$1+3)</f>
        <v>525.29</v>
      </c>
      <c r="P15" s="11">
        <f>VLOOKUP($J15,output!$A$9:$AI$2200,P$1-$L$1+3)</f>
        <v>434.74</v>
      </c>
      <c r="Q15" s="11">
        <f>VLOOKUP($J15,output!$A$9:$AI$2200,Q$1-$L$1+3)</f>
        <v>334.22500000000002</v>
      </c>
      <c r="R15" s="11">
        <f>VLOOKUP($J15,output!$A$9:$AI$2200,R$1-$L$1+3)</f>
        <v>242.89</v>
      </c>
      <c r="S15" s="11">
        <f>VLOOKUP($J15,output!$A$9:$AI$2200,S$1-$L$1+3)</f>
        <v>361.96199999999999</v>
      </c>
      <c r="T15" s="11">
        <f>VLOOKUP($J15,output!$A$9:$AI$2200,T$1-$L$1+3)</f>
        <v>262.10000000000002</v>
      </c>
      <c r="U15" s="11">
        <f>VLOOKUP($J15,output!$A$9:$AI$2200,U$1-$L$1+3)</f>
        <v>285.238</v>
      </c>
      <c r="V15" s="11">
        <f>VLOOKUP($J15,output!$A$9:$AI$2200,V$1-$L$1+3)</f>
        <v>315.29700000000003</v>
      </c>
      <c r="W15" s="11">
        <f>VLOOKUP($J15,output!$A$9:$AI$2200,W$1-$L$1+3)</f>
        <v>339.197</v>
      </c>
      <c r="X15" s="11">
        <f>VLOOKUP($J15,output!$A$9:$AI$2200,X$1-$L$1+3)</f>
        <v>350.42200000000003</v>
      </c>
      <c r="Y15" s="11">
        <f>VLOOKUP($J15,output!$A$9:$AI$2200,Y$1-$L$1+3)</f>
        <v>394.88600000000002</v>
      </c>
      <c r="Z15" s="11">
        <f>VLOOKUP($J15,output!$A$9:$AI$2200,Z$1-$L$1+3)</f>
        <v>415.048</v>
      </c>
      <c r="AA15" s="11">
        <f>VLOOKUP($J15,output!$A$9:$AI$2200,AA$1-$L$1+3)</f>
        <v>333.64</v>
      </c>
      <c r="AB15" s="11">
        <f>VLOOKUP($J15,output!$A$9:$AI$2200,AB$1-$L$1+3)</f>
        <v>448.154</v>
      </c>
      <c r="AC15" s="11">
        <f>VLOOKUP($J15,output!$A$9:$AI$2200,AC$1-$L$1+3)</f>
        <v>360.78699999999998</v>
      </c>
      <c r="AD15" s="11">
        <f>VLOOKUP($J15,output!$A$9:$AI$2200,AD$1-$L$1+3)</f>
        <v>357.05599999999998</v>
      </c>
      <c r="AE15" s="11">
        <f>VLOOKUP($J15,output!$A$9:$AI$2200,AE$1-$L$1+3)</f>
        <v>297.51900000000001</v>
      </c>
      <c r="AF15" s="11">
        <f>VLOOKUP($J15,output!$A$9:$AI$2200,AF$1-$L$1+3)</f>
        <v>225.048</v>
      </c>
      <c r="AG15" s="11">
        <f>VLOOKUP($J15,output!$A$9:$AI$2200,AG$1-$L$1+3)</f>
        <v>167.11500000000001</v>
      </c>
      <c r="AH15" s="11">
        <f>VLOOKUP($J15,output!$A$9:$AI$2200,AH$1-$L$1+3)</f>
        <v>235.55199999999999</v>
      </c>
      <c r="AI15" s="11">
        <f>VLOOKUP($J15,output!$A$9:$AI$2200,AI$1-$L$1+3)</f>
        <v>171.727</v>
      </c>
      <c r="AJ15" s="11">
        <f>VLOOKUP($J15,output!$A$9:$AI$2200,AJ$1-$L$1+3)</f>
        <v>182.45</v>
      </c>
      <c r="AK15" s="11">
        <f>VLOOKUP($J15,output!$A$9:$AI$2200,AK$1-$L$1+3)</f>
        <v>197.471</v>
      </c>
      <c r="AL15" s="11">
        <f>VLOOKUP($J15,output!$A$9:$AI$2200,AL$1-$L$1+3)</f>
        <v>209.977</v>
      </c>
    </row>
    <row r="16" spans="10:38" x14ac:dyDescent="0.25">
      <c r="J16" t="s">
        <v>42</v>
      </c>
      <c r="K16" s="11">
        <f>VLOOKUP($J16,output!$A$9:$AI$2200,K$1-$L$1+3)</f>
        <v>0</v>
      </c>
      <c r="L16" s="11">
        <f>VLOOKUP($J16,output!$A$9:$AI$2200,L$1-$L$1+3)</f>
        <v>6.7770000000000001</v>
      </c>
      <c r="M16" s="11">
        <f>VLOOKUP($J16,output!$A$9:$AI$2200,M$1-$L$1+3)</f>
        <v>1.9530000000000001</v>
      </c>
      <c r="N16" s="11">
        <f>VLOOKUP($J16,output!$A$9:$AI$2200,N$1-$L$1+3)</f>
        <v>2.073</v>
      </c>
      <c r="O16" s="11">
        <f>VLOOKUP($J16,output!$A$9:$AI$2200,O$1-$L$1+3)</f>
        <v>3.07</v>
      </c>
      <c r="P16" s="11">
        <f>VLOOKUP($J16,output!$A$9:$AI$2200,P$1-$L$1+3)</f>
        <v>3.2749999999999999</v>
      </c>
      <c r="Q16" s="11">
        <f>VLOOKUP($J16,output!$A$9:$AI$2200,Q$1-$L$1+3)</f>
        <v>3.5830000000000002</v>
      </c>
      <c r="R16" s="11">
        <f>VLOOKUP($J16,output!$A$9:$AI$2200,R$1-$L$1+3)</f>
        <v>3.8919999999999999</v>
      </c>
      <c r="S16" s="11">
        <f>VLOOKUP($J16,output!$A$9:$AI$2200,S$1-$L$1+3)</f>
        <v>4.4219999999999997</v>
      </c>
      <c r="T16" s="11">
        <f>VLOOKUP($J16,output!$A$9:$AI$2200,T$1-$L$1+3)</f>
        <v>4.7080000000000002</v>
      </c>
      <c r="U16" s="11">
        <f>VLOOKUP($J16,output!$A$9:$AI$2200,U$1-$L$1+3)</f>
        <v>5.0999999999999996</v>
      </c>
      <c r="V16" s="11">
        <f>VLOOKUP($J16,output!$A$9:$AI$2200,V$1-$L$1+3)</f>
        <v>5.4210000000000003</v>
      </c>
      <c r="W16" s="11">
        <f>VLOOKUP($J16,output!$A$9:$AI$2200,W$1-$L$1+3)</f>
        <v>5.7089999999999996</v>
      </c>
      <c r="X16" s="11">
        <f>VLOOKUP($J16,output!$A$9:$AI$2200,X$1-$L$1+3)</f>
        <v>6.0709999999999997</v>
      </c>
      <c r="Y16" s="11">
        <f>VLOOKUP($J16,output!$A$9:$AI$2200,Y$1-$L$1+3)</f>
        <v>6.4820000000000002</v>
      </c>
      <c r="Z16" s="11">
        <f>VLOOKUP($J16,output!$A$9:$AI$2200,Z$1-$L$1+3)</f>
        <v>6.7830000000000004</v>
      </c>
      <c r="AA16" s="11">
        <f>VLOOKUP($J16,output!$A$9:$AI$2200,AA$1-$L$1+3)</f>
        <v>5.3570000000000002</v>
      </c>
      <c r="AB16" s="11">
        <f>VLOOKUP($J16,output!$A$9:$AI$2200,AB$1-$L$1+3)</f>
        <v>6.9390000000000001</v>
      </c>
      <c r="AC16" s="11">
        <f>VLOOKUP($J16,output!$A$9:$AI$2200,AC$1-$L$1+3)</f>
        <v>5.6630000000000003</v>
      </c>
      <c r="AD16" s="11">
        <f>VLOOKUP($J16,output!$A$9:$AI$2200,AD$1-$L$1+3)</f>
        <v>5.6319999999999997</v>
      </c>
      <c r="AE16" s="11">
        <f>VLOOKUP($J16,output!$A$9:$AI$2200,AE$1-$L$1+3)</f>
        <v>4.7380000000000004</v>
      </c>
      <c r="AF16" s="11">
        <f>VLOOKUP($J16,output!$A$9:$AI$2200,AF$1-$L$1+3)</f>
        <v>3.7549999999999999</v>
      </c>
      <c r="AG16" s="11">
        <f>VLOOKUP($J16,output!$A$9:$AI$2200,AG$1-$L$1+3)</f>
        <v>2.8679999999999999</v>
      </c>
      <c r="AH16" s="11">
        <f>VLOOKUP($J16,output!$A$9:$AI$2200,AH$1-$L$1+3)</f>
        <v>4.0549999999999997</v>
      </c>
      <c r="AI16" s="11">
        <f>VLOOKUP($J16,output!$A$9:$AI$2200,AI$1-$L$1+3)</f>
        <v>3.0569999999999999</v>
      </c>
      <c r="AJ16" s="11">
        <f>VLOOKUP($J16,output!$A$9:$AI$2200,AJ$1-$L$1+3)</f>
        <v>3.3130000000000002</v>
      </c>
      <c r="AK16" s="11">
        <f>VLOOKUP($J16,output!$A$9:$AI$2200,AK$1-$L$1+3)</f>
        <v>3.637</v>
      </c>
      <c r="AL16" s="11">
        <f>VLOOKUP($J16,output!$A$9:$AI$2200,AL$1-$L$1+3)</f>
        <v>3.8940000000000001</v>
      </c>
    </row>
    <row r="17" spans="9:38" x14ac:dyDescent="0.25">
      <c r="J17" t="s">
        <v>252</v>
      </c>
      <c r="K17" s="11">
        <f>VLOOKUP($J17,output!$A$9:$AI$2200,K$1-$L$1+3)</f>
        <v>0</v>
      </c>
      <c r="L17" s="11">
        <f>VLOOKUP($J17,output!$A$9:$AI$2200,L$1-$L$1+3)</f>
        <v>5.6660000000000004</v>
      </c>
      <c r="M17" s="11">
        <f>VLOOKUP($J17,output!$A$9:$AI$2200,M$1-$L$1+3)</f>
        <v>7.8879999999999999</v>
      </c>
      <c r="N17" s="11">
        <f>VLOOKUP($J17,output!$A$9:$AI$2200,N$1-$L$1+3)</f>
        <v>7.3529999999999998</v>
      </c>
      <c r="O17" s="11">
        <f>VLOOKUP($J17,output!$A$9:$AI$2200,O$1-$L$1+3)</f>
        <v>8.3949999999999996</v>
      </c>
      <c r="P17" s="11">
        <f>VLOOKUP($J17,output!$A$9:$AI$2200,P$1-$L$1+3)</f>
        <v>8.1769999999999996</v>
      </c>
      <c r="Q17" s="11">
        <f>VLOOKUP($J17,output!$A$9:$AI$2200,Q$1-$L$1+3)</f>
        <v>7.8019999999999996</v>
      </c>
      <c r="R17" s="11">
        <f>VLOOKUP($J17,output!$A$9:$AI$2200,R$1-$L$1+3)</f>
        <v>7.4390000000000001</v>
      </c>
      <c r="S17" s="11">
        <f>VLOOKUP($J17,output!$A$9:$AI$2200,S$1-$L$1+3)</f>
        <v>8.5139999999999993</v>
      </c>
      <c r="T17" s="11">
        <f>VLOOKUP($J17,output!$A$9:$AI$2200,T$1-$L$1+3)</f>
        <v>8.3000000000000007</v>
      </c>
      <c r="U17" s="11">
        <f>VLOOKUP($J17,output!$A$9:$AI$2200,U$1-$L$1+3)</f>
        <v>8.8940000000000001</v>
      </c>
      <c r="V17" s="11">
        <f>VLOOKUP($J17,output!$A$9:$AI$2200,V$1-$L$1+3)</f>
        <v>9.4960000000000004</v>
      </c>
      <c r="W17" s="11">
        <f>VLOOKUP($J17,output!$A$9:$AI$2200,W$1-$L$1+3)</f>
        <v>10.087999999999999</v>
      </c>
      <c r="X17" s="11">
        <f>VLOOKUP($J17,output!$A$9:$AI$2200,X$1-$L$1+3)</f>
        <v>0</v>
      </c>
      <c r="Y17" s="11">
        <f>VLOOKUP($J17,output!$A$9:$AI$2200,Y$1-$L$1+3)</f>
        <v>0</v>
      </c>
      <c r="Z17" s="11">
        <f>VLOOKUP($J17,output!$A$9:$AI$2200,Z$1-$L$1+3)</f>
        <v>0</v>
      </c>
      <c r="AA17" s="11">
        <f>VLOOKUP($J17,output!$A$9:$AI$2200,AA$1-$L$1+3)</f>
        <v>0</v>
      </c>
      <c r="AB17" s="11">
        <f>VLOOKUP($J17,output!$A$9:$AI$2200,AB$1-$L$1+3)</f>
        <v>0</v>
      </c>
      <c r="AC17" s="11">
        <f>VLOOKUP($J17,output!$A$9:$AI$2200,AC$1-$L$1+3)</f>
        <v>0</v>
      </c>
      <c r="AD17" s="11">
        <f>VLOOKUP($J17,output!$A$9:$AI$2200,AD$1-$L$1+3)</f>
        <v>0</v>
      </c>
      <c r="AE17" s="11">
        <f>VLOOKUP($J17,output!$A$9:$AI$2200,AE$1-$L$1+3)</f>
        <v>0</v>
      </c>
      <c r="AF17" s="11">
        <f>VLOOKUP($J17,output!$A$9:$AI$2200,AF$1-$L$1+3)</f>
        <v>0</v>
      </c>
      <c r="AG17" s="11">
        <f>VLOOKUP($J17,output!$A$9:$AI$2200,AG$1-$L$1+3)</f>
        <v>0</v>
      </c>
      <c r="AH17" s="11">
        <f>VLOOKUP($J17,output!$A$9:$AI$2200,AH$1-$L$1+3)</f>
        <v>0</v>
      </c>
      <c r="AI17" s="11">
        <f>VLOOKUP($J17,output!$A$9:$AI$2200,AI$1-$L$1+3)</f>
        <v>0</v>
      </c>
      <c r="AJ17" s="11">
        <f>VLOOKUP($J17,output!$A$9:$AI$2200,AJ$1-$L$1+3)</f>
        <v>0</v>
      </c>
      <c r="AK17" s="11">
        <f>VLOOKUP($J17,output!$A$9:$AI$2200,AK$1-$L$1+3)</f>
        <v>0</v>
      </c>
      <c r="AL17" s="11">
        <f>VLOOKUP($J17,output!$A$9:$AI$2200,AL$1-$L$1+3)</f>
        <v>0</v>
      </c>
    </row>
    <row r="18" spans="9:38" x14ac:dyDescent="0.25">
      <c r="J18" t="s">
        <v>43</v>
      </c>
      <c r="K18" s="11">
        <f>VLOOKUP($J18,output!$A$9:$AI$2200,K$1-$L$1+3)</f>
        <v>0</v>
      </c>
      <c r="L18" s="11">
        <f>VLOOKUP($J18,output!$A$9:$AI$2200,L$1-$L$1+3)</f>
        <v>8.5440000000000005</v>
      </c>
      <c r="M18" s="11">
        <f>VLOOKUP($J18,output!$A$9:$AI$2200,M$1-$L$1+3)</f>
        <v>0</v>
      </c>
      <c r="N18" s="11">
        <f>VLOOKUP($J18,output!$A$9:$AI$2200,N$1-$L$1+3)</f>
        <v>13.557</v>
      </c>
      <c r="O18" s="11">
        <f>VLOOKUP($J18,output!$A$9:$AI$2200,O$1-$L$1+3)</f>
        <v>8.7490000000000006</v>
      </c>
      <c r="P18" s="11">
        <f>VLOOKUP($J18,output!$A$9:$AI$2200,P$1-$L$1+3)</f>
        <v>19.196999999999999</v>
      </c>
      <c r="Q18" s="11">
        <f>VLOOKUP($J18,output!$A$9:$AI$2200,Q$1-$L$1+3)</f>
        <v>31.212</v>
      </c>
      <c r="R18" s="11">
        <f>VLOOKUP($J18,output!$A$9:$AI$2200,R$1-$L$1+3)</f>
        <v>42.710999999999999</v>
      </c>
      <c r="S18" s="11">
        <f>VLOOKUP($J18,output!$A$9:$AI$2200,S$1-$L$1+3)</f>
        <v>25.559000000000001</v>
      </c>
      <c r="T18" s="11">
        <f>VLOOKUP($J18,output!$A$9:$AI$2200,T$1-$L$1+3)</f>
        <v>38.691000000000003</v>
      </c>
      <c r="U18" s="11">
        <f>VLOOKUP($J18,output!$A$9:$AI$2200,U$1-$L$1+3)</f>
        <v>34.564</v>
      </c>
      <c r="V18" s="11">
        <f>VLOOKUP($J18,output!$A$9:$AI$2200,V$1-$L$1+3)</f>
        <v>29.053999999999998</v>
      </c>
      <c r="W18" s="11">
        <f>VLOOKUP($J18,output!$A$9:$AI$2200,W$1-$L$1+3)</f>
        <v>24.024000000000001</v>
      </c>
      <c r="X18" s="11">
        <f>VLOOKUP($J18,output!$A$9:$AI$2200,X$1-$L$1+3)</f>
        <v>0</v>
      </c>
      <c r="Y18" s="11">
        <f>VLOOKUP($J18,output!$A$9:$AI$2200,Y$1-$L$1+3)</f>
        <v>0</v>
      </c>
      <c r="Z18" s="11">
        <f>VLOOKUP($J18,output!$A$9:$AI$2200,Z$1-$L$1+3)</f>
        <v>0</v>
      </c>
      <c r="AA18" s="11">
        <f>VLOOKUP($J18,output!$A$9:$AI$2200,AA$1-$L$1+3)</f>
        <v>0</v>
      </c>
      <c r="AB18" s="11">
        <f>VLOOKUP($J18,output!$A$9:$AI$2200,AB$1-$L$1+3)</f>
        <v>0</v>
      </c>
      <c r="AC18" s="11">
        <f>VLOOKUP($J18,output!$A$9:$AI$2200,AC$1-$L$1+3)</f>
        <v>0</v>
      </c>
      <c r="AD18" s="11">
        <f>VLOOKUP($J18,output!$A$9:$AI$2200,AD$1-$L$1+3)</f>
        <v>0</v>
      </c>
      <c r="AE18" s="11">
        <f>VLOOKUP($J18,output!$A$9:$AI$2200,AE$1-$L$1+3)</f>
        <v>0</v>
      </c>
      <c r="AF18" s="11">
        <f>VLOOKUP($J18,output!$A$9:$AI$2200,AF$1-$L$1+3)</f>
        <v>0</v>
      </c>
      <c r="AG18" s="11">
        <f>VLOOKUP($J18,output!$A$9:$AI$2200,AG$1-$L$1+3)</f>
        <v>0</v>
      </c>
      <c r="AH18" s="11">
        <f>VLOOKUP($J18,output!$A$9:$AI$2200,AH$1-$L$1+3)</f>
        <v>0</v>
      </c>
      <c r="AI18" s="11">
        <f>VLOOKUP($J18,output!$A$9:$AI$2200,AI$1-$L$1+3)</f>
        <v>0</v>
      </c>
      <c r="AJ18" s="11">
        <f>VLOOKUP($J18,output!$A$9:$AI$2200,AJ$1-$L$1+3)</f>
        <v>0</v>
      </c>
      <c r="AK18" s="11">
        <f>VLOOKUP($J18,output!$A$9:$AI$2200,AK$1-$L$1+3)</f>
        <v>0</v>
      </c>
      <c r="AL18" s="11">
        <f>VLOOKUP($J18,output!$A$9:$AI$2200,AL$1-$L$1+3)</f>
        <v>0</v>
      </c>
    </row>
    <row r="19" spans="9:38" x14ac:dyDescent="0.25">
      <c r="J19" t="s">
        <v>44</v>
      </c>
      <c r="K19" s="11">
        <f>VLOOKUP($J19,output!$A$9:$AI$2200,K$1-$L$1+3)</f>
        <v>0</v>
      </c>
      <c r="L19" s="11">
        <f>VLOOKUP($J19,output!$A$9:$AI$2200,L$1-$L$1+3)</f>
        <v>137.66499999999999</v>
      </c>
      <c r="M19" s="11">
        <f>VLOOKUP($J19,output!$A$9:$AI$2200,M$1-$L$1+3)</f>
        <v>107.455</v>
      </c>
      <c r="N19" s="11">
        <f>VLOOKUP($J19,output!$A$9:$AI$2200,N$1-$L$1+3)</f>
        <v>107.03400000000001</v>
      </c>
      <c r="O19" s="11">
        <f>VLOOKUP($J19,output!$A$9:$AI$2200,O$1-$L$1+3)</f>
        <v>121.91200000000001</v>
      </c>
      <c r="P19" s="11">
        <f>VLOOKUP($J19,output!$A$9:$AI$2200,P$1-$L$1+3)</f>
        <v>120.974</v>
      </c>
      <c r="Q19" s="11">
        <f>VLOOKUP($J19,output!$A$9:$AI$2200,Q$1-$L$1+3)</f>
        <v>119.73</v>
      </c>
      <c r="R19" s="11">
        <f>VLOOKUP($J19,output!$A$9:$AI$2200,R$1-$L$1+3)</f>
        <v>118.252</v>
      </c>
      <c r="S19" s="11">
        <f>VLOOKUP($J19,output!$A$9:$AI$2200,S$1-$L$1+3)</f>
        <v>127.758</v>
      </c>
      <c r="T19" s="11">
        <f>VLOOKUP($J19,output!$A$9:$AI$2200,T$1-$L$1+3)</f>
        <v>126.67100000000001</v>
      </c>
      <c r="U19" s="11">
        <f>VLOOKUP($J19,output!$A$9:$AI$2200,U$1-$L$1+3)</f>
        <v>130.482</v>
      </c>
      <c r="V19" s="11">
        <f>VLOOKUP($J19,output!$A$9:$AI$2200,V$1-$L$1+3)</f>
        <v>134.49299999999999</v>
      </c>
      <c r="W19" s="11">
        <f>VLOOKUP($J19,output!$A$9:$AI$2200,W$1-$L$1+3)</f>
        <v>138.35900000000001</v>
      </c>
      <c r="X19" s="11">
        <f>VLOOKUP($J19,output!$A$9:$AI$2200,X$1-$L$1+3)</f>
        <v>0</v>
      </c>
      <c r="Y19" s="11">
        <f>VLOOKUP($J19,output!$A$9:$AI$2200,Y$1-$L$1+3)</f>
        <v>0</v>
      </c>
      <c r="Z19" s="11">
        <f>VLOOKUP($J19,output!$A$9:$AI$2200,Z$1-$L$1+3)</f>
        <v>0</v>
      </c>
      <c r="AA19" s="11">
        <f>VLOOKUP($J19,output!$A$9:$AI$2200,AA$1-$L$1+3)</f>
        <v>0</v>
      </c>
      <c r="AB19" s="11">
        <f>VLOOKUP($J19,output!$A$9:$AI$2200,AB$1-$L$1+3)</f>
        <v>0</v>
      </c>
      <c r="AC19" s="11">
        <f>VLOOKUP($J19,output!$A$9:$AI$2200,AC$1-$L$1+3)</f>
        <v>0</v>
      </c>
      <c r="AD19" s="11">
        <f>VLOOKUP($J19,output!$A$9:$AI$2200,AD$1-$L$1+3)</f>
        <v>0</v>
      </c>
      <c r="AE19" s="11">
        <f>VLOOKUP($J19,output!$A$9:$AI$2200,AE$1-$L$1+3)</f>
        <v>0</v>
      </c>
      <c r="AF19" s="11">
        <f>VLOOKUP($J19,output!$A$9:$AI$2200,AF$1-$L$1+3)</f>
        <v>0</v>
      </c>
      <c r="AG19" s="11">
        <f>VLOOKUP($J19,output!$A$9:$AI$2200,AG$1-$L$1+3)</f>
        <v>0</v>
      </c>
      <c r="AH19" s="11">
        <f>VLOOKUP($J19,output!$A$9:$AI$2200,AH$1-$L$1+3)</f>
        <v>0</v>
      </c>
      <c r="AI19" s="11">
        <f>VLOOKUP($J19,output!$A$9:$AI$2200,AI$1-$L$1+3)</f>
        <v>0</v>
      </c>
      <c r="AJ19" s="11">
        <f>VLOOKUP($J19,output!$A$9:$AI$2200,AJ$1-$L$1+3)</f>
        <v>0</v>
      </c>
      <c r="AK19" s="11">
        <f>VLOOKUP($J19,output!$A$9:$AI$2200,AK$1-$L$1+3)</f>
        <v>0</v>
      </c>
      <c r="AL19" s="11">
        <f>VLOOKUP($J19,output!$A$9:$AI$2200,AL$1-$L$1+3)</f>
        <v>0</v>
      </c>
    </row>
    <row r="20" spans="9:38" x14ac:dyDescent="0.25">
      <c r="J20" t="s">
        <v>45</v>
      </c>
      <c r="K20" s="11">
        <f>VLOOKUP($J20,output!$A$9:$AI$2200,K$1-$L$1+3)</f>
        <v>0</v>
      </c>
      <c r="L20" s="11">
        <f>VLOOKUP($J20,output!$A$9:$AI$2200,L$1-$L$1+3)</f>
        <v>94.536000000000001</v>
      </c>
      <c r="M20" s="11">
        <f>VLOOKUP($J20,output!$A$9:$AI$2200,M$1-$L$1+3)</f>
        <v>133.28800000000001</v>
      </c>
      <c r="N20" s="11">
        <f>VLOOKUP($J20,output!$A$9:$AI$2200,N$1-$L$1+3)</f>
        <v>119.46899999999999</v>
      </c>
      <c r="O20" s="11">
        <f>VLOOKUP($J20,output!$A$9:$AI$2200,O$1-$L$1+3)</f>
        <v>106.818</v>
      </c>
      <c r="P20" s="11">
        <f>VLOOKUP($J20,output!$A$9:$AI$2200,P$1-$L$1+3)</f>
        <v>96.432000000000002</v>
      </c>
      <c r="Q20" s="11">
        <f>VLOOKUP($J20,output!$A$9:$AI$2200,Q$1-$L$1+3)</f>
        <v>85.007000000000005</v>
      </c>
      <c r="R20" s="11">
        <f>VLOOKUP($J20,output!$A$9:$AI$2200,R$1-$L$1+3)</f>
        <v>74.412000000000006</v>
      </c>
      <c r="S20" s="11">
        <f>VLOOKUP($J20,output!$A$9:$AI$2200,S$1-$L$1+3)</f>
        <v>81.066999999999993</v>
      </c>
      <c r="T20" s="11">
        <f>VLOOKUP($J20,output!$A$9:$AI$2200,T$1-$L$1+3)</f>
        <v>69.204999999999998</v>
      </c>
      <c r="U20" s="11">
        <f>VLOOKUP($J20,output!$A$9:$AI$2200,U$1-$L$1+3)</f>
        <v>68.738</v>
      </c>
      <c r="V20" s="11">
        <f>VLOOKUP($J20,output!$A$9:$AI$2200,V$1-$L$1+3)</f>
        <v>69.262</v>
      </c>
      <c r="W20" s="11">
        <f>VLOOKUP($J20,output!$A$9:$AI$2200,W$1-$L$1+3)</f>
        <v>69.234999999999999</v>
      </c>
      <c r="X20" s="11">
        <f>VLOOKUP($J20,output!$A$9:$AI$2200,X$1-$L$1+3)</f>
        <v>0</v>
      </c>
      <c r="Y20" s="11">
        <f>VLOOKUP($J20,output!$A$9:$AI$2200,Y$1-$L$1+3)</f>
        <v>0</v>
      </c>
      <c r="Z20" s="11">
        <f>VLOOKUP($J20,output!$A$9:$AI$2200,Z$1-$L$1+3)</f>
        <v>0</v>
      </c>
      <c r="AA20" s="11">
        <f>VLOOKUP($J20,output!$A$9:$AI$2200,AA$1-$L$1+3)</f>
        <v>0</v>
      </c>
      <c r="AB20" s="11">
        <f>VLOOKUP($J20,output!$A$9:$AI$2200,AB$1-$L$1+3)</f>
        <v>0</v>
      </c>
      <c r="AC20" s="11">
        <f>VLOOKUP($J20,output!$A$9:$AI$2200,AC$1-$L$1+3)</f>
        <v>0</v>
      </c>
      <c r="AD20" s="11">
        <f>VLOOKUP($J20,output!$A$9:$AI$2200,AD$1-$L$1+3)</f>
        <v>0</v>
      </c>
      <c r="AE20" s="11">
        <f>VLOOKUP($J20,output!$A$9:$AI$2200,AE$1-$L$1+3)</f>
        <v>0</v>
      </c>
      <c r="AF20" s="11">
        <f>VLOOKUP($J20,output!$A$9:$AI$2200,AF$1-$L$1+3)</f>
        <v>0</v>
      </c>
      <c r="AG20" s="11">
        <f>VLOOKUP($J20,output!$A$9:$AI$2200,AG$1-$L$1+3)</f>
        <v>0</v>
      </c>
      <c r="AH20" s="11">
        <f>VLOOKUP($J20,output!$A$9:$AI$2200,AH$1-$L$1+3)</f>
        <v>0</v>
      </c>
      <c r="AI20" s="11">
        <f>VLOOKUP($J20,output!$A$9:$AI$2200,AI$1-$L$1+3)</f>
        <v>0</v>
      </c>
      <c r="AJ20" s="11">
        <f>VLOOKUP($J20,output!$A$9:$AI$2200,AJ$1-$L$1+3)</f>
        <v>0</v>
      </c>
      <c r="AK20" s="11">
        <f>VLOOKUP($J20,output!$A$9:$AI$2200,AK$1-$L$1+3)</f>
        <v>0</v>
      </c>
      <c r="AL20" s="11">
        <f>VLOOKUP($J20,output!$A$9:$AI$2200,AL$1-$L$1+3)</f>
        <v>0</v>
      </c>
    </row>
    <row r="21" spans="9:38" x14ac:dyDescent="0.25">
      <c r="J21" t="s">
        <v>47</v>
      </c>
      <c r="K21" s="11">
        <f>VLOOKUP($J21,output!$A$9:$AI$2200,K$1-$L$1+3)</f>
        <v>0</v>
      </c>
      <c r="L21" s="11">
        <f>VLOOKUP($J21,output!$A$9:$AI$2200,L$1-$L$1+3)</f>
        <v>7.0380000000000003</v>
      </c>
      <c r="M21" s="11">
        <f>VLOOKUP($J21,output!$A$9:$AI$2200,M$1-$L$1+3)</f>
        <v>3.5990000000000002</v>
      </c>
      <c r="N21" s="11">
        <f>VLOOKUP($J21,output!$A$9:$AI$2200,N$1-$L$1+3)</f>
        <v>3.645</v>
      </c>
      <c r="O21" s="11">
        <f>VLOOKUP($J21,output!$A$9:$AI$2200,O$1-$L$1+3)</f>
        <v>4.0659999999999998</v>
      </c>
      <c r="P21" s="11">
        <f>VLOOKUP($J21,output!$A$9:$AI$2200,P$1-$L$1+3)</f>
        <v>4.1020000000000003</v>
      </c>
      <c r="Q21" s="11">
        <f>VLOOKUP($J21,output!$A$9:$AI$2200,Q$1-$L$1+3)</f>
        <v>4.1470000000000002</v>
      </c>
      <c r="R21" s="11">
        <f>VLOOKUP($J21,output!$A$9:$AI$2200,R$1-$L$1+3)</f>
        <v>4.1820000000000004</v>
      </c>
      <c r="S21" s="11">
        <f>VLOOKUP($J21,output!$A$9:$AI$2200,S$1-$L$1+3)</f>
        <v>4.2880000000000003</v>
      </c>
      <c r="T21" s="11">
        <f>VLOOKUP($J21,output!$A$9:$AI$2200,T$1-$L$1+3)</f>
        <v>4.3639999999999999</v>
      </c>
      <c r="U21" s="11">
        <f>VLOOKUP($J21,output!$A$9:$AI$2200,U$1-$L$1+3)</f>
        <v>4.4279999999999999</v>
      </c>
      <c r="V21" s="11">
        <f>VLOOKUP($J21,output!$A$9:$AI$2200,V$1-$L$1+3)</f>
        <v>4.4770000000000003</v>
      </c>
      <c r="W21" s="11">
        <f>VLOOKUP($J21,output!$A$9:$AI$2200,W$1-$L$1+3)</f>
        <v>4.5220000000000002</v>
      </c>
      <c r="X21" s="11">
        <f>VLOOKUP($J21,output!$A$9:$AI$2200,X$1-$L$1+3)</f>
        <v>0</v>
      </c>
      <c r="Y21" s="11">
        <f>VLOOKUP($J21,output!$A$9:$AI$2200,Y$1-$L$1+3)</f>
        <v>0</v>
      </c>
      <c r="Z21" s="11">
        <f>VLOOKUP($J21,output!$A$9:$AI$2200,Z$1-$L$1+3)</f>
        <v>0</v>
      </c>
      <c r="AA21" s="11">
        <f>VLOOKUP($J21,output!$A$9:$AI$2200,AA$1-$L$1+3)</f>
        <v>0</v>
      </c>
      <c r="AB21" s="11">
        <f>VLOOKUP($J21,output!$A$9:$AI$2200,AB$1-$L$1+3)</f>
        <v>0</v>
      </c>
      <c r="AC21" s="11">
        <f>VLOOKUP($J21,output!$A$9:$AI$2200,AC$1-$L$1+3)</f>
        <v>0</v>
      </c>
      <c r="AD21" s="11">
        <f>VLOOKUP($J21,output!$A$9:$AI$2200,AD$1-$L$1+3)</f>
        <v>0</v>
      </c>
      <c r="AE21" s="11">
        <f>VLOOKUP($J21,output!$A$9:$AI$2200,AE$1-$L$1+3)</f>
        <v>0</v>
      </c>
      <c r="AF21" s="11">
        <f>VLOOKUP($J21,output!$A$9:$AI$2200,AF$1-$L$1+3)</f>
        <v>0</v>
      </c>
      <c r="AG21" s="11">
        <f>VLOOKUP($J21,output!$A$9:$AI$2200,AG$1-$L$1+3)</f>
        <v>0</v>
      </c>
      <c r="AH21" s="11">
        <f>VLOOKUP($J21,output!$A$9:$AI$2200,AH$1-$L$1+3)</f>
        <v>0</v>
      </c>
      <c r="AI21" s="11">
        <f>VLOOKUP($J21,output!$A$9:$AI$2200,AI$1-$L$1+3)</f>
        <v>0</v>
      </c>
      <c r="AJ21" s="11">
        <f>VLOOKUP($J21,output!$A$9:$AI$2200,AJ$1-$L$1+3)</f>
        <v>0</v>
      </c>
      <c r="AK21" s="11">
        <f>VLOOKUP($J21,output!$A$9:$AI$2200,AK$1-$L$1+3)</f>
        <v>0</v>
      </c>
      <c r="AL21" s="11">
        <f>VLOOKUP($J21,output!$A$9:$AI$2200,AL$1-$L$1+3)</f>
        <v>0</v>
      </c>
    </row>
    <row r="22" spans="9:38" x14ac:dyDescent="0.25">
      <c r="J22" t="s">
        <v>256</v>
      </c>
      <c r="K22" s="11">
        <f>VLOOKUP($J22,output!$A$9:$AI$2200,K$1-$L$1+3)</f>
        <v>0</v>
      </c>
      <c r="L22" s="11">
        <f>VLOOKUP($J22,output!$A$9:$AI$2200,L$1-$L$1+3)</f>
        <v>7.0380000000000003</v>
      </c>
      <c r="M22" s="11">
        <f>VLOOKUP($J22,output!$A$9:$AI$2200,M$1-$L$1+3)</f>
        <v>3.5990000000000002</v>
      </c>
      <c r="N22" s="11">
        <f>VLOOKUP($J22,output!$A$9:$AI$2200,N$1-$L$1+3)</f>
        <v>3.645</v>
      </c>
      <c r="O22" s="11">
        <f>VLOOKUP($J22,output!$A$9:$AI$2200,O$1-$L$1+3)</f>
        <v>4.0659999999999998</v>
      </c>
      <c r="P22" s="11">
        <f>VLOOKUP($J22,output!$A$9:$AI$2200,P$1-$L$1+3)</f>
        <v>4.1020000000000003</v>
      </c>
      <c r="Q22" s="11">
        <f>VLOOKUP($J22,output!$A$9:$AI$2200,Q$1-$L$1+3)</f>
        <v>4.1470000000000002</v>
      </c>
      <c r="R22" s="11">
        <f>VLOOKUP($J22,output!$A$9:$AI$2200,R$1-$L$1+3)</f>
        <v>4.1820000000000004</v>
      </c>
      <c r="S22" s="11">
        <f>VLOOKUP($J22,output!$A$9:$AI$2200,S$1-$L$1+3)</f>
        <v>4.2880000000000003</v>
      </c>
      <c r="T22" s="11">
        <f>VLOOKUP($J22,output!$A$9:$AI$2200,T$1-$L$1+3)</f>
        <v>4.3639999999999999</v>
      </c>
      <c r="U22" s="11">
        <f>VLOOKUP($J22,output!$A$9:$AI$2200,U$1-$L$1+3)</f>
        <v>4.4279999999999999</v>
      </c>
      <c r="V22" s="11">
        <f>VLOOKUP($J22,output!$A$9:$AI$2200,V$1-$L$1+3)</f>
        <v>4.4770000000000003</v>
      </c>
      <c r="W22" s="11">
        <f>VLOOKUP($J22,output!$A$9:$AI$2200,W$1-$L$1+3)</f>
        <v>4.5220000000000002</v>
      </c>
      <c r="X22" s="11">
        <f>VLOOKUP($J22,output!$A$9:$AI$2200,X$1-$L$1+3)</f>
        <v>0</v>
      </c>
      <c r="Y22" s="11">
        <f>VLOOKUP($J22,output!$A$9:$AI$2200,Y$1-$L$1+3)</f>
        <v>0</v>
      </c>
      <c r="Z22" s="11">
        <f>VLOOKUP($J22,output!$A$9:$AI$2200,Z$1-$L$1+3)</f>
        <v>0</v>
      </c>
      <c r="AA22" s="11">
        <f>VLOOKUP($J22,output!$A$9:$AI$2200,AA$1-$L$1+3)</f>
        <v>0</v>
      </c>
      <c r="AB22" s="11">
        <f>VLOOKUP($J22,output!$A$9:$AI$2200,AB$1-$L$1+3)</f>
        <v>0</v>
      </c>
      <c r="AC22" s="11">
        <f>VLOOKUP($J22,output!$A$9:$AI$2200,AC$1-$L$1+3)</f>
        <v>0</v>
      </c>
      <c r="AD22" s="11">
        <f>VLOOKUP($J22,output!$A$9:$AI$2200,AD$1-$L$1+3)</f>
        <v>0</v>
      </c>
      <c r="AE22" s="11">
        <f>VLOOKUP($J22,output!$A$9:$AI$2200,AE$1-$L$1+3)</f>
        <v>0</v>
      </c>
      <c r="AF22" s="11">
        <f>VLOOKUP($J22,output!$A$9:$AI$2200,AF$1-$L$1+3)</f>
        <v>0</v>
      </c>
      <c r="AG22" s="11">
        <f>VLOOKUP($J22,output!$A$9:$AI$2200,AG$1-$L$1+3)</f>
        <v>0</v>
      </c>
      <c r="AH22" s="11">
        <f>VLOOKUP($J22,output!$A$9:$AI$2200,AH$1-$L$1+3)</f>
        <v>0</v>
      </c>
      <c r="AI22" s="11">
        <f>VLOOKUP($J22,output!$A$9:$AI$2200,AI$1-$L$1+3)</f>
        <v>0</v>
      </c>
      <c r="AJ22" s="11">
        <f>VLOOKUP($J22,output!$A$9:$AI$2200,AJ$1-$L$1+3)</f>
        <v>0</v>
      </c>
      <c r="AK22" s="11">
        <f>VLOOKUP($J22,output!$A$9:$AI$2200,AK$1-$L$1+3)</f>
        <v>0</v>
      </c>
      <c r="AL22" s="11">
        <f>VLOOKUP($J22,output!$A$9:$AI$2200,AL$1-$L$1+3)</f>
        <v>0</v>
      </c>
    </row>
    <row r="23" spans="9:38" x14ac:dyDescent="0.25">
      <c r="J23" t="s">
        <v>253</v>
      </c>
      <c r="K23" s="11">
        <f>VLOOKUP($J23,output!$A$9:$AI$2200,K$1-$L$1+3)</f>
        <v>0</v>
      </c>
      <c r="L23" s="11">
        <f>VLOOKUP($J23,output!$A$9:$AI$2200,L$1-$L$1+3)</f>
        <v>136.62</v>
      </c>
      <c r="M23" s="11">
        <f>VLOOKUP($J23,output!$A$9:$AI$2200,M$1-$L$1+3)</f>
        <v>136.55099999999999</v>
      </c>
      <c r="N23" s="11">
        <f>VLOOKUP($J23,output!$A$9:$AI$2200,N$1-$L$1+3)</f>
        <v>136.477</v>
      </c>
      <c r="O23" s="11">
        <f>VLOOKUP($J23,output!$A$9:$AI$2200,O$1-$L$1+3)</f>
        <v>136.399</v>
      </c>
      <c r="P23" s="11">
        <f>VLOOKUP($J23,output!$A$9:$AI$2200,P$1-$L$1+3)</f>
        <v>136.316</v>
      </c>
      <c r="Q23" s="11">
        <f>VLOOKUP($J23,output!$A$9:$AI$2200,Q$1-$L$1+3)</f>
        <v>136.226</v>
      </c>
      <c r="R23" s="11">
        <f>VLOOKUP($J23,output!$A$9:$AI$2200,R$1-$L$1+3)</f>
        <v>136.13</v>
      </c>
      <c r="S23" s="11">
        <f>VLOOKUP($J23,output!$A$9:$AI$2200,S$1-$L$1+3)</f>
        <v>136.02799999999999</v>
      </c>
      <c r="T23" s="11">
        <f>VLOOKUP($J23,output!$A$9:$AI$2200,T$1-$L$1+3)</f>
        <v>135.91800000000001</v>
      </c>
      <c r="U23" s="11">
        <f>VLOOKUP($J23,output!$A$9:$AI$2200,U$1-$L$1+3)</f>
        <v>135.797</v>
      </c>
      <c r="V23" s="11">
        <f>VLOOKUP($J23,output!$A$9:$AI$2200,V$1-$L$1+3)</f>
        <v>135.66300000000001</v>
      </c>
      <c r="W23" s="11">
        <f>VLOOKUP($J23,output!$A$9:$AI$2200,W$1-$L$1+3)</f>
        <v>135.583</v>
      </c>
      <c r="X23" s="11">
        <f>VLOOKUP($J23,output!$A$9:$AI$2200,X$1-$L$1+3)</f>
        <v>135.49199999999999</v>
      </c>
      <c r="Y23" s="11">
        <f>VLOOKUP($J23,output!$A$9:$AI$2200,Y$1-$L$1+3)</f>
        <v>135.392</v>
      </c>
      <c r="Z23" s="11">
        <f>VLOOKUP($J23,output!$A$9:$AI$2200,Z$1-$L$1+3)</f>
        <v>135.28399999999999</v>
      </c>
      <c r="AA23" s="11">
        <f>VLOOKUP($J23,output!$A$9:$AI$2200,AA$1-$L$1+3)</f>
        <v>135.166</v>
      </c>
      <c r="AB23" s="11">
        <f>VLOOKUP($J23,output!$A$9:$AI$2200,AB$1-$L$1+3)</f>
        <v>134.982</v>
      </c>
      <c r="AC23" s="11">
        <f>VLOOKUP($J23,output!$A$9:$AI$2200,AC$1-$L$1+3)</f>
        <v>134.72</v>
      </c>
      <c r="AD23" s="11">
        <f>VLOOKUP($J23,output!$A$9:$AI$2200,AD$1-$L$1+3)</f>
        <v>134.429</v>
      </c>
      <c r="AE23" s="11">
        <f>VLOOKUP($J23,output!$A$9:$AI$2200,AE$1-$L$1+3)</f>
        <v>134.12299999999999</v>
      </c>
      <c r="AF23" s="11">
        <f>VLOOKUP($J23,output!$A$9:$AI$2200,AF$1-$L$1+3)</f>
        <v>158.499</v>
      </c>
      <c r="AG23" s="11">
        <f>VLOOKUP($J23,output!$A$9:$AI$2200,AG$1-$L$1+3)</f>
        <v>145.619</v>
      </c>
      <c r="AH23" s="11">
        <f>VLOOKUP($J23,output!$A$9:$AI$2200,AH$1-$L$1+3)</f>
        <v>145.23099999999999</v>
      </c>
      <c r="AI23" s="11">
        <f>VLOOKUP($J23,output!$A$9:$AI$2200,AI$1-$L$1+3)</f>
        <v>146.05799999999999</v>
      </c>
      <c r="AJ23" s="11">
        <f>VLOOKUP($J23,output!$A$9:$AI$2200,AJ$1-$L$1+3)</f>
        <v>145.71899999999999</v>
      </c>
      <c r="AK23" s="11">
        <f>VLOOKUP($J23,output!$A$9:$AI$2200,AK$1-$L$1+3)</f>
        <v>145.495</v>
      </c>
      <c r="AL23" s="11">
        <f>VLOOKUP($J23,output!$A$9:$AI$2200,AL$1-$L$1+3)</f>
        <v>145.22900000000001</v>
      </c>
    </row>
    <row r="24" spans="9:38" x14ac:dyDescent="0.25">
      <c r="J24" t="s">
        <v>31</v>
      </c>
      <c r="K24" s="11">
        <f>VLOOKUP($J24,output!$A$9:$AI$2200,K$1-$L$1+3)</f>
        <v>0</v>
      </c>
      <c r="L24" s="11">
        <f>VLOOKUP($J24,output!$A$9:$AI$2200,L$1-$L$1+3)</f>
        <v>737.38400000000001</v>
      </c>
      <c r="M24" s="11">
        <f>VLOOKUP($J24,output!$A$9:$AI$2200,M$1-$L$1+3)</f>
        <v>654.32299999999998</v>
      </c>
      <c r="N24" s="11">
        <f>VLOOKUP($J24,output!$A$9:$AI$2200,N$1-$L$1+3)</f>
        <v>613.87800000000004</v>
      </c>
      <c r="O24" s="11">
        <f>VLOOKUP($J24,output!$A$9:$AI$2200,O$1-$L$1+3)</f>
        <v>673.48400000000004</v>
      </c>
      <c r="P24" s="11">
        <f>VLOOKUP($J24,output!$A$9:$AI$2200,P$1-$L$1+3)</f>
        <v>640.39300000000003</v>
      </c>
      <c r="Q24" s="11">
        <f>VLOOKUP($J24,output!$A$9:$AI$2200,Q$1-$L$1+3)</f>
        <v>601.12</v>
      </c>
      <c r="R24" s="11">
        <f>VLOOKUP($J24,output!$A$9:$AI$2200,R$1-$L$1+3)</f>
        <v>563.495</v>
      </c>
      <c r="S24" s="11">
        <f>VLOOKUP($J24,output!$A$9:$AI$2200,S$1-$L$1+3)</f>
        <v>653.68600000000004</v>
      </c>
      <c r="T24" s="11">
        <f>VLOOKUP($J24,output!$A$9:$AI$2200,T$1-$L$1+3)</f>
        <v>611.14400000000001</v>
      </c>
      <c r="U24" s="11">
        <f>VLOOKUP($J24,output!$A$9:$AI$2200,U$1-$L$1+3)</f>
        <v>643.49900000000002</v>
      </c>
      <c r="V24" s="11">
        <f>VLOOKUP($J24,output!$A$9:$AI$2200,V$1-$L$1+3)</f>
        <v>680.94799999999998</v>
      </c>
      <c r="W24" s="11">
        <f>VLOOKUP($J24,output!$A$9:$AI$2200,W$1-$L$1+3)</f>
        <v>716.745</v>
      </c>
      <c r="X24" s="11">
        <f>VLOOKUP($J24,output!$A$9:$AI$2200,X$1-$L$1+3)</f>
        <v>596.62400000000002</v>
      </c>
      <c r="Y24" s="11">
        <f>VLOOKUP($J24,output!$A$9:$AI$2200,Y$1-$L$1+3)</f>
        <v>636.88400000000001</v>
      </c>
      <c r="Z24" s="11">
        <f>VLOOKUP($J24,output!$A$9:$AI$2200,Z$1-$L$1+3)</f>
        <v>656.71500000000003</v>
      </c>
      <c r="AA24" s="11">
        <f>VLOOKUP($J24,output!$A$9:$AI$2200,AA$1-$L$1+3)</f>
        <v>610.774</v>
      </c>
      <c r="AB24" s="11">
        <f>VLOOKUP($J24,output!$A$9:$AI$2200,AB$1-$L$1+3)</f>
        <v>687.846</v>
      </c>
      <c r="AC24" s="11">
        <f>VLOOKUP($J24,output!$A$9:$AI$2200,AC$1-$L$1+3)</f>
        <v>618.64300000000003</v>
      </c>
      <c r="AD24" s="11">
        <f>VLOOKUP($J24,output!$A$9:$AI$2200,AD$1-$L$1+3)</f>
        <v>613.04999999999995</v>
      </c>
      <c r="AE24" s="11">
        <f>VLOOKUP($J24,output!$A$9:$AI$2200,AE$1-$L$1+3)</f>
        <v>573.548</v>
      </c>
      <c r="AF24" s="11">
        <f>VLOOKUP($J24,output!$A$9:$AI$2200,AF$1-$L$1+3)</f>
        <v>935.62</v>
      </c>
      <c r="AG24" s="11">
        <f>VLOOKUP($J24,output!$A$9:$AI$2200,AG$1-$L$1+3)</f>
        <v>848.178</v>
      </c>
      <c r="AH24" s="11">
        <f>VLOOKUP($J24,output!$A$9:$AI$2200,AH$1-$L$1+3)</f>
        <v>837.04600000000005</v>
      </c>
      <c r="AI24" s="11">
        <f>VLOOKUP($J24,output!$A$9:$AI$2200,AI$1-$L$1+3)</f>
        <v>862.13099999999997</v>
      </c>
      <c r="AJ24" s="11">
        <f>VLOOKUP($J24,output!$A$9:$AI$2200,AJ$1-$L$1+3)</f>
        <v>826.197</v>
      </c>
      <c r="AK24" s="11">
        <f>VLOOKUP($J24,output!$A$9:$AI$2200,AK$1-$L$1+3)</f>
        <v>785.68100000000004</v>
      </c>
      <c r="AL24" s="11">
        <f>VLOOKUP($J24,output!$A$9:$AI$2200,AL$1-$L$1+3)</f>
        <v>745.76199999999994</v>
      </c>
    </row>
    <row r="25" spans="9:38" x14ac:dyDescent="0.25">
      <c r="J25" t="s">
        <v>30</v>
      </c>
      <c r="K25" s="11">
        <f>VLOOKUP($J25,output!$A$9:$AI$2200,K$1-$L$1+3)</f>
        <v>0</v>
      </c>
      <c r="L25" s="11">
        <f>VLOOKUP($J25,output!$A$9:$AI$2200,L$1-$L$1+3)</f>
        <v>1807.7809999999999</v>
      </c>
      <c r="M25" s="11">
        <f>VLOOKUP($J25,output!$A$9:$AI$2200,M$1-$L$1+3)</f>
        <v>1803.9849999999999</v>
      </c>
      <c r="N25" s="11">
        <f>VLOOKUP($J25,output!$A$9:$AI$2200,N$1-$L$1+3)</f>
        <v>1800.184</v>
      </c>
      <c r="O25" s="11">
        <f>VLOOKUP($J25,output!$A$9:$AI$2200,O$1-$L$1+3)</f>
        <v>1796.364</v>
      </c>
      <c r="P25" s="11">
        <f>VLOOKUP($J25,output!$A$9:$AI$2200,P$1-$L$1+3)</f>
        <v>1792.5319999999999</v>
      </c>
      <c r="Q25" s="11">
        <f>VLOOKUP($J25,output!$A$9:$AI$2200,Q$1-$L$1+3)</f>
        <v>1788.694</v>
      </c>
      <c r="R25" s="11">
        <f>VLOOKUP($J25,output!$A$9:$AI$2200,R$1-$L$1+3)</f>
        <v>1784.8589999999999</v>
      </c>
      <c r="S25" s="11">
        <f>VLOOKUP($J25,output!$A$9:$AI$2200,S$1-$L$1+3)</f>
        <v>1782.0440000000001</v>
      </c>
      <c r="T25" s="11">
        <f>VLOOKUP($J25,output!$A$9:$AI$2200,T$1-$L$1+3)</f>
        <v>1780.3489999999999</v>
      </c>
      <c r="U25" s="11">
        <f>VLOOKUP($J25,output!$A$9:$AI$2200,U$1-$L$1+3)</f>
        <v>1778.3969999999999</v>
      </c>
      <c r="V25" s="11">
        <f>VLOOKUP($J25,output!$A$9:$AI$2200,V$1-$L$1+3)</f>
        <v>1776.2170000000001</v>
      </c>
      <c r="W25" s="11">
        <f>VLOOKUP($J25,output!$A$9:$AI$2200,W$1-$L$1+3)</f>
        <v>1774.856</v>
      </c>
      <c r="X25" s="11">
        <f>VLOOKUP($J25,output!$A$9:$AI$2200,X$1-$L$1+3)</f>
        <v>1527.6389999999999</v>
      </c>
      <c r="Y25" s="11">
        <f>VLOOKUP($J25,output!$A$9:$AI$2200,Y$1-$L$1+3)</f>
        <v>1526.558</v>
      </c>
      <c r="Z25" s="11">
        <f>VLOOKUP($J25,output!$A$9:$AI$2200,Z$1-$L$1+3)</f>
        <v>1525.3510000000001</v>
      </c>
      <c r="AA25" s="11">
        <f>VLOOKUP($J25,output!$A$9:$AI$2200,AA$1-$L$1+3)</f>
        <v>1348.5229999999999</v>
      </c>
      <c r="AB25" s="11">
        <f>VLOOKUP($J25,output!$A$9:$AI$2200,AB$1-$L$1+3)</f>
        <v>1503.8879999999999</v>
      </c>
      <c r="AC25" s="11">
        <f>VLOOKUP($J25,output!$A$9:$AI$2200,AC$1-$L$1+3)</f>
        <v>1369.671</v>
      </c>
      <c r="AD25" s="11">
        <f>VLOOKUP($J25,output!$A$9:$AI$2200,AD$1-$L$1+3)</f>
        <v>1360.83</v>
      </c>
      <c r="AE25" s="11">
        <f>VLOOKUP($J25,output!$A$9:$AI$2200,AE$1-$L$1+3)</f>
        <v>1257.5429999999999</v>
      </c>
      <c r="AF25" s="11">
        <f>VLOOKUP($J25,output!$A$9:$AI$2200,AF$1-$L$1+3)</f>
        <v>1584.712</v>
      </c>
      <c r="AG25" s="11">
        <f>VLOOKUP($J25,output!$A$9:$AI$2200,AG$1-$L$1+3)</f>
        <v>1321.58</v>
      </c>
      <c r="AH25" s="11">
        <f>VLOOKUP($J25,output!$A$9:$AI$2200,AH$1-$L$1+3)</f>
        <v>1563.2270000000001</v>
      </c>
      <c r="AI25" s="11">
        <f>VLOOKUP($J25,output!$A$9:$AI$2200,AI$1-$L$1+3)</f>
        <v>1456.345</v>
      </c>
      <c r="AJ25" s="11">
        <f>VLOOKUP($J25,output!$A$9:$AI$2200,AJ$1-$L$1+3)</f>
        <v>1569.6289999999999</v>
      </c>
      <c r="AK25" s="11">
        <f>VLOOKUP($J25,output!$A$9:$AI$2200,AK$1-$L$1+3)</f>
        <v>1701.7059999999999</v>
      </c>
      <c r="AL25" s="11">
        <f>VLOOKUP($J25,output!$A$9:$AI$2200,AL$1-$L$1+3)</f>
        <v>1817.36</v>
      </c>
    </row>
    <row r="26" spans="9:38" ht="60" x14ac:dyDescent="0.25">
      <c r="I26" s="19" t="s">
        <v>350</v>
      </c>
      <c r="J26" t="s">
        <v>23</v>
      </c>
      <c r="K26" s="11">
        <f>VLOOKUP($J26,output!$A$9:$AI$2200,K$1-$L$1+3)</f>
        <v>0</v>
      </c>
      <c r="L26" s="11">
        <f>VLOOKUP($J26,output!$A$9:$AI$2200,L$1-$L$1+3)</f>
        <v>1780.5029999999999</v>
      </c>
      <c r="M26" s="11">
        <f>VLOOKUP($J26,output!$A$9:$AI$2200,M$1-$L$1+3)</f>
        <v>1782.143</v>
      </c>
      <c r="N26" s="11">
        <f>VLOOKUP($J26,output!$A$9:$AI$2200,N$1-$L$1+3)</f>
        <v>1771.1320000000001</v>
      </c>
      <c r="O26" s="11">
        <f>VLOOKUP($J26,output!$A$9:$AI$2200,O$1-$L$1+3)</f>
        <v>1763.5250000000001</v>
      </c>
      <c r="P26" s="11">
        <f>VLOOKUP($J26,output!$A$9:$AI$2200,P$1-$L$1+3)</f>
        <v>1756.7570000000001</v>
      </c>
      <c r="Q26" s="11">
        <f>VLOOKUP($J26,output!$A$9:$AI$2200,Q$1-$L$1+3)</f>
        <v>1752.492</v>
      </c>
      <c r="R26" s="11">
        <f>VLOOKUP($J26,output!$A$9:$AI$2200,R$1-$L$1+3)</f>
        <v>1747.79</v>
      </c>
      <c r="S26" s="11">
        <f>VLOOKUP($J26,output!$A$9:$AI$2200,S$1-$L$1+3)</f>
        <v>1742.846</v>
      </c>
      <c r="T26" s="11">
        <f>VLOOKUP($J26,output!$A$9:$AI$2200,T$1-$L$1+3)</f>
        <v>1739.8009999999999</v>
      </c>
      <c r="U26" s="11">
        <f>VLOOKUP($J26,output!$A$9:$AI$2200,U$1-$L$1+3)</f>
        <v>1734.5930000000001</v>
      </c>
      <c r="V26" s="11">
        <f>VLOOKUP($J26,output!$A$9:$AI$2200,V$1-$L$1+3)</f>
        <v>1726.56</v>
      </c>
      <c r="W26" s="11">
        <f>VLOOKUP($J26,output!$A$9:$AI$2200,W$1-$L$1+3)</f>
        <v>1724.6279999999999</v>
      </c>
      <c r="X26" s="11">
        <f>VLOOKUP($J26,output!$A$9:$AI$2200,X$1-$L$1+3)</f>
        <v>1484.135</v>
      </c>
      <c r="Y26" s="11">
        <f>VLOOKUP($J26,output!$A$9:$AI$2200,Y$1-$L$1+3)</f>
        <v>1486.3869999999999</v>
      </c>
      <c r="Z26" s="11">
        <f>VLOOKUP($J26,output!$A$9:$AI$2200,Z$1-$L$1+3)</f>
        <v>1484.5889999999999</v>
      </c>
      <c r="AA26" s="11">
        <f>VLOOKUP($J26,output!$A$9:$AI$2200,AA$1-$L$1+3)</f>
        <v>1311.394</v>
      </c>
      <c r="AB26" s="11">
        <f>VLOOKUP($J26,output!$A$9:$AI$2200,AB$1-$L$1+3)</f>
        <v>1458.046</v>
      </c>
      <c r="AC26" s="11">
        <f>VLOOKUP($J26,output!$A$9:$AI$2200,AC$1-$L$1+3)</f>
        <v>1331.0640000000001</v>
      </c>
      <c r="AD26" s="11">
        <f>VLOOKUP($J26,output!$A$9:$AI$2200,AD$1-$L$1+3)</f>
        <v>1321.6110000000001</v>
      </c>
      <c r="AE26" s="11">
        <f>VLOOKUP($J26,output!$A$9:$AI$2200,AE$1-$L$1+3)</f>
        <v>1228.8340000000001</v>
      </c>
      <c r="AF26" s="11">
        <f>VLOOKUP($J26,output!$A$9:$AI$2200,AF$1-$L$1+3)</f>
        <v>1553.932</v>
      </c>
      <c r="AG26" s="11">
        <f>VLOOKUP($J26,output!$A$9:$AI$2200,AG$1-$L$1+3)</f>
        <v>1298.125</v>
      </c>
      <c r="AH26" s="11">
        <f>VLOOKUP($J26,output!$A$9:$AI$2200,AH$1-$L$1+3)</f>
        <v>1530.6310000000001</v>
      </c>
      <c r="AI26" s="11">
        <f>VLOOKUP($J26,output!$A$9:$AI$2200,AI$1-$L$1+3)</f>
        <v>1429.788</v>
      </c>
      <c r="AJ26" s="11">
        <f>VLOOKUP($J26,output!$A$9:$AI$2200,AJ$1-$L$1+3)</f>
        <v>1539.2349999999999</v>
      </c>
      <c r="AK26" s="11">
        <f>VLOOKUP($J26,output!$A$9:$AI$2200,AK$1-$L$1+3)</f>
        <v>1667.008</v>
      </c>
      <c r="AL26" s="11">
        <f>VLOOKUP($J26,output!$A$9:$AI$2200,AL$1-$L$1+3)</f>
        <v>1779.0809999999999</v>
      </c>
    </row>
    <row r="27" spans="9:38" x14ac:dyDescent="0.25">
      <c r="J27" t="s">
        <v>33</v>
      </c>
      <c r="K27" s="11">
        <f>VLOOKUP($J27,output!$A$9:$AI$2200,K$1-$L$1+3)</f>
        <v>0</v>
      </c>
      <c r="L27" s="11">
        <f>VLOOKUP($J27,output!$A$9:$AI$2200,L$1-$L$1+3)</f>
        <v>194.01900000000001</v>
      </c>
      <c r="M27" s="11">
        <f>VLOOKUP($J27,output!$A$9:$AI$2200,M$1-$L$1+3)</f>
        <v>70.945999999999998</v>
      </c>
      <c r="N27" s="11">
        <f>VLOOKUP($J27,output!$A$9:$AI$2200,N$1-$L$1+3)</f>
        <v>266.69400000000002</v>
      </c>
      <c r="O27" s="11">
        <f>VLOOKUP($J27,output!$A$9:$AI$2200,O$1-$L$1+3)</f>
        <v>196.60400000000001</v>
      </c>
      <c r="P27" s="11">
        <f>VLOOKUP($J27,output!$A$9:$AI$2200,P$1-$L$1+3)</f>
        <v>346.495</v>
      </c>
      <c r="Q27" s="11">
        <f>VLOOKUP($J27,output!$A$9:$AI$2200,Q$1-$L$1+3)</f>
        <v>516.37</v>
      </c>
      <c r="R27" s="11">
        <f>VLOOKUP($J27,output!$A$9:$AI$2200,R$1-$L$1+3)</f>
        <v>673.29899999999998</v>
      </c>
      <c r="S27" s="11">
        <f>VLOOKUP($J27,output!$A$9:$AI$2200,S$1-$L$1+3)</f>
        <v>423.09399999999999</v>
      </c>
      <c r="T27" s="11">
        <f>VLOOKUP($J27,output!$A$9:$AI$2200,T$1-$L$1+3)</f>
        <v>597.82100000000003</v>
      </c>
      <c r="U27" s="11">
        <f>VLOOKUP($J27,output!$A$9:$AI$2200,U$1-$L$1+3)</f>
        <v>532.50300000000004</v>
      </c>
      <c r="V27" s="11">
        <f>VLOOKUP($J27,output!$A$9:$AI$2200,V$1-$L$1+3)</f>
        <v>452.11500000000001</v>
      </c>
      <c r="W27" s="11">
        <f>VLOOKUP($J27,output!$A$9:$AI$2200,W$1-$L$1+3)</f>
        <v>381.79</v>
      </c>
      <c r="X27" s="11">
        <f>VLOOKUP($J27,output!$A$9:$AI$2200,X$1-$L$1+3)</f>
        <v>321.40899999999999</v>
      </c>
      <c r="Y27" s="11">
        <f>VLOOKUP($J27,output!$A$9:$AI$2200,Y$1-$L$1+3)</f>
        <v>221.06299999999999</v>
      </c>
      <c r="Z27" s="11">
        <f>VLOOKUP($J27,output!$A$9:$AI$2200,Z$1-$L$1+3)</f>
        <v>170.749</v>
      </c>
      <c r="AA27" s="11">
        <f>VLOOKUP($J27,output!$A$9:$AI$2200,AA$1-$L$1+3)</f>
        <v>120.506</v>
      </c>
      <c r="AB27" s="11">
        <f>VLOOKUP($J27,output!$A$9:$AI$2200,AB$1-$L$1+3)</f>
        <v>67.393000000000001</v>
      </c>
      <c r="AC27" s="11">
        <f>VLOOKUP($J27,output!$A$9:$AI$2200,AC$1-$L$1+3)</f>
        <v>98.825999999999993</v>
      </c>
      <c r="AD27" s="11">
        <f>VLOOKUP($J27,output!$A$9:$AI$2200,AD$1-$L$1+3)</f>
        <v>98.748000000000005</v>
      </c>
      <c r="AE27" s="11">
        <f>VLOOKUP($J27,output!$A$9:$AI$2200,AE$1-$L$1+3)</f>
        <v>98.75</v>
      </c>
      <c r="AF27" s="11">
        <f>VLOOKUP($J27,output!$A$9:$AI$2200,AF$1-$L$1+3)</f>
        <v>215.20500000000001</v>
      </c>
      <c r="AG27" s="11">
        <f>VLOOKUP($J27,output!$A$9:$AI$2200,AG$1-$L$1+3)</f>
        <v>98.850999999999999</v>
      </c>
      <c r="AH27" s="11">
        <f>VLOOKUP($J27,output!$A$9:$AI$2200,AH$1-$L$1+3)</f>
        <v>285.11399999999998</v>
      </c>
      <c r="AI27" s="11">
        <f>VLOOKUP($J27,output!$A$9:$AI$2200,AI$1-$L$1+3)</f>
        <v>218.958</v>
      </c>
      <c r="AJ27" s="11">
        <f>VLOOKUP($J27,output!$A$9:$AI$2200,AJ$1-$L$1+3)</f>
        <v>362.53699999999998</v>
      </c>
      <c r="AK27" s="11">
        <f>VLOOKUP($J27,output!$A$9:$AI$2200,AK$1-$L$1+3)</f>
        <v>525.41300000000001</v>
      </c>
      <c r="AL27" s="11">
        <f>VLOOKUP($J27,output!$A$9:$AI$2200,AL$1-$L$1+3)</f>
        <v>673.58699999999999</v>
      </c>
    </row>
    <row r="28" spans="9:38" x14ac:dyDescent="0.25">
      <c r="I28" s="11"/>
      <c r="J28" t="s">
        <v>76</v>
      </c>
      <c r="K28" s="11">
        <f>VLOOKUP($J28,output!$A$9:$AI$2200,K$1-$L$1+3)</f>
        <v>0</v>
      </c>
      <c r="L28" s="11">
        <f>VLOOKUP($J28,output!$A$9:$AI$2200,L$1-$L$1+3)</f>
        <v>110.392</v>
      </c>
      <c r="M28" s="11">
        <f>VLOOKUP($J28,output!$A$9:$AI$2200,M$1-$L$1+3)</f>
        <v>159.881</v>
      </c>
      <c r="N28" s="11">
        <f>VLOOKUP($J28,output!$A$9:$AI$2200,N$1-$L$1+3)</f>
        <v>124.72799999999999</v>
      </c>
      <c r="O28" s="11">
        <f>VLOOKUP($J28,output!$A$9:$AI$2200,O$1-$L$1+3)</f>
        <v>143.49700000000001</v>
      </c>
      <c r="P28" s="11">
        <f>VLOOKUP($J28,output!$A$9:$AI$2200,P$1-$L$1+3)</f>
        <v>113.697</v>
      </c>
      <c r="Q28" s="11">
        <f>VLOOKUP($J28,output!$A$9:$AI$2200,Q$1-$L$1+3)</f>
        <v>77.733999999999995</v>
      </c>
      <c r="R28" s="11">
        <f>VLOOKUP($J28,output!$A$9:$AI$2200,R$1-$L$1+3)</f>
        <v>41.869</v>
      </c>
      <c r="S28" s="11">
        <f>VLOOKUP($J28,output!$A$9:$AI$2200,S$1-$L$1+3)</f>
        <v>93.79</v>
      </c>
      <c r="T28" s="11">
        <f>VLOOKUP($J28,output!$A$9:$AI$2200,T$1-$L$1+3)</f>
        <v>53.268999999999998</v>
      </c>
      <c r="U28" s="11">
        <f>VLOOKUP($J28,output!$A$9:$AI$2200,U$1-$L$1+3)</f>
        <v>65.373999999999995</v>
      </c>
      <c r="V28" s="11">
        <f>VLOOKUP($J28,output!$A$9:$AI$2200,V$1-$L$1+3)</f>
        <v>81.974999999999994</v>
      </c>
      <c r="W28" s="11">
        <f>VLOOKUP($J28,output!$A$9:$AI$2200,W$1-$L$1+3)</f>
        <v>97.62</v>
      </c>
      <c r="X28" s="11">
        <f>VLOOKUP($J28,output!$A$9:$AI$2200,X$1-$L$1+3)</f>
        <v>99.543999999999997</v>
      </c>
      <c r="Y28" s="11">
        <f>VLOOKUP($J28,output!$A$9:$AI$2200,Y$1-$L$1+3)</f>
        <v>124.117</v>
      </c>
      <c r="Z28" s="11">
        <f>VLOOKUP($J28,output!$A$9:$AI$2200,Z$1-$L$1+3)</f>
        <v>136.49799999999999</v>
      </c>
      <c r="AA28" s="11">
        <f>VLOOKUP($J28,output!$A$9:$AI$2200,AA$1-$L$1+3)</f>
        <v>134.65199999999999</v>
      </c>
      <c r="AB28" s="11">
        <f>VLOOKUP($J28,output!$A$9:$AI$2200,AB$1-$L$1+3)</f>
        <v>161.363</v>
      </c>
      <c r="AC28" s="11">
        <f>VLOOKUP($J28,output!$A$9:$AI$2200,AC$1-$L$1+3)</f>
        <v>141.68799999999999</v>
      </c>
      <c r="AD28" s="11">
        <f>VLOOKUP($J28,output!$A$9:$AI$2200,AD$1-$L$1+3)</f>
        <v>141.596</v>
      </c>
      <c r="AE28" s="11">
        <f>VLOOKUP($J28,output!$A$9:$AI$2200,AE$1-$L$1+3)</f>
        <v>134.05699999999999</v>
      </c>
      <c r="AF28" s="11">
        <f>VLOOKUP($J28,output!$A$9:$AI$2200,AF$1-$L$1+3)</f>
        <v>177.11600000000001</v>
      </c>
      <c r="AG28" s="11">
        <f>VLOOKUP($J28,output!$A$9:$AI$2200,AG$1-$L$1+3)</f>
        <v>181.22</v>
      </c>
      <c r="AH28" s="11">
        <f>VLOOKUP($J28,output!$A$9:$AI$2200,AH$1-$L$1+3)</f>
        <v>178.71299999999999</v>
      </c>
      <c r="AI28" s="11">
        <f>VLOOKUP($J28,output!$A$9:$AI$2200,AI$1-$L$1+3)</f>
        <v>184.5</v>
      </c>
      <c r="AJ28" s="11">
        <f>VLOOKUP($J28,output!$A$9:$AI$2200,AJ$1-$L$1+3)</f>
        <v>176.51</v>
      </c>
      <c r="AK28" s="11">
        <f>VLOOKUP($J28,output!$A$9:$AI$2200,AK$1-$L$1+3)</f>
        <v>167.417</v>
      </c>
      <c r="AL28" s="11">
        <f>VLOOKUP($J28,output!$A$9:$AI$2200,AL$1-$L$1+3)</f>
        <v>158.708</v>
      </c>
    </row>
    <row r="29" spans="9:38" x14ac:dyDescent="0.25">
      <c r="J29" t="s">
        <v>77</v>
      </c>
      <c r="K29" s="11">
        <f>VLOOKUP($J29,output!$A$9:$AI$2200,K$1-$L$1+3)</f>
        <v>0</v>
      </c>
      <c r="L29" s="11">
        <f>VLOOKUP($J29,output!$A$9:$AI$2200,L$1-$L$1+3)</f>
        <v>116.09099999999999</v>
      </c>
      <c r="M29" s="11">
        <f>VLOOKUP($J29,output!$A$9:$AI$2200,M$1-$L$1+3)</f>
        <v>67.165999999999997</v>
      </c>
      <c r="N29" s="11">
        <f>VLOOKUP($J29,output!$A$9:$AI$2200,N$1-$L$1+3)</f>
        <v>55.085000000000001</v>
      </c>
      <c r="O29" s="11">
        <f>VLOOKUP($J29,output!$A$9:$AI$2200,O$1-$L$1+3)</f>
        <v>62.701000000000001</v>
      </c>
      <c r="P29" s="11">
        <f>VLOOKUP($J29,output!$A$9:$AI$2200,P$1-$L$1+3)</f>
        <v>52.173999999999999</v>
      </c>
      <c r="Q29" s="11">
        <f>VLOOKUP($J29,output!$A$9:$AI$2200,Q$1-$L$1+3)</f>
        <v>38.941000000000003</v>
      </c>
      <c r="R29" s="11">
        <f>VLOOKUP($J29,output!$A$9:$AI$2200,R$1-$L$1+3)</f>
        <v>25.311</v>
      </c>
      <c r="S29" s="11">
        <f>VLOOKUP($J29,output!$A$9:$AI$2200,S$1-$L$1+3)</f>
        <v>45.695999999999998</v>
      </c>
      <c r="T29" s="11">
        <f>VLOOKUP($J29,output!$A$9:$AI$2200,T$1-$L$1+3)</f>
        <v>29.939</v>
      </c>
      <c r="U29" s="11">
        <f>VLOOKUP($J29,output!$A$9:$AI$2200,U$1-$L$1+3)</f>
        <v>34.878</v>
      </c>
      <c r="V29" s="11">
        <f>VLOOKUP($J29,output!$A$9:$AI$2200,V$1-$L$1+3)</f>
        <v>41.793999999999997</v>
      </c>
      <c r="W29" s="11">
        <f>VLOOKUP($J29,output!$A$9:$AI$2200,W$1-$L$1+3)</f>
        <v>48.518000000000001</v>
      </c>
      <c r="X29" s="11">
        <f>VLOOKUP($J29,output!$A$9:$AI$2200,X$1-$L$1+3)</f>
        <v>49.156999999999996</v>
      </c>
      <c r="Y29" s="11">
        <f>VLOOKUP($J29,output!$A$9:$AI$2200,Y$1-$L$1+3)</f>
        <v>59.235999999999997</v>
      </c>
      <c r="Z29" s="11">
        <f>VLOOKUP($J29,output!$A$9:$AI$2200,Z$1-$L$1+3)</f>
        <v>64.331000000000003</v>
      </c>
      <c r="AA29" s="11">
        <f>VLOOKUP($J29,output!$A$9:$AI$2200,AA$1-$L$1+3)</f>
        <v>63.573999999999998</v>
      </c>
      <c r="AB29" s="11">
        <f>VLOOKUP($J29,output!$A$9:$AI$2200,AB$1-$L$1+3)</f>
        <v>74.635000000000005</v>
      </c>
      <c r="AC29" s="11">
        <f>VLOOKUP($J29,output!$A$9:$AI$2200,AC$1-$L$1+3)</f>
        <v>66.566000000000003</v>
      </c>
      <c r="AD29" s="11">
        <f>VLOOKUP($J29,output!$A$9:$AI$2200,AD$1-$L$1+3)</f>
        <v>66.570999999999998</v>
      </c>
      <c r="AE29" s="11">
        <f>VLOOKUP($J29,output!$A$9:$AI$2200,AE$1-$L$1+3)</f>
        <v>63.502000000000002</v>
      </c>
      <c r="AF29" s="11">
        <f>VLOOKUP($J29,output!$A$9:$AI$2200,AF$1-$L$1+3)</f>
        <v>89.778000000000006</v>
      </c>
      <c r="AG29" s="11">
        <f>VLOOKUP($J29,output!$A$9:$AI$2200,AG$1-$L$1+3)</f>
        <v>65.826999999999998</v>
      </c>
      <c r="AH29" s="11">
        <f>VLOOKUP($J29,output!$A$9:$AI$2200,AH$1-$L$1+3)</f>
        <v>65.798000000000002</v>
      </c>
      <c r="AI29" s="11">
        <f>VLOOKUP($J29,output!$A$9:$AI$2200,AI$1-$L$1+3)</f>
        <v>67.206999999999994</v>
      </c>
      <c r="AJ29" s="11">
        <f>VLOOKUP($J29,output!$A$9:$AI$2200,AJ$1-$L$1+3)</f>
        <v>64.772000000000006</v>
      </c>
      <c r="AK29" s="11">
        <f>VLOOKUP($J29,output!$A$9:$AI$2200,AK$1-$L$1+3)</f>
        <v>62.021000000000001</v>
      </c>
      <c r="AL29" s="11">
        <f>VLOOKUP($J29,output!$A$9:$AI$2200,AL$1-$L$1+3)</f>
        <v>59.398000000000003</v>
      </c>
    </row>
    <row r="30" spans="9:38" x14ac:dyDescent="0.25">
      <c r="J30" t="s">
        <v>78</v>
      </c>
      <c r="K30" s="11">
        <f>VLOOKUP($J30,output!$A$9:$AI$2200,K$1-$L$1+3)</f>
        <v>0</v>
      </c>
      <c r="L30" s="11">
        <f>VLOOKUP($J30,output!$A$9:$AI$2200,L$1-$L$1+3)</f>
        <v>58.633000000000003</v>
      </c>
      <c r="M30" s="11">
        <f>VLOOKUP($J30,output!$A$9:$AI$2200,M$1-$L$1+3)</f>
        <v>87.873000000000005</v>
      </c>
      <c r="N30" s="11">
        <f>VLOOKUP($J30,output!$A$9:$AI$2200,N$1-$L$1+3)</f>
        <v>63.09</v>
      </c>
      <c r="O30" s="11">
        <f>VLOOKUP($J30,output!$A$9:$AI$2200,O$1-$L$1+3)</f>
        <v>72.301000000000002</v>
      </c>
      <c r="P30" s="11">
        <f>VLOOKUP($J30,output!$A$9:$AI$2200,P$1-$L$1+3)</f>
        <v>53.05</v>
      </c>
      <c r="Q30" s="11">
        <f>VLOOKUP($J30,output!$A$9:$AI$2200,Q$1-$L$1+3)</f>
        <v>30.786999999999999</v>
      </c>
      <c r="R30" s="11">
        <f>VLOOKUP($J30,output!$A$9:$AI$2200,R$1-$L$1+3)</f>
        <v>9.6270000000000007</v>
      </c>
      <c r="S30" s="11">
        <f>VLOOKUP($J30,output!$A$9:$AI$2200,S$1-$L$1+3)</f>
        <v>39.802</v>
      </c>
      <c r="T30" s="11">
        <f>VLOOKUP($J30,output!$A$9:$AI$2200,T$1-$L$1+3)</f>
        <v>16.739000000000001</v>
      </c>
      <c r="U30" s="11">
        <f>VLOOKUP($J30,output!$A$9:$AI$2200,U$1-$L$1+3)</f>
        <v>23.760999999999999</v>
      </c>
      <c r="V30" s="11">
        <f>VLOOKUP($J30,output!$A$9:$AI$2200,V$1-$L$1+3)</f>
        <v>32.918999999999997</v>
      </c>
      <c r="W30" s="11">
        <f>VLOOKUP($J30,output!$A$9:$AI$2200,W$1-$L$1+3)</f>
        <v>41.201000000000001</v>
      </c>
      <c r="X30" s="11">
        <f>VLOOKUP($J30,output!$A$9:$AI$2200,X$1-$L$1+3)</f>
        <v>44.493000000000002</v>
      </c>
      <c r="Y30" s="11">
        <f>VLOOKUP($J30,output!$A$9:$AI$2200,Y$1-$L$1+3)</f>
        <v>58.253999999999998</v>
      </c>
      <c r="Z30" s="11">
        <f>VLOOKUP($J30,output!$A$9:$AI$2200,Z$1-$L$1+3)</f>
        <v>66.488</v>
      </c>
      <c r="AA30" s="11">
        <f>VLOOKUP($J30,output!$A$9:$AI$2200,AA$1-$L$1+3)</f>
        <v>71.272000000000006</v>
      </c>
      <c r="AB30" s="11">
        <f>VLOOKUP($J30,output!$A$9:$AI$2200,AB$1-$L$1+3)</f>
        <v>84.085999999999999</v>
      </c>
      <c r="AC30" s="11">
        <f>VLOOKUP($J30,output!$A$9:$AI$2200,AC$1-$L$1+3)</f>
        <v>78.835999999999999</v>
      </c>
      <c r="AD30" s="11">
        <f>VLOOKUP($J30,output!$A$9:$AI$2200,AD$1-$L$1+3)</f>
        <v>80.253</v>
      </c>
      <c r="AE30" s="11">
        <f>VLOOKUP($J30,output!$A$9:$AI$2200,AE$1-$L$1+3)</f>
        <v>79.438000000000002</v>
      </c>
      <c r="AF30" s="11">
        <f>VLOOKUP($J30,output!$A$9:$AI$2200,AF$1-$L$1+3)</f>
        <v>24.137</v>
      </c>
      <c r="AG30" s="11">
        <f>VLOOKUP($J30,output!$A$9:$AI$2200,AG$1-$L$1+3)</f>
        <v>30.893999999999998</v>
      </c>
      <c r="AH30" s="11">
        <f>VLOOKUP($J30,output!$A$9:$AI$2200,AH$1-$L$1+3)</f>
        <v>29.869</v>
      </c>
      <c r="AI30" s="11">
        <f>VLOOKUP($J30,output!$A$9:$AI$2200,AI$1-$L$1+3)</f>
        <v>28.971</v>
      </c>
      <c r="AJ30" s="11">
        <f>VLOOKUP($J30,output!$A$9:$AI$2200,AJ$1-$L$1+3)</f>
        <v>26.484999999999999</v>
      </c>
      <c r="AK30" s="11">
        <f>VLOOKUP($J30,output!$A$9:$AI$2200,AK$1-$L$1+3)</f>
        <v>23.742000000000001</v>
      </c>
      <c r="AL30" s="11">
        <f>VLOOKUP($J30,output!$A$9:$AI$2200,AL$1-$L$1+3)</f>
        <v>21.216999999999999</v>
      </c>
    </row>
    <row r="31" spans="9:38" x14ac:dyDescent="0.25">
      <c r="J31" t="s">
        <v>79</v>
      </c>
      <c r="K31" s="11">
        <f>VLOOKUP($J31,output!$A$9:$AI$2200,K$1-$L$1+3)</f>
        <v>0</v>
      </c>
      <c r="L31" s="11">
        <f>VLOOKUP($J31,output!$A$9:$AI$2200,L$1-$L$1+3)</f>
        <v>180.739</v>
      </c>
      <c r="M31" s="11">
        <f>VLOOKUP($J31,output!$A$9:$AI$2200,M$1-$L$1+3)</f>
        <v>58.73</v>
      </c>
      <c r="N31" s="11">
        <f>VLOOKUP($J31,output!$A$9:$AI$2200,N$1-$L$1+3)</f>
        <v>254.48599999999999</v>
      </c>
      <c r="O31" s="11">
        <f>VLOOKUP($J31,output!$A$9:$AI$2200,O$1-$L$1+3)</f>
        <v>185.779</v>
      </c>
      <c r="P31" s="11">
        <f>VLOOKUP($J31,output!$A$9:$AI$2200,P$1-$L$1+3)</f>
        <v>336.411</v>
      </c>
      <c r="Q31" s="11">
        <f>VLOOKUP($J31,output!$A$9:$AI$2200,Q$1-$L$1+3)</f>
        <v>507.596</v>
      </c>
      <c r="R31" s="11">
        <f>VLOOKUP($J31,output!$A$9:$AI$2200,R$1-$L$1+3)</f>
        <v>666.05200000000002</v>
      </c>
      <c r="S31" s="11">
        <f>VLOOKUP($J31,output!$A$9:$AI$2200,S$1-$L$1+3)</f>
        <v>417.23200000000003</v>
      </c>
      <c r="T31" s="11">
        <f>VLOOKUP($J31,output!$A$9:$AI$2200,T$1-$L$1+3)</f>
        <v>592.56100000000004</v>
      </c>
      <c r="U31" s="11">
        <f>VLOOKUP($J31,output!$A$9:$AI$2200,U$1-$L$1+3)</f>
        <v>527.94399999999996</v>
      </c>
      <c r="V31" s="11">
        <f>VLOOKUP($J31,output!$A$9:$AI$2200,V$1-$L$1+3)</f>
        <v>448.04199999999997</v>
      </c>
      <c r="W31" s="11">
        <f>VLOOKUP($J31,output!$A$9:$AI$2200,W$1-$L$1+3)</f>
        <v>378.05</v>
      </c>
      <c r="X31" s="11">
        <f>VLOOKUP($J31,output!$A$9:$AI$2200,X$1-$L$1+3)</f>
        <v>317.90899999999999</v>
      </c>
      <c r="Y31" s="11">
        <f>VLOOKUP($J31,output!$A$9:$AI$2200,Y$1-$L$1+3)</f>
        <v>217.738</v>
      </c>
      <c r="Z31" s="11">
        <f>VLOOKUP($J31,output!$A$9:$AI$2200,Z$1-$L$1+3)</f>
        <v>167.52500000000001</v>
      </c>
      <c r="AA31" s="11">
        <f>VLOOKUP($J31,output!$A$9:$AI$2200,AA$1-$L$1+3)</f>
        <v>117.349</v>
      </c>
      <c r="AB31" s="11">
        <f>VLOOKUP($J31,output!$A$9:$AI$2200,AB$1-$L$1+3)</f>
        <v>64.266999999999996</v>
      </c>
      <c r="AC31" s="11">
        <f>VLOOKUP($J31,output!$A$9:$AI$2200,AC$1-$L$1+3)</f>
        <v>95.700999999999993</v>
      </c>
      <c r="AD31" s="11">
        <f>VLOOKUP($J31,output!$A$9:$AI$2200,AD$1-$L$1+3)</f>
        <v>95.635999999999996</v>
      </c>
      <c r="AE31" s="11">
        <f>VLOOKUP($J31,output!$A$9:$AI$2200,AE$1-$L$1+3)</f>
        <v>95.647000000000006</v>
      </c>
      <c r="AF31" s="11">
        <f>VLOOKUP($J31,output!$A$9:$AI$2200,AF$1-$L$1+3)</f>
        <v>206.744</v>
      </c>
      <c r="AG31" s="11">
        <f>VLOOKUP($J31,output!$A$9:$AI$2200,AG$1-$L$1+3)</f>
        <v>95.76</v>
      </c>
      <c r="AH31" s="11">
        <f>VLOOKUP($J31,output!$A$9:$AI$2200,AH$1-$L$1+3)</f>
        <v>273.49599999999998</v>
      </c>
      <c r="AI31" s="11">
        <f>VLOOKUP($J31,output!$A$9:$AI$2200,AI$1-$L$1+3)</f>
        <v>210.39500000000001</v>
      </c>
      <c r="AJ31" s="11">
        <f>VLOOKUP($J31,output!$A$9:$AI$2200,AJ$1-$L$1+3)</f>
        <v>347.45100000000002</v>
      </c>
      <c r="AK31" s="11">
        <f>VLOOKUP($J31,output!$A$9:$AI$2200,AK$1-$L$1+3)</f>
        <v>502.959</v>
      </c>
      <c r="AL31" s="11">
        <f>VLOOKUP($J31,output!$A$9:$AI$2200,AL$1-$L$1+3)</f>
        <v>644.38400000000001</v>
      </c>
    </row>
    <row r="32" spans="9:38" x14ac:dyDescent="0.25">
      <c r="J32" t="s">
        <v>81</v>
      </c>
      <c r="K32" s="11">
        <f>VLOOKUP($J32,output!$A$9:$AI$2200,K$1-$L$1+3)</f>
        <v>0</v>
      </c>
      <c r="L32" s="11">
        <f>VLOOKUP($J32,output!$A$9:$AI$2200,L$1-$L$1+3)</f>
        <v>347.70499999999998</v>
      </c>
      <c r="M32" s="11">
        <f>VLOOKUP($J32,output!$A$9:$AI$2200,M$1-$L$1+3)</f>
        <v>438.173</v>
      </c>
      <c r="N32" s="11">
        <f>VLOOKUP($J32,output!$A$9:$AI$2200,N$1-$L$1+3)</f>
        <v>312.76499999999999</v>
      </c>
      <c r="O32" s="11">
        <f>VLOOKUP($J32,output!$A$9:$AI$2200,O$1-$L$1+3)</f>
        <v>340.78399999999999</v>
      </c>
      <c r="P32" s="11">
        <f>VLOOKUP($J32,output!$A$9:$AI$2200,P$1-$L$1+3)</f>
        <v>246.84200000000001</v>
      </c>
      <c r="Q32" s="11">
        <f>VLOOKUP($J32,output!$A$9:$AI$2200,Q$1-$L$1+3)</f>
        <v>141.239</v>
      </c>
      <c r="R32" s="11">
        <f>VLOOKUP($J32,output!$A$9:$AI$2200,R$1-$L$1+3)</f>
        <v>43.548999999999999</v>
      </c>
      <c r="S32" s="11">
        <f>VLOOKUP($J32,output!$A$9:$AI$2200,S$1-$L$1+3)</f>
        <v>175.71199999999999</v>
      </c>
      <c r="T32" s="11">
        <f>VLOOKUP($J32,output!$A$9:$AI$2200,T$1-$L$1+3)</f>
        <v>72.408000000000001</v>
      </c>
      <c r="U32" s="11">
        <f>VLOOKUP($J32,output!$A$9:$AI$2200,U$1-$L$1+3)</f>
        <v>100.631</v>
      </c>
      <c r="V32" s="11">
        <f>VLOOKUP($J32,output!$A$9:$AI$2200,V$1-$L$1+3)</f>
        <v>137.048</v>
      </c>
      <c r="W32" s="11">
        <f>VLOOKUP($J32,output!$A$9:$AI$2200,W$1-$L$1+3)</f>
        <v>168.35900000000001</v>
      </c>
      <c r="X32" s="11">
        <f>VLOOKUP($J32,output!$A$9:$AI$2200,X$1-$L$1+3)</f>
        <v>168.376</v>
      </c>
      <c r="Y32" s="11">
        <f>VLOOKUP($J32,output!$A$9:$AI$2200,Y$1-$L$1+3)</f>
        <v>218.12</v>
      </c>
      <c r="Z32" s="11">
        <f>VLOOKUP($J32,output!$A$9:$AI$2200,Z$1-$L$1+3)</f>
        <v>244.405</v>
      </c>
      <c r="AA32" s="11">
        <f>VLOOKUP($J32,output!$A$9:$AI$2200,AA$1-$L$1+3)</f>
        <v>206.608</v>
      </c>
      <c r="AB32" s="11">
        <f>VLOOKUP($J32,output!$A$9:$AI$2200,AB$1-$L$1+3)</f>
        <v>294.50099999999998</v>
      </c>
      <c r="AC32" s="11">
        <f>VLOOKUP($J32,output!$A$9:$AI$2200,AC$1-$L$1+3)</f>
        <v>235.60300000000001</v>
      </c>
      <c r="AD32" s="11">
        <f>VLOOKUP($J32,output!$A$9:$AI$2200,AD$1-$L$1+3)</f>
        <v>236.94800000000001</v>
      </c>
      <c r="AE32" s="11">
        <f>VLOOKUP($J32,output!$A$9:$AI$2200,AE$1-$L$1+3)</f>
        <v>200.31200000000001</v>
      </c>
      <c r="AF32" s="11">
        <f>VLOOKUP($J32,output!$A$9:$AI$2200,AF$1-$L$1+3)</f>
        <v>151.26499999999999</v>
      </c>
      <c r="AG32" s="11">
        <f>VLOOKUP($J32,output!$A$9:$AI$2200,AG$1-$L$1+3)</f>
        <v>113.33499999999999</v>
      </c>
      <c r="AH32" s="11">
        <f>VLOOKUP($J32,output!$A$9:$AI$2200,AH$1-$L$1+3)</f>
        <v>163.22999999999999</v>
      </c>
      <c r="AI32" s="11">
        <f>VLOOKUP($J32,output!$A$9:$AI$2200,AI$1-$L$1+3)</f>
        <v>119.81399999999999</v>
      </c>
      <c r="AJ32" s="11">
        <f>VLOOKUP($J32,output!$A$9:$AI$2200,AJ$1-$L$1+3)</f>
        <v>129.11099999999999</v>
      </c>
      <c r="AK32" s="11">
        <f>VLOOKUP($J32,output!$A$9:$AI$2200,AK$1-$L$1+3)</f>
        <v>141.85599999999999</v>
      </c>
      <c r="AL32" s="11">
        <f>VLOOKUP($J32,output!$A$9:$AI$2200,AL$1-$L$1+3)</f>
        <v>153.40199999999999</v>
      </c>
    </row>
    <row r="33" spans="10:38" x14ac:dyDescent="0.25">
      <c r="J33" t="s">
        <v>84</v>
      </c>
      <c r="K33" s="11">
        <f>VLOOKUP($J33,output!$A$9:$AI$2200,K$1-$L$1+3)</f>
        <v>0</v>
      </c>
      <c r="L33" s="11">
        <f>VLOOKUP($J33,output!$A$9:$AI$2200,L$1-$L$1+3)</f>
        <v>0</v>
      </c>
      <c r="M33" s="11">
        <f>VLOOKUP($J33,output!$A$9:$AI$2200,M$1-$L$1+3)</f>
        <v>0</v>
      </c>
      <c r="N33" s="11">
        <f>VLOOKUP($J33,output!$A$9:$AI$2200,N$1-$L$1+3)</f>
        <v>0</v>
      </c>
      <c r="O33" s="11">
        <f>VLOOKUP($J33,output!$A$9:$AI$2200,O$1-$L$1+3)</f>
        <v>0</v>
      </c>
      <c r="P33" s="11">
        <f>VLOOKUP($J33,output!$A$9:$AI$2200,P$1-$L$1+3)</f>
        <v>0</v>
      </c>
      <c r="Q33" s="11">
        <f>VLOOKUP($J33,output!$A$9:$AI$2200,Q$1-$L$1+3)</f>
        <v>0</v>
      </c>
      <c r="R33" s="11">
        <f>VLOOKUP($J33,output!$A$9:$AI$2200,R$1-$L$1+3)</f>
        <v>0</v>
      </c>
      <c r="S33" s="11">
        <f>VLOOKUP($J33,output!$A$9:$AI$2200,S$1-$L$1+3)</f>
        <v>0</v>
      </c>
      <c r="T33" s="11">
        <f>VLOOKUP($J33,output!$A$9:$AI$2200,T$1-$L$1+3)</f>
        <v>0</v>
      </c>
      <c r="U33" s="11">
        <f>VLOOKUP($J33,output!$A$9:$AI$2200,U$1-$L$1+3)</f>
        <v>0</v>
      </c>
      <c r="V33" s="11">
        <f>VLOOKUP($J33,output!$A$9:$AI$2200,V$1-$L$1+3)</f>
        <v>0</v>
      </c>
      <c r="W33" s="11">
        <f>VLOOKUP($J33,output!$A$9:$AI$2200,W$1-$L$1+3)</f>
        <v>0</v>
      </c>
      <c r="X33" s="11">
        <f>VLOOKUP($J33,output!$A$9:$AI$2200,X$1-$L$1+3)</f>
        <v>0</v>
      </c>
      <c r="Y33" s="11">
        <f>VLOOKUP($J33,output!$A$9:$AI$2200,Y$1-$L$1+3)</f>
        <v>0</v>
      </c>
      <c r="Z33" s="11">
        <f>VLOOKUP($J33,output!$A$9:$AI$2200,Z$1-$L$1+3)</f>
        <v>0</v>
      </c>
      <c r="AA33" s="11">
        <f>VLOOKUP($J33,output!$A$9:$AI$2200,AA$1-$L$1+3)</f>
        <v>0</v>
      </c>
      <c r="AB33" s="11">
        <f>VLOOKUP($J33,output!$A$9:$AI$2200,AB$1-$L$1+3)</f>
        <v>0</v>
      </c>
      <c r="AC33" s="11">
        <f>VLOOKUP($J33,output!$A$9:$AI$2200,AC$1-$L$1+3)</f>
        <v>0</v>
      </c>
      <c r="AD33" s="11">
        <f>VLOOKUP($J33,output!$A$9:$AI$2200,AD$1-$L$1+3)</f>
        <v>0</v>
      </c>
      <c r="AE33" s="11">
        <f>VLOOKUP($J33,output!$A$9:$AI$2200,AE$1-$L$1+3)</f>
        <v>0</v>
      </c>
      <c r="AF33" s="11">
        <f>VLOOKUP($J33,output!$A$9:$AI$2200,AF$1-$L$1+3)</f>
        <v>0</v>
      </c>
      <c r="AG33" s="11">
        <f>VLOOKUP($J33,output!$A$9:$AI$2200,AG$1-$L$1+3)</f>
        <v>0</v>
      </c>
      <c r="AH33" s="11">
        <f>VLOOKUP($J33,output!$A$9:$AI$2200,AH$1-$L$1+3)</f>
        <v>0</v>
      </c>
      <c r="AI33" s="11">
        <f>VLOOKUP($J33,output!$A$9:$AI$2200,AI$1-$L$1+3)</f>
        <v>0</v>
      </c>
      <c r="AJ33" s="11">
        <f>VLOOKUP($J33,output!$A$9:$AI$2200,AJ$1-$L$1+3)</f>
        <v>0</v>
      </c>
      <c r="AK33" s="11">
        <f>VLOOKUP($J33,output!$A$9:$AI$2200,AK$1-$L$1+3)</f>
        <v>0</v>
      </c>
      <c r="AL33" s="11">
        <f>VLOOKUP($J33,output!$A$9:$AI$2200,AL$1-$L$1+3)</f>
        <v>0</v>
      </c>
    </row>
    <row r="34" spans="10:38" x14ac:dyDescent="0.25">
      <c r="J34" t="s">
        <v>35</v>
      </c>
      <c r="K34" s="11">
        <f>VLOOKUP($J34,output!$A$9:$AI$2200,K$1-$L$1+3)</f>
        <v>0</v>
      </c>
      <c r="L34" s="11">
        <f>VLOOKUP($J34,output!$A$9:$AI$2200,L$1-$L$1+3)</f>
        <v>608.87099999999998</v>
      </c>
      <c r="M34" s="11">
        <f>VLOOKUP($J34,output!$A$9:$AI$2200,M$1-$L$1+3)</f>
        <v>769.76099999999997</v>
      </c>
      <c r="N34" s="11">
        <f>VLOOKUP($J34,output!$A$9:$AI$2200,N$1-$L$1+3)</f>
        <v>636.90599999999995</v>
      </c>
      <c r="O34" s="11">
        <f>VLOOKUP($J34,output!$A$9:$AI$2200,O$1-$L$1+3)</f>
        <v>632.10699999999997</v>
      </c>
      <c r="P34" s="11">
        <f>VLOOKUP($J34,output!$A$9:$AI$2200,P$1-$L$1+3)</f>
        <v>531.17200000000003</v>
      </c>
      <c r="Q34" s="11">
        <f>VLOOKUP($J34,output!$A$9:$AI$2200,Q$1-$L$1+3)</f>
        <v>419.233</v>
      </c>
      <c r="R34" s="11">
        <f>VLOOKUP($J34,output!$A$9:$AI$2200,R$1-$L$1+3)</f>
        <v>317.30200000000002</v>
      </c>
      <c r="S34" s="11">
        <f>VLOOKUP($J34,output!$A$9:$AI$2200,S$1-$L$1+3)</f>
        <v>443.029</v>
      </c>
      <c r="T34" s="11">
        <f>VLOOKUP($J34,output!$A$9:$AI$2200,T$1-$L$1+3)</f>
        <v>331.30500000000001</v>
      </c>
      <c r="U34" s="11">
        <f>VLOOKUP($J34,output!$A$9:$AI$2200,U$1-$L$1+3)</f>
        <v>353.976</v>
      </c>
      <c r="V34" s="11">
        <f>VLOOKUP($J34,output!$A$9:$AI$2200,V$1-$L$1+3)</f>
        <v>384.55799999999999</v>
      </c>
      <c r="W34" s="11">
        <f>VLOOKUP($J34,output!$A$9:$AI$2200,W$1-$L$1+3)</f>
        <v>408.43200000000002</v>
      </c>
      <c r="X34" s="11">
        <f>VLOOKUP($J34,output!$A$9:$AI$2200,X$1-$L$1+3)</f>
        <v>350.42200000000003</v>
      </c>
      <c r="Y34" s="11">
        <f>VLOOKUP($J34,output!$A$9:$AI$2200,Y$1-$L$1+3)</f>
        <v>394.88600000000002</v>
      </c>
      <c r="Z34" s="11">
        <f>VLOOKUP($J34,output!$A$9:$AI$2200,Z$1-$L$1+3)</f>
        <v>415.048</v>
      </c>
      <c r="AA34" s="11">
        <f>VLOOKUP($J34,output!$A$9:$AI$2200,AA$1-$L$1+3)</f>
        <v>333.64</v>
      </c>
      <c r="AB34" s="11">
        <f>VLOOKUP($J34,output!$A$9:$AI$2200,AB$1-$L$1+3)</f>
        <v>448.154</v>
      </c>
      <c r="AC34" s="11">
        <f>VLOOKUP($J34,output!$A$9:$AI$2200,AC$1-$L$1+3)</f>
        <v>360.78699999999998</v>
      </c>
      <c r="AD34" s="11">
        <f>VLOOKUP($J34,output!$A$9:$AI$2200,AD$1-$L$1+3)</f>
        <v>357.05599999999998</v>
      </c>
      <c r="AE34" s="11">
        <f>VLOOKUP($J34,output!$A$9:$AI$2200,AE$1-$L$1+3)</f>
        <v>297.51900000000001</v>
      </c>
      <c r="AF34" s="11">
        <f>VLOOKUP($J34,output!$A$9:$AI$2200,AF$1-$L$1+3)</f>
        <v>225.048</v>
      </c>
      <c r="AG34" s="11">
        <f>VLOOKUP($J34,output!$A$9:$AI$2200,AG$1-$L$1+3)</f>
        <v>167.11500000000001</v>
      </c>
      <c r="AH34" s="11">
        <f>VLOOKUP($J34,output!$A$9:$AI$2200,AH$1-$L$1+3)</f>
        <v>235.55199999999999</v>
      </c>
      <c r="AI34" s="11">
        <f>VLOOKUP($J34,output!$A$9:$AI$2200,AI$1-$L$1+3)</f>
        <v>171.727</v>
      </c>
      <c r="AJ34" s="11">
        <f>VLOOKUP($J34,output!$A$9:$AI$2200,AJ$1-$L$1+3)</f>
        <v>182.45</v>
      </c>
      <c r="AK34" s="11">
        <f>VLOOKUP($J34,output!$A$9:$AI$2200,AK$1-$L$1+3)</f>
        <v>197.471</v>
      </c>
      <c r="AL34" s="11">
        <f>VLOOKUP($J34,output!$A$9:$AI$2200,AL$1-$L$1+3)</f>
        <v>209.977</v>
      </c>
    </row>
    <row r="35" spans="10:38" x14ac:dyDescent="0.25">
      <c r="J35" t="s">
        <v>243</v>
      </c>
      <c r="K35" s="11">
        <f>VLOOKUP($J35,output!$A$9:$AI$2200,K$1-$L$1+3)</f>
        <v>0</v>
      </c>
      <c r="L35" s="11">
        <f>VLOOKUP($J35,output!$A$9:$AI$2200,L$1-$L$1+3)</f>
        <v>0</v>
      </c>
      <c r="M35" s="11">
        <f>VLOOKUP($J35,output!$A$9:$AI$2200,M$1-$L$1+3)</f>
        <v>0</v>
      </c>
      <c r="N35" s="11">
        <f>VLOOKUP($J35,output!$A$9:$AI$2200,N$1-$L$1+3)</f>
        <v>0</v>
      </c>
      <c r="O35" s="11">
        <f>VLOOKUP($J35,output!$A$9:$AI$2200,O$1-$L$1+3)</f>
        <v>0</v>
      </c>
      <c r="P35" s="11">
        <f>VLOOKUP($J35,output!$A$9:$AI$2200,P$1-$L$1+3)</f>
        <v>0</v>
      </c>
      <c r="Q35" s="11">
        <f>VLOOKUP($J35,output!$A$9:$AI$2200,Q$1-$L$1+3)</f>
        <v>0</v>
      </c>
      <c r="R35" s="11">
        <f>VLOOKUP($J35,output!$A$9:$AI$2200,R$1-$L$1+3)</f>
        <v>0</v>
      </c>
      <c r="S35" s="11">
        <f>VLOOKUP($J35,output!$A$9:$AI$2200,S$1-$L$1+3)</f>
        <v>0</v>
      </c>
      <c r="T35" s="11">
        <f>VLOOKUP($J35,output!$A$9:$AI$2200,T$1-$L$1+3)</f>
        <v>0</v>
      </c>
      <c r="U35" s="11">
        <f>VLOOKUP($J35,output!$A$9:$AI$2200,U$1-$L$1+3)</f>
        <v>0</v>
      </c>
      <c r="V35" s="11">
        <f>VLOOKUP($J35,output!$A$9:$AI$2200,V$1-$L$1+3)</f>
        <v>0</v>
      </c>
      <c r="W35" s="11">
        <f>VLOOKUP($J35,output!$A$9:$AI$2200,W$1-$L$1+3)</f>
        <v>0</v>
      </c>
      <c r="X35" s="11">
        <f>VLOOKUP($J35,output!$A$9:$AI$2200,X$1-$L$1+3)</f>
        <v>0</v>
      </c>
      <c r="Y35" s="11">
        <f>VLOOKUP($J35,output!$A$9:$AI$2200,Y$1-$L$1+3)</f>
        <v>0</v>
      </c>
      <c r="Z35" s="11">
        <f>VLOOKUP($J35,output!$A$9:$AI$2200,Z$1-$L$1+3)</f>
        <v>0</v>
      </c>
      <c r="AA35" s="11">
        <f>VLOOKUP($J35,output!$A$9:$AI$2200,AA$1-$L$1+3)</f>
        <v>0</v>
      </c>
      <c r="AB35" s="11">
        <f>VLOOKUP($J35,output!$A$9:$AI$2200,AB$1-$L$1+3)</f>
        <v>0</v>
      </c>
      <c r="AC35" s="11">
        <f>VLOOKUP($J35,output!$A$9:$AI$2200,AC$1-$L$1+3)</f>
        <v>0</v>
      </c>
      <c r="AD35" s="11">
        <f>VLOOKUP($J35,output!$A$9:$AI$2200,AD$1-$L$1+3)</f>
        <v>0</v>
      </c>
      <c r="AE35" s="11">
        <f>VLOOKUP($J35,output!$A$9:$AI$2200,AE$1-$L$1+3)</f>
        <v>0</v>
      </c>
      <c r="AF35" s="11">
        <f>VLOOKUP($J35,output!$A$9:$AI$2200,AF$1-$L$1+3)</f>
        <v>0</v>
      </c>
      <c r="AG35" s="11">
        <f>VLOOKUP($J35,output!$A$9:$AI$2200,AG$1-$L$1+3)</f>
        <v>0</v>
      </c>
      <c r="AH35" s="11">
        <f>VLOOKUP($J35,output!$A$9:$AI$2200,AH$1-$L$1+3)</f>
        <v>0</v>
      </c>
      <c r="AI35" s="11">
        <f>VLOOKUP($J35,output!$A$9:$AI$2200,AI$1-$L$1+3)</f>
        <v>0</v>
      </c>
      <c r="AJ35" s="11">
        <f>VLOOKUP($J35,output!$A$9:$AI$2200,AJ$1-$L$1+3)</f>
        <v>0</v>
      </c>
      <c r="AK35" s="11">
        <f>VLOOKUP($J35,output!$A$9:$AI$2200,AK$1-$L$1+3)</f>
        <v>0</v>
      </c>
      <c r="AL35" s="11">
        <f>VLOOKUP($J35,output!$A$9:$AI$2200,AL$1-$L$1+3)</f>
        <v>0</v>
      </c>
    </row>
    <row r="36" spans="10:38" x14ac:dyDescent="0.25">
      <c r="J36" t="s">
        <v>85</v>
      </c>
      <c r="K36" s="11">
        <f>VLOOKUP($J36,output!$A$9:$AI$2200,K$1-$L$1+3)</f>
        <v>0</v>
      </c>
      <c r="L36" s="11">
        <f>VLOOKUP($J36,output!$A$9:$AI$2200,L$1-$L$1+3)</f>
        <v>210.93</v>
      </c>
      <c r="M36" s="11">
        <f>VLOOKUP($J36,output!$A$9:$AI$2200,M$1-$L$1+3)</f>
        <v>286.96899999999999</v>
      </c>
      <c r="N36" s="11">
        <f>VLOOKUP($J36,output!$A$9:$AI$2200,N$1-$L$1+3)</f>
        <v>290.46699999999998</v>
      </c>
      <c r="O36" s="11">
        <f>VLOOKUP($J36,output!$A$9:$AI$2200,O$1-$L$1+3)</f>
        <v>312.423</v>
      </c>
      <c r="P36" s="11">
        <f>VLOOKUP($J36,output!$A$9:$AI$2200,P$1-$L$1+3)</f>
        <v>316.09100000000001</v>
      </c>
      <c r="Q36" s="11">
        <f>VLOOKUP($J36,output!$A$9:$AI$2200,Q$1-$L$1+3)</f>
        <v>321.56400000000002</v>
      </c>
      <c r="R36" s="11">
        <f>VLOOKUP($J36,output!$A$9:$AI$2200,R$1-$L$1+3)</f>
        <v>328.29300000000001</v>
      </c>
      <c r="S36" s="11">
        <f>VLOOKUP($J36,output!$A$9:$AI$2200,S$1-$L$1+3)</f>
        <v>339.06</v>
      </c>
      <c r="T36" s="11">
        <f>VLOOKUP($J36,output!$A$9:$AI$2200,T$1-$L$1+3)</f>
        <v>346.95800000000003</v>
      </c>
      <c r="U36" s="11">
        <f>VLOOKUP($J36,output!$A$9:$AI$2200,U$1-$L$1+3)</f>
        <v>355.81900000000002</v>
      </c>
      <c r="V36" s="11">
        <f>VLOOKUP($J36,output!$A$9:$AI$2200,V$1-$L$1+3)</f>
        <v>363.69200000000001</v>
      </c>
      <c r="W36" s="11">
        <f>VLOOKUP($J36,output!$A$9:$AI$2200,W$1-$L$1+3)</f>
        <v>371.19499999999999</v>
      </c>
      <c r="X36" s="11">
        <f>VLOOKUP($J36,output!$A$9:$AI$2200,X$1-$L$1+3)</f>
        <v>287.858</v>
      </c>
      <c r="Y36" s="11">
        <f>VLOOKUP($J36,output!$A$9:$AI$2200,Y$1-$L$1+3)</f>
        <v>291.625</v>
      </c>
      <c r="Z36" s="11">
        <f>VLOOKUP($J36,output!$A$9:$AI$2200,Z$1-$L$1+3)</f>
        <v>293.22699999999998</v>
      </c>
      <c r="AA36" s="11">
        <f>VLOOKUP($J36,output!$A$9:$AI$2200,AA$1-$L$1+3)</f>
        <v>263.88099999999997</v>
      </c>
      <c r="AB36" s="11">
        <f>VLOOKUP($J36,output!$A$9:$AI$2200,AB$1-$L$1+3)</f>
        <v>290.55799999999999</v>
      </c>
      <c r="AC36" s="11">
        <f>VLOOKUP($J36,output!$A$9:$AI$2200,AC$1-$L$1+3)</f>
        <v>262.52600000000001</v>
      </c>
      <c r="AD36" s="11">
        <f>VLOOKUP($J36,output!$A$9:$AI$2200,AD$1-$L$1+3)</f>
        <v>258.84199999999998</v>
      </c>
      <c r="AE36" s="11">
        <f>VLOOKUP($J36,output!$A$9:$AI$2200,AE$1-$L$1+3)</f>
        <v>239.30600000000001</v>
      </c>
      <c r="AF36" s="11">
        <f>VLOOKUP($J36,output!$A$9:$AI$2200,AF$1-$L$1+3)</f>
        <v>423.23399999999998</v>
      </c>
      <c r="AG36" s="11">
        <f>VLOOKUP($J36,output!$A$9:$AI$2200,AG$1-$L$1+3)</f>
        <v>426.88600000000002</v>
      </c>
      <c r="AH36" s="11">
        <f>VLOOKUP($J36,output!$A$9:$AI$2200,AH$1-$L$1+3)</f>
        <v>418.61900000000003</v>
      </c>
      <c r="AI36" s="11">
        <f>VLOOKUP($J36,output!$A$9:$AI$2200,AI$1-$L$1+3)</f>
        <v>432.40199999999999</v>
      </c>
      <c r="AJ36" s="11">
        <f>VLOOKUP($J36,output!$A$9:$AI$2200,AJ$1-$L$1+3)</f>
        <v>413.04</v>
      </c>
      <c r="AK36" s="11">
        <f>VLOOKUP($J36,output!$A$9:$AI$2200,AK$1-$L$1+3)</f>
        <v>391.33300000000003</v>
      </c>
      <c r="AL36" s="11">
        <f>VLOOKUP($J36,output!$A$9:$AI$2200,AL$1-$L$1+3)</f>
        <v>369.81400000000002</v>
      </c>
    </row>
    <row r="37" spans="10:38" x14ac:dyDescent="0.25">
      <c r="J37" t="s">
        <v>255</v>
      </c>
      <c r="K37" s="11">
        <f>VLOOKUP($J37,output!$A$9:$AI$2200,K$1-$L$1+3)</f>
        <v>0</v>
      </c>
      <c r="L37" s="11">
        <f>VLOOKUP($J37,output!$A$9:$AI$2200,L$1-$L$1+3)</f>
        <v>299.97000000000003</v>
      </c>
      <c r="M37" s="11">
        <f>VLOOKUP($J37,output!$A$9:$AI$2200,M$1-$L$1+3)</f>
        <v>140.30600000000001</v>
      </c>
      <c r="N37" s="11">
        <f>VLOOKUP($J37,output!$A$9:$AI$2200,N$1-$L$1+3)</f>
        <v>143.59800000000001</v>
      </c>
      <c r="O37" s="11">
        <f>VLOOKUP($J37,output!$A$9:$AI$2200,O$1-$L$1+3)</f>
        <v>154.863</v>
      </c>
      <c r="P37" s="11">
        <f>VLOOKUP($J37,output!$A$9:$AI$2200,P$1-$L$1+3)</f>
        <v>158.43</v>
      </c>
      <c r="Q37" s="11">
        <f>VLOOKUP($J37,output!$A$9:$AI$2200,Q$1-$L$1+3)</f>
        <v>162.881</v>
      </c>
      <c r="R37" s="11">
        <f>VLOOKUP($J37,output!$A$9:$AI$2200,R$1-$L$1+3)</f>
        <v>168.02099999999999</v>
      </c>
      <c r="S37" s="11">
        <f>VLOOKUP($J37,output!$A$9:$AI$2200,S$1-$L$1+3)</f>
        <v>175.13900000000001</v>
      </c>
      <c r="T37" s="11">
        <f>VLOOKUP($J37,output!$A$9:$AI$2200,T$1-$L$1+3)</f>
        <v>180.97800000000001</v>
      </c>
      <c r="U37" s="11">
        <f>VLOOKUP($J37,output!$A$9:$AI$2200,U$1-$L$1+3)</f>
        <v>187.428</v>
      </c>
      <c r="V37" s="11">
        <f>VLOOKUP($J37,output!$A$9:$AI$2200,V$1-$L$1+3)</f>
        <v>193.48699999999999</v>
      </c>
      <c r="W37" s="11">
        <f>VLOOKUP($J37,output!$A$9:$AI$2200,W$1-$L$1+3)</f>
        <v>199.41200000000001</v>
      </c>
      <c r="X37" s="11">
        <f>VLOOKUP($J37,output!$A$9:$AI$2200,X$1-$L$1+3)</f>
        <v>160.066</v>
      </c>
      <c r="Y37" s="11">
        <f>VLOOKUP($J37,output!$A$9:$AI$2200,Y$1-$L$1+3)</f>
        <v>161.90700000000001</v>
      </c>
      <c r="Z37" s="11">
        <f>VLOOKUP($J37,output!$A$9:$AI$2200,Z$1-$L$1+3)</f>
        <v>162.65899999999999</v>
      </c>
      <c r="AA37" s="11">
        <f>VLOOKUP($J37,output!$A$9:$AI$2200,AA$1-$L$1+3)</f>
        <v>148.667</v>
      </c>
      <c r="AB37" s="11">
        <f>VLOOKUP($J37,output!$A$9:$AI$2200,AB$1-$L$1+3)</f>
        <v>161.29</v>
      </c>
      <c r="AC37" s="11">
        <f>VLOOKUP($J37,output!$A$9:$AI$2200,AC$1-$L$1+3)</f>
        <v>147.86199999999999</v>
      </c>
      <c r="AD37" s="11">
        <f>VLOOKUP($J37,output!$A$9:$AI$2200,AD$1-$L$1+3)</f>
        <v>146.04</v>
      </c>
      <c r="AE37" s="11">
        <f>VLOOKUP($J37,output!$A$9:$AI$2200,AE$1-$L$1+3)</f>
        <v>136.684</v>
      </c>
      <c r="AF37" s="11">
        <f>VLOOKUP($J37,output!$A$9:$AI$2200,AF$1-$L$1+3)</f>
        <v>245.49199999999999</v>
      </c>
      <c r="AG37" s="11">
        <f>VLOOKUP($J37,output!$A$9:$AI$2200,AG$1-$L$1+3)</f>
        <v>174.244</v>
      </c>
      <c r="AH37" s="11">
        <f>VLOOKUP($J37,output!$A$9:$AI$2200,AH$1-$L$1+3)</f>
        <v>173.916</v>
      </c>
      <c r="AI37" s="11">
        <f>VLOOKUP($J37,output!$A$9:$AI$2200,AI$1-$L$1+3)</f>
        <v>178.02199999999999</v>
      </c>
      <c r="AJ37" s="11">
        <f>VLOOKUP($J37,output!$A$9:$AI$2200,AJ$1-$L$1+3)</f>
        <v>171.876</v>
      </c>
      <c r="AK37" s="11">
        <f>VLOOKUP($J37,output!$A$9:$AI$2200,AK$1-$L$1+3)</f>
        <v>164.911</v>
      </c>
      <c r="AL37" s="11">
        <f>VLOOKUP($J37,output!$A$9:$AI$2200,AL$1-$L$1+3)</f>
        <v>157.84100000000001</v>
      </c>
    </row>
    <row r="38" spans="10:38" x14ac:dyDescent="0.25">
      <c r="J38" t="s">
        <v>86</v>
      </c>
      <c r="K38" s="11">
        <f>VLOOKUP($J38,output!$A$9:$AI$2200,K$1-$L$1+3)</f>
        <v>0</v>
      </c>
      <c r="L38" s="11">
        <f>VLOOKUP($J38,output!$A$9:$AI$2200,L$1-$L$1+3)</f>
        <v>46.993000000000002</v>
      </c>
      <c r="M38" s="11">
        <f>VLOOKUP($J38,output!$A$9:$AI$2200,M$1-$L$1+3)</f>
        <v>71.983000000000004</v>
      </c>
      <c r="N38" s="11">
        <f>VLOOKUP($J38,output!$A$9:$AI$2200,N$1-$L$1+3)</f>
        <v>70.531999999999996</v>
      </c>
      <c r="O38" s="11">
        <f>VLOOKUP($J38,output!$A$9:$AI$2200,O$1-$L$1+3)</f>
        <v>71.540999999999997</v>
      </c>
      <c r="P38" s="11">
        <f>VLOOKUP($J38,output!$A$9:$AI$2200,P$1-$L$1+3)</f>
        <v>71.040000000000006</v>
      </c>
      <c r="Q38" s="11">
        <f>VLOOKUP($J38,output!$A$9:$AI$2200,Q$1-$L$1+3)</f>
        <v>70.62</v>
      </c>
      <c r="R38" s="11">
        <f>VLOOKUP($J38,output!$A$9:$AI$2200,R$1-$L$1+3)</f>
        <v>70.378</v>
      </c>
      <c r="S38" s="11">
        <f>VLOOKUP($J38,output!$A$9:$AI$2200,S$1-$L$1+3)</f>
        <v>71.182000000000002</v>
      </c>
      <c r="T38" s="11">
        <f>VLOOKUP($J38,output!$A$9:$AI$2200,T$1-$L$1+3)</f>
        <v>71.912000000000006</v>
      </c>
      <c r="U38" s="11">
        <f>VLOOKUP($J38,output!$A$9:$AI$2200,U$1-$L$1+3)</f>
        <v>72.94</v>
      </c>
      <c r="V38" s="11">
        <f>VLOOKUP($J38,output!$A$9:$AI$2200,V$1-$L$1+3)</f>
        <v>73.77</v>
      </c>
      <c r="W38" s="11">
        <f>VLOOKUP($J38,output!$A$9:$AI$2200,W$1-$L$1+3)</f>
        <v>74.572999999999993</v>
      </c>
      <c r="X38" s="11">
        <f>VLOOKUP($J38,output!$A$9:$AI$2200,X$1-$L$1+3)</f>
        <v>66.790000000000006</v>
      </c>
      <c r="Y38" s="11">
        <f>VLOOKUP($J38,output!$A$9:$AI$2200,Y$1-$L$1+3)</f>
        <v>67.209999999999994</v>
      </c>
      <c r="Z38" s="11">
        <f>VLOOKUP($J38,output!$A$9:$AI$2200,Z$1-$L$1+3)</f>
        <v>67.906000000000006</v>
      </c>
      <c r="AA38" s="11">
        <f>VLOOKUP($J38,output!$A$9:$AI$2200,AA$1-$L$1+3)</f>
        <v>65.453999999999994</v>
      </c>
      <c r="AB38" s="11">
        <f>VLOOKUP($J38,output!$A$9:$AI$2200,AB$1-$L$1+3)</f>
        <v>68.192999999999998</v>
      </c>
      <c r="AC38" s="11">
        <f>VLOOKUP($J38,output!$A$9:$AI$2200,AC$1-$L$1+3)</f>
        <v>65.995000000000005</v>
      </c>
      <c r="AD38" s="11">
        <f>VLOOKUP($J38,output!$A$9:$AI$2200,AD$1-$L$1+3)</f>
        <v>65.558999999999997</v>
      </c>
      <c r="AE38" s="11">
        <f>VLOOKUP($J38,output!$A$9:$AI$2200,AE$1-$L$1+3)</f>
        <v>63.436</v>
      </c>
      <c r="AF38" s="11">
        <f>VLOOKUP($J38,output!$A$9:$AI$2200,AF$1-$L$1+3)</f>
        <v>20.959</v>
      </c>
      <c r="AG38" s="11">
        <f>VLOOKUP($J38,output!$A$9:$AI$2200,AG$1-$L$1+3)</f>
        <v>25.832999999999998</v>
      </c>
      <c r="AH38" s="11">
        <f>VLOOKUP($J38,output!$A$9:$AI$2200,AH$1-$L$1+3)</f>
        <v>24.529</v>
      </c>
      <c r="AI38" s="11">
        <f>VLOOKUP($J38,output!$A$9:$AI$2200,AI$1-$L$1+3)</f>
        <v>23.5</v>
      </c>
      <c r="AJ38" s="11">
        <f>VLOOKUP($J38,output!$A$9:$AI$2200,AJ$1-$L$1+3)</f>
        <v>21.277999999999999</v>
      </c>
      <c r="AK38" s="11">
        <f>VLOOKUP($J38,output!$A$9:$AI$2200,AK$1-$L$1+3)</f>
        <v>18.937000000000001</v>
      </c>
      <c r="AL38" s="11">
        <f>VLOOKUP($J38,output!$A$9:$AI$2200,AL$1-$L$1+3)</f>
        <v>16.663</v>
      </c>
    </row>
    <row r="39" spans="10:38" x14ac:dyDescent="0.25">
      <c r="J39" t="s">
        <v>87</v>
      </c>
      <c r="K39" s="11">
        <f>VLOOKUP($J39,output!$A$9:$AI$2200,K$1-$L$1+3)</f>
        <v>0</v>
      </c>
      <c r="L39" s="11">
        <f>VLOOKUP($J39,output!$A$9:$AI$2200,L$1-$L$1+3)</f>
        <v>13.28</v>
      </c>
      <c r="M39" s="11">
        <f>VLOOKUP($J39,output!$A$9:$AI$2200,M$1-$L$1+3)</f>
        <v>12.215999999999999</v>
      </c>
      <c r="N39" s="11">
        <f>VLOOKUP($J39,output!$A$9:$AI$2200,N$1-$L$1+3)</f>
        <v>12.208</v>
      </c>
      <c r="O39" s="11">
        <f>VLOOKUP($J39,output!$A$9:$AI$2200,O$1-$L$1+3)</f>
        <v>10.824999999999999</v>
      </c>
      <c r="P39" s="11">
        <f>VLOOKUP($J39,output!$A$9:$AI$2200,P$1-$L$1+3)</f>
        <v>10.084</v>
      </c>
      <c r="Q39" s="11">
        <f>VLOOKUP($J39,output!$A$9:$AI$2200,Q$1-$L$1+3)</f>
        <v>8.7729999999999997</v>
      </c>
      <c r="R39" s="11">
        <f>VLOOKUP($J39,output!$A$9:$AI$2200,R$1-$L$1+3)</f>
        <v>7.2469999999999999</v>
      </c>
      <c r="S39" s="11">
        <f>VLOOKUP($J39,output!$A$9:$AI$2200,S$1-$L$1+3)</f>
        <v>5.8620000000000001</v>
      </c>
      <c r="T39" s="11">
        <f>VLOOKUP($J39,output!$A$9:$AI$2200,T$1-$L$1+3)</f>
        <v>5.26</v>
      </c>
      <c r="U39" s="11">
        <f>VLOOKUP($J39,output!$A$9:$AI$2200,U$1-$L$1+3)</f>
        <v>4.5590000000000002</v>
      </c>
      <c r="V39" s="11">
        <f>VLOOKUP($J39,output!$A$9:$AI$2200,V$1-$L$1+3)</f>
        <v>4.0730000000000004</v>
      </c>
      <c r="W39" s="11">
        <f>VLOOKUP($J39,output!$A$9:$AI$2200,W$1-$L$1+3)</f>
        <v>3.7410000000000001</v>
      </c>
      <c r="X39" s="11">
        <f>VLOOKUP($J39,output!$A$9:$AI$2200,X$1-$L$1+3)</f>
        <v>3.5</v>
      </c>
      <c r="Y39" s="11">
        <f>VLOOKUP($J39,output!$A$9:$AI$2200,Y$1-$L$1+3)</f>
        <v>3.3250000000000002</v>
      </c>
      <c r="Z39" s="11">
        <f>VLOOKUP($J39,output!$A$9:$AI$2200,Z$1-$L$1+3)</f>
        <v>3.2229999999999999</v>
      </c>
      <c r="AA39" s="11">
        <f>VLOOKUP($J39,output!$A$9:$AI$2200,AA$1-$L$1+3)</f>
        <v>3.1579999999999999</v>
      </c>
      <c r="AB39" s="11">
        <f>VLOOKUP($J39,output!$A$9:$AI$2200,AB$1-$L$1+3)</f>
        <v>3.1259999999999999</v>
      </c>
      <c r="AC39" s="11">
        <f>VLOOKUP($J39,output!$A$9:$AI$2200,AC$1-$L$1+3)</f>
        <v>3.1259999999999999</v>
      </c>
      <c r="AD39" s="11">
        <f>VLOOKUP($J39,output!$A$9:$AI$2200,AD$1-$L$1+3)</f>
        <v>3.1120000000000001</v>
      </c>
      <c r="AE39" s="11">
        <f>VLOOKUP($J39,output!$A$9:$AI$2200,AE$1-$L$1+3)</f>
        <v>3.1030000000000002</v>
      </c>
      <c r="AF39" s="11">
        <f>VLOOKUP($J39,output!$A$9:$AI$2200,AF$1-$L$1+3)</f>
        <v>8.4610000000000003</v>
      </c>
      <c r="AG39" s="11">
        <f>VLOOKUP($J39,output!$A$9:$AI$2200,AG$1-$L$1+3)</f>
        <v>3.09</v>
      </c>
      <c r="AH39" s="11">
        <f>VLOOKUP($J39,output!$A$9:$AI$2200,AH$1-$L$1+3)</f>
        <v>11.618</v>
      </c>
      <c r="AI39" s="11">
        <f>VLOOKUP($J39,output!$A$9:$AI$2200,AI$1-$L$1+3)</f>
        <v>8.5630000000000006</v>
      </c>
      <c r="AJ39" s="11">
        <f>VLOOKUP($J39,output!$A$9:$AI$2200,AJ$1-$L$1+3)</f>
        <v>15.086</v>
      </c>
      <c r="AK39" s="11">
        <f>VLOOKUP($J39,output!$A$9:$AI$2200,AK$1-$L$1+3)</f>
        <v>22.454000000000001</v>
      </c>
      <c r="AL39" s="11">
        <f>VLOOKUP($J39,output!$A$9:$AI$2200,AL$1-$L$1+3)</f>
        <v>29.202999999999999</v>
      </c>
    </row>
    <row r="40" spans="10:38" x14ac:dyDescent="0.25">
      <c r="J40" t="s">
        <v>89</v>
      </c>
      <c r="K40" s="11">
        <f>VLOOKUP($J40,output!$A$9:$AI$2200,K$1-$L$1+3)</f>
        <v>0</v>
      </c>
      <c r="L40" s="11">
        <f>VLOOKUP($J40,output!$A$9:$AI$2200,L$1-$L$1+3)</f>
        <v>261.166</v>
      </c>
      <c r="M40" s="11">
        <f>VLOOKUP($J40,output!$A$9:$AI$2200,M$1-$L$1+3)</f>
        <v>331.58800000000002</v>
      </c>
      <c r="N40" s="11">
        <f>VLOOKUP($J40,output!$A$9:$AI$2200,N$1-$L$1+3)</f>
        <v>324.14</v>
      </c>
      <c r="O40" s="11">
        <f>VLOOKUP($J40,output!$A$9:$AI$2200,O$1-$L$1+3)</f>
        <v>291.32299999999998</v>
      </c>
      <c r="P40" s="11">
        <f>VLOOKUP($J40,output!$A$9:$AI$2200,P$1-$L$1+3)</f>
        <v>284.33</v>
      </c>
      <c r="Q40" s="11">
        <f>VLOOKUP($J40,output!$A$9:$AI$2200,Q$1-$L$1+3)</f>
        <v>277.99400000000003</v>
      </c>
      <c r="R40" s="11">
        <f>VLOOKUP($J40,output!$A$9:$AI$2200,R$1-$L$1+3)</f>
        <v>273.75299999999999</v>
      </c>
      <c r="S40" s="11">
        <f>VLOOKUP($J40,output!$A$9:$AI$2200,S$1-$L$1+3)</f>
        <v>267.31700000000001</v>
      </c>
      <c r="T40" s="11">
        <f>VLOOKUP($J40,output!$A$9:$AI$2200,T$1-$L$1+3)</f>
        <v>258.89600000000002</v>
      </c>
      <c r="U40" s="11">
        <f>VLOOKUP($J40,output!$A$9:$AI$2200,U$1-$L$1+3)</f>
        <v>253.345</v>
      </c>
      <c r="V40" s="11">
        <f>VLOOKUP($J40,output!$A$9:$AI$2200,V$1-$L$1+3)</f>
        <v>247.51</v>
      </c>
      <c r="W40" s="11">
        <f>VLOOKUP($J40,output!$A$9:$AI$2200,W$1-$L$1+3)</f>
        <v>240.07300000000001</v>
      </c>
      <c r="X40" s="11">
        <f>VLOOKUP($J40,output!$A$9:$AI$2200,X$1-$L$1+3)</f>
        <v>182.047</v>
      </c>
      <c r="Y40" s="11">
        <f>VLOOKUP($J40,output!$A$9:$AI$2200,Y$1-$L$1+3)</f>
        <v>176.76599999999999</v>
      </c>
      <c r="Z40" s="11">
        <f>VLOOKUP($J40,output!$A$9:$AI$2200,Z$1-$L$1+3)</f>
        <v>170.642</v>
      </c>
      <c r="AA40" s="11">
        <f>VLOOKUP($J40,output!$A$9:$AI$2200,AA$1-$L$1+3)</f>
        <v>127.032</v>
      </c>
      <c r="AB40" s="11">
        <f>VLOOKUP($J40,output!$A$9:$AI$2200,AB$1-$L$1+3)</f>
        <v>153.65299999999999</v>
      </c>
      <c r="AC40" s="11">
        <f>VLOOKUP($J40,output!$A$9:$AI$2200,AC$1-$L$1+3)</f>
        <v>125.184</v>
      </c>
      <c r="AD40" s="11">
        <f>VLOOKUP($J40,output!$A$9:$AI$2200,AD$1-$L$1+3)</f>
        <v>120.108</v>
      </c>
      <c r="AE40" s="11">
        <f>VLOOKUP($J40,output!$A$9:$AI$2200,AE$1-$L$1+3)</f>
        <v>97.206999999999994</v>
      </c>
      <c r="AF40" s="11">
        <f>VLOOKUP($J40,output!$A$9:$AI$2200,AF$1-$L$1+3)</f>
        <v>73.783000000000001</v>
      </c>
      <c r="AG40" s="11">
        <f>VLOOKUP($J40,output!$A$9:$AI$2200,AG$1-$L$1+3)</f>
        <v>53.779000000000003</v>
      </c>
      <c r="AH40" s="11">
        <f>VLOOKUP($J40,output!$A$9:$AI$2200,AH$1-$L$1+3)</f>
        <v>72.322000000000003</v>
      </c>
      <c r="AI40" s="11">
        <f>VLOOKUP($J40,output!$A$9:$AI$2200,AI$1-$L$1+3)</f>
        <v>51.912999999999997</v>
      </c>
      <c r="AJ40" s="11">
        <f>VLOOKUP($J40,output!$A$9:$AI$2200,AJ$1-$L$1+3)</f>
        <v>53.338999999999999</v>
      </c>
      <c r="AK40" s="11">
        <f>VLOOKUP($J40,output!$A$9:$AI$2200,AK$1-$L$1+3)</f>
        <v>55.615000000000002</v>
      </c>
      <c r="AL40" s="11">
        <f>VLOOKUP($J40,output!$A$9:$AI$2200,AL$1-$L$1+3)</f>
        <v>56.575000000000003</v>
      </c>
    </row>
    <row r="41" spans="10:38" x14ac:dyDescent="0.25">
      <c r="J41" t="s">
        <v>92</v>
      </c>
      <c r="K41" s="11">
        <f>VLOOKUP($J41,output!$A$9:$AI$2200,K$1-$L$1+3)</f>
        <v>0</v>
      </c>
      <c r="L41" s="11">
        <f>VLOOKUP($J41,output!$A$9:$AI$2200,L$1-$L$1+3)</f>
        <v>161.881</v>
      </c>
      <c r="M41" s="11">
        <f>VLOOKUP($J41,output!$A$9:$AI$2200,M$1-$L$1+3)</f>
        <v>149.1</v>
      </c>
      <c r="N41" s="11">
        <f>VLOOKUP($J41,output!$A$9:$AI$2200,N$1-$L$1+3)</f>
        <v>149.08500000000001</v>
      </c>
      <c r="O41" s="11">
        <f>VLOOKUP($J41,output!$A$9:$AI$2200,O$1-$L$1+3)</f>
        <v>150.327</v>
      </c>
      <c r="P41" s="11">
        <f>VLOOKUP($J41,output!$A$9:$AI$2200,P$1-$L$1+3)</f>
        <v>150.38200000000001</v>
      </c>
      <c r="Q41" s="11">
        <f>VLOOKUP($J41,output!$A$9:$AI$2200,Q$1-$L$1+3)</f>
        <v>150.565</v>
      </c>
      <c r="R41" s="11">
        <f>VLOOKUP($J41,output!$A$9:$AI$2200,R$1-$L$1+3)</f>
        <v>150.75800000000001</v>
      </c>
      <c r="S41" s="11">
        <f>VLOOKUP($J41,output!$A$9:$AI$2200,S$1-$L$1+3)</f>
        <v>151.251</v>
      </c>
      <c r="T41" s="11">
        <f>VLOOKUP($J41,output!$A$9:$AI$2200,T$1-$L$1+3)</f>
        <v>151.429</v>
      </c>
      <c r="U41" s="11">
        <f>VLOOKUP($J41,output!$A$9:$AI$2200,U$1-$L$1+3)</f>
        <v>151.71899999999999</v>
      </c>
      <c r="V41" s="11">
        <f>VLOOKUP($J41,output!$A$9:$AI$2200,V$1-$L$1+3)</f>
        <v>151.90600000000001</v>
      </c>
      <c r="W41" s="11">
        <f>VLOOKUP($J41,output!$A$9:$AI$2200,W$1-$L$1+3)</f>
        <v>152.11500000000001</v>
      </c>
      <c r="X41" s="11">
        <f>VLOOKUP($J41,output!$A$9:$AI$2200,X$1-$L$1+3)</f>
        <v>147.9</v>
      </c>
      <c r="Y41" s="11">
        <f>VLOOKUP($J41,output!$A$9:$AI$2200,Y$1-$L$1+3)</f>
        <v>148.261</v>
      </c>
      <c r="Z41" s="11">
        <f>VLOOKUP($J41,output!$A$9:$AI$2200,Z$1-$L$1+3)</f>
        <v>148.44499999999999</v>
      </c>
      <c r="AA41" s="11">
        <f>VLOOKUP($J41,output!$A$9:$AI$2200,AA$1-$L$1+3)</f>
        <v>146.87700000000001</v>
      </c>
      <c r="AB41" s="11">
        <f>VLOOKUP($J41,output!$A$9:$AI$2200,AB$1-$L$1+3)</f>
        <v>148.21700000000001</v>
      </c>
      <c r="AC41" s="11">
        <f>VLOOKUP($J41,output!$A$9:$AI$2200,AC$1-$L$1+3)</f>
        <v>146.584</v>
      </c>
      <c r="AD41" s="11">
        <f>VLOOKUP($J41,output!$A$9:$AI$2200,AD$1-$L$1+3)</f>
        <v>146.16499999999999</v>
      </c>
      <c r="AE41" s="11">
        <f>VLOOKUP($J41,output!$A$9:$AI$2200,AE$1-$L$1+3)</f>
        <v>144.851</v>
      </c>
      <c r="AF41" s="11">
        <f>VLOOKUP($J41,output!$A$9:$AI$2200,AF$1-$L$1+3)</f>
        <v>163.74299999999999</v>
      </c>
      <c r="AG41" s="11">
        <f>VLOOKUP($J41,output!$A$9:$AI$2200,AG$1-$L$1+3)</f>
        <v>150.71</v>
      </c>
      <c r="AH41" s="11">
        <f>VLOOKUP($J41,output!$A$9:$AI$2200,AH$1-$L$1+3)</f>
        <v>151.11799999999999</v>
      </c>
      <c r="AI41" s="11">
        <f>VLOOKUP($J41,output!$A$9:$AI$2200,AI$1-$L$1+3)</f>
        <v>151.05699999999999</v>
      </c>
      <c r="AJ41" s="11">
        <f>VLOOKUP($J41,output!$A$9:$AI$2200,AJ$1-$L$1+3)</f>
        <v>150.68199999999999</v>
      </c>
      <c r="AK41" s="11">
        <f>VLOOKUP($J41,output!$A$9:$AI$2200,AK$1-$L$1+3)</f>
        <v>150.46100000000001</v>
      </c>
      <c r="AL41" s="11">
        <f>VLOOKUP($J41,output!$A$9:$AI$2200,AL$1-$L$1+3)</f>
        <v>150.155</v>
      </c>
    </row>
    <row r="42" spans="10:38" x14ac:dyDescent="0.25">
      <c r="J42" t="s">
        <v>38</v>
      </c>
      <c r="K42" s="11">
        <f>VLOOKUP($J42,output!$A$9:$AI$2200,K$1-$L$1+3)</f>
        <v>0</v>
      </c>
      <c r="L42" s="11">
        <f>VLOOKUP($J42,output!$A$9:$AI$2200,L$1-$L$1+3)</f>
        <v>161.881</v>
      </c>
      <c r="M42" s="11">
        <f>VLOOKUP($J42,output!$A$9:$AI$2200,M$1-$L$1+3)</f>
        <v>149.1</v>
      </c>
      <c r="N42" s="11">
        <f>VLOOKUP($J42,output!$A$9:$AI$2200,N$1-$L$1+3)</f>
        <v>149.08500000000001</v>
      </c>
      <c r="O42" s="11">
        <f>VLOOKUP($J42,output!$A$9:$AI$2200,O$1-$L$1+3)</f>
        <v>150.327</v>
      </c>
      <c r="P42" s="11">
        <f>VLOOKUP($J42,output!$A$9:$AI$2200,P$1-$L$1+3)</f>
        <v>150.38200000000001</v>
      </c>
      <c r="Q42" s="11">
        <f>VLOOKUP($J42,output!$A$9:$AI$2200,Q$1-$L$1+3)</f>
        <v>150.565</v>
      </c>
      <c r="R42" s="11">
        <f>VLOOKUP($J42,output!$A$9:$AI$2200,R$1-$L$1+3)</f>
        <v>150.75800000000001</v>
      </c>
      <c r="S42" s="11">
        <f>VLOOKUP($J42,output!$A$9:$AI$2200,S$1-$L$1+3)</f>
        <v>151.251</v>
      </c>
      <c r="T42" s="11">
        <f>VLOOKUP($J42,output!$A$9:$AI$2200,T$1-$L$1+3)</f>
        <v>151.429</v>
      </c>
      <c r="U42" s="11">
        <f>VLOOKUP($J42,output!$A$9:$AI$2200,U$1-$L$1+3)</f>
        <v>151.71899999999999</v>
      </c>
      <c r="V42" s="11">
        <f>VLOOKUP($J42,output!$A$9:$AI$2200,V$1-$L$1+3)</f>
        <v>151.90600000000001</v>
      </c>
      <c r="W42" s="11">
        <f>VLOOKUP($J42,output!$A$9:$AI$2200,W$1-$L$1+3)</f>
        <v>152.11500000000001</v>
      </c>
      <c r="X42" s="11">
        <f>VLOOKUP($J42,output!$A$9:$AI$2200,X$1-$L$1+3)</f>
        <v>147.9</v>
      </c>
      <c r="Y42" s="11">
        <f>VLOOKUP($J42,output!$A$9:$AI$2200,Y$1-$L$1+3)</f>
        <v>148.261</v>
      </c>
      <c r="Z42" s="11">
        <f>VLOOKUP($J42,output!$A$9:$AI$2200,Z$1-$L$1+3)</f>
        <v>148.44499999999999</v>
      </c>
      <c r="AA42" s="11">
        <f>VLOOKUP($J42,output!$A$9:$AI$2200,AA$1-$L$1+3)</f>
        <v>146.87700000000001</v>
      </c>
      <c r="AB42" s="11">
        <f>VLOOKUP($J42,output!$A$9:$AI$2200,AB$1-$L$1+3)</f>
        <v>148.21700000000001</v>
      </c>
      <c r="AC42" s="11">
        <f>VLOOKUP($J42,output!$A$9:$AI$2200,AC$1-$L$1+3)</f>
        <v>146.584</v>
      </c>
      <c r="AD42" s="11">
        <f>VLOOKUP($J42,output!$A$9:$AI$2200,AD$1-$L$1+3)</f>
        <v>146.16499999999999</v>
      </c>
      <c r="AE42" s="11">
        <f>VLOOKUP($J42,output!$A$9:$AI$2200,AE$1-$L$1+3)</f>
        <v>144.851</v>
      </c>
      <c r="AF42" s="11">
        <f>VLOOKUP($J42,output!$A$9:$AI$2200,AF$1-$L$1+3)</f>
        <v>163.74299999999999</v>
      </c>
      <c r="AG42" s="11">
        <f>VLOOKUP($J42,output!$A$9:$AI$2200,AG$1-$L$1+3)</f>
        <v>150.71</v>
      </c>
      <c r="AH42" s="11">
        <f>VLOOKUP($J42,output!$A$9:$AI$2200,AH$1-$L$1+3)</f>
        <v>151.11799999999999</v>
      </c>
      <c r="AI42" s="11">
        <f>VLOOKUP($J42,output!$A$9:$AI$2200,AI$1-$L$1+3)</f>
        <v>151.05699999999999</v>
      </c>
      <c r="AJ42" s="11">
        <f>VLOOKUP($J42,output!$A$9:$AI$2200,AJ$1-$L$1+3)</f>
        <v>150.68199999999999</v>
      </c>
      <c r="AK42" s="11">
        <f>VLOOKUP($J42,output!$A$9:$AI$2200,AK$1-$L$1+3)</f>
        <v>150.46100000000001</v>
      </c>
      <c r="AL42" s="11">
        <f>VLOOKUP($J42,output!$A$9:$AI$2200,AL$1-$L$1+3)</f>
        <v>150.155</v>
      </c>
    </row>
    <row r="45" spans="10:38" x14ac:dyDescent="0.25">
      <c r="J45" s="2" t="s">
        <v>171</v>
      </c>
    </row>
    <row r="46" spans="10:38" x14ac:dyDescent="0.25">
      <c r="J46" s="10" t="s">
        <v>158</v>
      </c>
      <c r="K46" s="11">
        <f>K3</f>
        <v>0</v>
      </c>
      <c r="L46" s="11">
        <f t="shared" ref="L46:AL46" si="0">L3</f>
        <v>321.32299999999998</v>
      </c>
      <c r="M46" s="11">
        <f t="shared" si="0"/>
        <v>446.85</v>
      </c>
      <c r="N46" s="11">
        <f t="shared" si="0"/>
        <v>415.19499999999999</v>
      </c>
      <c r="O46" s="11">
        <f t="shared" si="0"/>
        <v>455.91899999999998</v>
      </c>
      <c r="P46" s="11">
        <f t="shared" si="0"/>
        <v>429.78800000000001</v>
      </c>
      <c r="Q46" s="11">
        <f t="shared" si="0"/>
        <v>399.298</v>
      </c>
      <c r="R46" s="11">
        <f t="shared" si="0"/>
        <v>370.16300000000001</v>
      </c>
      <c r="S46" s="11">
        <f t="shared" si="0"/>
        <v>432.85</v>
      </c>
      <c r="T46" s="11">
        <f t="shared" si="0"/>
        <v>400.22699999999998</v>
      </c>
      <c r="U46" s="11">
        <f t="shared" si="0"/>
        <v>421.19299999999998</v>
      </c>
      <c r="V46" s="11">
        <f t="shared" si="0"/>
        <v>445.66699999999997</v>
      </c>
      <c r="W46" s="11">
        <f t="shared" si="0"/>
        <v>468.815</v>
      </c>
      <c r="X46" s="11">
        <f t="shared" si="0"/>
        <v>387.40100000000001</v>
      </c>
      <c r="Y46" s="11">
        <f t="shared" si="0"/>
        <v>415.74099999999999</v>
      </c>
      <c r="Z46" s="11">
        <f t="shared" si="0"/>
        <v>429.72500000000002</v>
      </c>
      <c r="AA46" s="11">
        <f t="shared" si="0"/>
        <v>398.53300000000002</v>
      </c>
      <c r="AB46" s="11">
        <f t="shared" si="0"/>
        <v>451.92099999999999</v>
      </c>
      <c r="AC46" s="11">
        <f t="shared" si="0"/>
        <v>404.214</v>
      </c>
      <c r="AD46" s="11">
        <f t="shared" si="0"/>
        <v>400.43799999999999</v>
      </c>
      <c r="AE46" s="11">
        <f t="shared" si="0"/>
        <v>373.363</v>
      </c>
      <c r="AF46" s="11">
        <f t="shared" si="0"/>
        <v>600.35</v>
      </c>
      <c r="AG46" s="11">
        <f t="shared" si="0"/>
        <v>608.10599999999999</v>
      </c>
      <c r="AH46" s="11">
        <f t="shared" si="0"/>
        <v>597.33100000000002</v>
      </c>
      <c r="AI46" s="11">
        <f t="shared" si="0"/>
        <v>616.90200000000004</v>
      </c>
      <c r="AJ46" s="11">
        <f t="shared" si="0"/>
        <v>589.54899999999998</v>
      </c>
      <c r="AK46" s="11">
        <f t="shared" si="0"/>
        <v>558.75</v>
      </c>
      <c r="AL46" s="11">
        <f t="shared" si="0"/>
        <v>528.52200000000005</v>
      </c>
    </row>
    <row r="47" spans="10:38" x14ac:dyDescent="0.25">
      <c r="J47" s="10" t="s">
        <v>159</v>
      </c>
      <c r="K47" s="11">
        <f>K4</f>
        <v>0</v>
      </c>
      <c r="L47" s="11">
        <f t="shared" ref="L47:AL47" si="1">L4</f>
        <v>416.06099999999998</v>
      </c>
      <c r="M47" s="11">
        <f t="shared" si="1"/>
        <v>207.47300000000001</v>
      </c>
      <c r="N47" s="11">
        <f t="shared" si="1"/>
        <v>198.68299999999999</v>
      </c>
      <c r="O47" s="11">
        <f t="shared" si="1"/>
        <v>217.56399999999999</v>
      </c>
      <c r="P47" s="11">
        <f t="shared" si="1"/>
        <v>210.60499999999999</v>
      </c>
      <c r="Q47" s="11">
        <f t="shared" si="1"/>
        <v>201.822</v>
      </c>
      <c r="R47" s="11">
        <f t="shared" si="1"/>
        <v>193.33199999999999</v>
      </c>
      <c r="S47" s="11">
        <f t="shared" si="1"/>
        <v>220.83600000000001</v>
      </c>
      <c r="T47" s="11">
        <f t="shared" si="1"/>
        <v>210.916</v>
      </c>
      <c r="U47" s="11">
        <f t="shared" si="1"/>
        <v>222.30600000000001</v>
      </c>
      <c r="V47" s="11">
        <f t="shared" si="1"/>
        <v>235.28100000000001</v>
      </c>
      <c r="W47" s="11">
        <f t="shared" si="1"/>
        <v>247.93</v>
      </c>
      <c r="X47" s="11">
        <f t="shared" si="1"/>
        <v>209.22300000000001</v>
      </c>
      <c r="Y47" s="11">
        <f t="shared" si="1"/>
        <v>221.142</v>
      </c>
      <c r="Z47" s="11">
        <f t="shared" si="1"/>
        <v>226.99100000000001</v>
      </c>
      <c r="AA47" s="11">
        <f t="shared" si="1"/>
        <v>212.24</v>
      </c>
      <c r="AB47" s="11">
        <f t="shared" si="1"/>
        <v>235.92500000000001</v>
      </c>
      <c r="AC47" s="11">
        <f t="shared" si="1"/>
        <v>214.429</v>
      </c>
      <c r="AD47" s="11">
        <f t="shared" si="1"/>
        <v>212.61099999999999</v>
      </c>
      <c r="AE47" s="11">
        <f t="shared" si="1"/>
        <v>200.185</v>
      </c>
      <c r="AF47" s="11">
        <f t="shared" si="1"/>
        <v>335.27</v>
      </c>
      <c r="AG47" s="11">
        <f t="shared" si="1"/>
        <v>240.071</v>
      </c>
      <c r="AH47" s="11">
        <f t="shared" si="1"/>
        <v>239.715</v>
      </c>
      <c r="AI47" s="11">
        <f t="shared" si="1"/>
        <v>245.22900000000001</v>
      </c>
      <c r="AJ47" s="11">
        <f t="shared" si="1"/>
        <v>236.648</v>
      </c>
      <c r="AK47" s="11">
        <f t="shared" si="1"/>
        <v>226.93100000000001</v>
      </c>
      <c r="AL47" s="11">
        <f t="shared" si="1"/>
        <v>217.239</v>
      </c>
    </row>
    <row r="49" spans="10:38" x14ac:dyDescent="0.25">
      <c r="J49" t="s">
        <v>203</v>
      </c>
      <c r="K49" s="11">
        <f>K24</f>
        <v>0</v>
      </c>
      <c r="L49" s="11">
        <f t="shared" ref="L49:AL49" si="2">L24</f>
        <v>737.38400000000001</v>
      </c>
      <c r="M49" s="11">
        <f t="shared" si="2"/>
        <v>654.32299999999998</v>
      </c>
      <c r="N49" s="11">
        <f t="shared" si="2"/>
        <v>613.87800000000004</v>
      </c>
      <c r="O49" s="11">
        <f t="shared" si="2"/>
        <v>673.48400000000004</v>
      </c>
      <c r="P49" s="11">
        <f t="shared" si="2"/>
        <v>640.39300000000003</v>
      </c>
      <c r="Q49" s="11">
        <f t="shared" si="2"/>
        <v>601.12</v>
      </c>
      <c r="R49" s="11">
        <f t="shared" si="2"/>
        <v>563.495</v>
      </c>
      <c r="S49" s="11">
        <f t="shared" si="2"/>
        <v>653.68600000000004</v>
      </c>
      <c r="T49" s="11">
        <f t="shared" si="2"/>
        <v>611.14400000000001</v>
      </c>
      <c r="U49" s="11">
        <f t="shared" si="2"/>
        <v>643.49900000000002</v>
      </c>
      <c r="V49" s="11">
        <f t="shared" si="2"/>
        <v>680.94799999999998</v>
      </c>
      <c r="W49" s="11">
        <f t="shared" si="2"/>
        <v>716.745</v>
      </c>
      <c r="X49" s="11">
        <f t="shared" si="2"/>
        <v>596.62400000000002</v>
      </c>
      <c r="Y49" s="11">
        <f t="shared" si="2"/>
        <v>636.88400000000001</v>
      </c>
      <c r="Z49" s="11">
        <f t="shared" si="2"/>
        <v>656.71500000000003</v>
      </c>
      <c r="AA49" s="11">
        <f t="shared" si="2"/>
        <v>610.774</v>
      </c>
      <c r="AB49" s="11">
        <f t="shared" si="2"/>
        <v>687.846</v>
      </c>
      <c r="AC49" s="11">
        <f t="shared" si="2"/>
        <v>618.64300000000003</v>
      </c>
      <c r="AD49" s="11">
        <f t="shared" si="2"/>
        <v>613.04999999999995</v>
      </c>
      <c r="AE49" s="11">
        <f t="shared" si="2"/>
        <v>573.548</v>
      </c>
      <c r="AF49" s="11">
        <f t="shared" si="2"/>
        <v>935.62</v>
      </c>
      <c r="AG49" s="11">
        <f t="shared" si="2"/>
        <v>848.178</v>
      </c>
      <c r="AH49" s="11">
        <f t="shared" si="2"/>
        <v>837.04600000000005</v>
      </c>
      <c r="AI49" s="11">
        <f t="shared" si="2"/>
        <v>862.13099999999997</v>
      </c>
      <c r="AJ49" s="11">
        <f t="shared" si="2"/>
        <v>826.197</v>
      </c>
      <c r="AK49" s="11">
        <f t="shared" si="2"/>
        <v>785.68100000000004</v>
      </c>
      <c r="AL49" s="11">
        <f t="shared" si="2"/>
        <v>745.76199999999994</v>
      </c>
    </row>
    <row r="50" spans="10:38" x14ac:dyDescent="0.25">
      <c r="J50" t="s">
        <v>160</v>
      </c>
      <c r="K50" s="11">
        <f>K34</f>
        <v>0</v>
      </c>
      <c r="L50" s="11">
        <f t="shared" ref="L50:AL50" si="3">L34</f>
        <v>608.87099999999998</v>
      </c>
      <c r="M50" s="11">
        <f t="shared" si="3"/>
        <v>769.76099999999997</v>
      </c>
      <c r="N50" s="11">
        <f t="shared" si="3"/>
        <v>636.90599999999995</v>
      </c>
      <c r="O50" s="11">
        <f t="shared" si="3"/>
        <v>632.10699999999997</v>
      </c>
      <c r="P50" s="11">
        <f t="shared" si="3"/>
        <v>531.17200000000003</v>
      </c>
      <c r="Q50" s="11">
        <f t="shared" si="3"/>
        <v>419.233</v>
      </c>
      <c r="R50" s="11">
        <f t="shared" si="3"/>
        <v>317.30200000000002</v>
      </c>
      <c r="S50" s="11">
        <f t="shared" si="3"/>
        <v>443.029</v>
      </c>
      <c r="T50" s="11">
        <f t="shared" si="3"/>
        <v>331.30500000000001</v>
      </c>
      <c r="U50" s="11">
        <f t="shared" si="3"/>
        <v>353.976</v>
      </c>
      <c r="V50" s="11">
        <f t="shared" si="3"/>
        <v>384.55799999999999</v>
      </c>
      <c r="W50" s="11">
        <f t="shared" si="3"/>
        <v>408.43200000000002</v>
      </c>
      <c r="X50" s="11">
        <f t="shared" si="3"/>
        <v>350.42200000000003</v>
      </c>
      <c r="Y50" s="11">
        <f t="shared" si="3"/>
        <v>394.88600000000002</v>
      </c>
      <c r="Z50" s="11">
        <f t="shared" si="3"/>
        <v>415.048</v>
      </c>
      <c r="AA50" s="11">
        <f t="shared" si="3"/>
        <v>333.64</v>
      </c>
      <c r="AB50" s="11">
        <f t="shared" si="3"/>
        <v>448.154</v>
      </c>
      <c r="AC50" s="11">
        <f t="shared" si="3"/>
        <v>360.78699999999998</v>
      </c>
      <c r="AD50" s="11">
        <f t="shared" si="3"/>
        <v>357.05599999999998</v>
      </c>
      <c r="AE50" s="11">
        <f t="shared" si="3"/>
        <v>297.51900000000001</v>
      </c>
      <c r="AF50" s="11">
        <f t="shared" si="3"/>
        <v>225.048</v>
      </c>
      <c r="AG50" s="11">
        <f t="shared" si="3"/>
        <v>167.11500000000001</v>
      </c>
      <c r="AH50" s="11">
        <f t="shared" si="3"/>
        <v>235.55199999999999</v>
      </c>
      <c r="AI50" s="11">
        <f t="shared" si="3"/>
        <v>171.727</v>
      </c>
      <c r="AJ50" s="11">
        <f t="shared" si="3"/>
        <v>182.45</v>
      </c>
      <c r="AK50" s="11">
        <f t="shared" si="3"/>
        <v>197.471</v>
      </c>
      <c r="AL50" s="11">
        <f t="shared" si="3"/>
        <v>209.977</v>
      </c>
    </row>
    <row r="51" spans="10:38" x14ac:dyDescent="0.25">
      <c r="J51" t="s">
        <v>161</v>
      </c>
    </row>
    <row r="52" spans="10:38" x14ac:dyDescent="0.25">
      <c r="J52" t="s">
        <v>186</v>
      </c>
      <c r="K52" s="11">
        <f>K27</f>
        <v>0</v>
      </c>
      <c r="L52" s="11">
        <f t="shared" ref="L52:AL52" si="4">L27</f>
        <v>194.01900000000001</v>
      </c>
      <c r="M52" s="11">
        <f t="shared" si="4"/>
        <v>70.945999999999998</v>
      </c>
      <c r="N52" s="11">
        <f t="shared" si="4"/>
        <v>266.69400000000002</v>
      </c>
      <c r="O52" s="11">
        <f t="shared" si="4"/>
        <v>196.60400000000001</v>
      </c>
      <c r="P52" s="11">
        <f t="shared" si="4"/>
        <v>346.495</v>
      </c>
      <c r="Q52" s="11">
        <f t="shared" si="4"/>
        <v>516.37</v>
      </c>
      <c r="R52" s="11">
        <f t="shared" si="4"/>
        <v>673.29899999999998</v>
      </c>
      <c r="S52" s="11">
        <f t="shared" si="4"/>
        <v>423.09399999999999</v>
      </c>
      <c r="T52" s="11">
        <f t="shared" si="4"/>
        <v>597.82100000000003</v>
      </c>
      <c r="U52" s="11">
        <f t="shared" si="4"/>
        <v>532.50300000000004</v>
      </c>
      <c r="V52" s="11">
        <f t="shared" si="4"/>
        <v>452.11500000000001</v>
      </c>
      <c r="W52" s="11">
        <f t="shared" si="4"/>
        <v>381.79</v>
      </c>
      <c r="X52" s="11">
        <f t="shared" si="4"/>
        <v>321.40899999999999</v>
      </c>
      <c r="Y52" s="11">
        <f t="shared" si="4"/>
        <v>221.06299999999999</v>
      </c>
      <c r="Z52" s="11">
        <f t="shared" si="4"/>
        <v>170.749</v>
      </c>
      <c r="AA52" s="11">
        <f t="shared" si="4"/>
        <v>120.506</v>
      </c>
      <c r="AB52" s="11">
        <f t="shared" si="4"/>
        <v>67.393000000000001</v>
      </c>
      <c r="AC52" s="11">
        <f t="shared" si="4"/>
        <v>98.825999999999993</v>
      </c>
      <c r="AD52" s="11">
        <f t="shared" si="4"/>
        <v>98.748000000000005</v>
      </c>
      <c r="AE52" s="11">
        <f t="shared" si="4"/>
        <v>98.75</v>
      </c>
      <c r="AF52" s="11">
        <f t="shared" si="4"/>
        <v>215.20500000000001</v>
      </c>
      <c r="AG52" s="11">
        <f t="shared" si="4"/>
        <v>98.850999999999999</v>
      </c>
      <c r="AH52" s="11">
        <f t="shared" si="4"/>
        <v>285.11399999999998</v>
      </c>
      <c r="AI52" s="11">
        <f t="shared" si="4"/>
        <v>218.958</v>
      </c>
      <c r="AJ52" s="11">
        <f t="shared" si="4"/>
        <v>362.53699999999998</v>
      </c>
      <c r="AK52" s="11">
        <f t="shared" si="4"/>
        <v>525.41300000000001</v>
      </c>
      <c r="AL52" s="11">
        <f t="shared" si="4"/>
        <v>673.58699999999999</v>
      </c>
    </row>
    <row r="53" spans="10:38" x14ac:dyDescent="0.25">
      <c r="J53" t="s">
        <v>162</v>
      </c>
      <c r="K53" s="11">
        <f>K5</f>
        <v>0</v>
      </c>
      <c r="L53" s="11">
        <f t="shared" ref="L53:AL53" si="5">L5</f>
        <v>105.626</v>
      </c>
      <c r="M53" s="11">
        <f t="shared" si="5"/>
        <v>159.85499999999999</v>
      </c>
      <c r="N53" s="11">
        <f t="shared" si="5"/>
        <v>133.62200000000001</v>
      </c>
      <c r="O53" s="11">
        <f t="shared" si="5"/>
        <v>143.84100000000001</v>
      </c>
      <c r="P53" s="11">
        <f t="shared" si="5"/>
        <v>124.09</v>
      </c>
      <c r="Q53" s="11">
        <f t="shared" si="5"/>
        <v>101.407</v>
      </c>
      <c r="R53" s="11">
        <f t="shared" si="5"/>
        <v>80.004999999999995</v>
      </c>
      <c r="S53" s="11">
        <f t="shared" si="5"/>
        <v>110.98399999999999</v>
      </c>
      <c r="T53" s="11">
        <f t="shared" si="5"/>
        <v>88.650999999999996</v>
      </c>
      <c r="U53" s="11">
        <f t="shared" si="5"/>
        <v>96.700999999999993</v>
      </c>
      <c r="V53" s="11">
        <f t="shared" si="5"/>
        <v>106.69</v>
      </c>
      <c r="W53" s="11">
        <f t="shared" si="5"/>
        <v>115.774</v>
      </c>
      <c r="X53" s="11">
        <f t="shared" si="5"/>
        <v>111.28400000000001</v>
      </c>
      <c r="Y53" s="11">
        <f t="shared" si="5"/>
        <v>125.464</v>
      </c>
      <c r="Z53" s="11">
        <f t="shared" si="5"/>
        <v>134.39400000000001</v>
      </c>
      <c r="AA53" s="11">
        <f t="shared" si="5"/>
        <v>136.726</v>
      </c>
      <c r="AB53" s="11">
        <f t="shared" si="5"/>
        <v>152.27799999999999</v>
      </c>
      <c r="AC53" s="11">
        <f t="shared" si="5"/>
        <v>144.83099999999999</v>
      </c>
      <c r="AD53" s="11">
        <f t="shared" si="5"/>
        <v>145.81200000000001</v>
      </c>
      <c r="AE53" s="11">
        <f t="shared" si="5"/>
        <v>142.875</v>
      </c>
      <c r="AF53" s="11">
        <f t="shared" si="5"/>
        <v>45.095999999999997</v>
      </c>
      <c r="AG53" s="11">
        <f t="shared" si="5"/>
        <v>56.726999999999997</v>
      </c>
      <c r="AH53" s="11">
        <f t="shared" si="5"/>
        <v>54.396999999999998</v>
      </c>
      <c r="AI53" s="11">
        <f t="shared" si="5"/>
        <v>52.470999999999997</v>
      </c>
      <c r="AJ53" s="11">
        <f t="shared" si="5"/>
        <v>47.762999999999998</v>
      </c>
      <c r="AK53" s="11">
        <f t="shared" si="5"/>
        <v>42.679000000000002</v>
      </c>
      <c r="AL53" s="11">
        <f t="shared" si="5"/>
        <v>37.878999999999998</v>
      </c>
    </row>
    <row r="54" spans="10:38" x14ac:dyDescent="0.25">
      <c r="J54" t="s">
        <v>163</v>
      </c>
      <c r="K54" s="11">
        <f>K42</f>
        <v>0</v>
      </c>
      <c r="L54" s="11">
        <f t="shared" ref="L54:AL54" si="6">L42</f>
        <v>161.881</v>
      </c>
      <c r="M54" s="11">
        <f t="shared" si="6"/>
        <v>149.1</v>
      </c>
      <c r="N54" s="11">
        <f t="shared" si="6"/>
        <v>149.08500000000001</v>
      </c>
      <c r="O54" s="11">
        <f t="shared" si="6"/>
        <v>150.327</v>
      </c>
      <c r="P54" s="11">
        <f t="shared" si="6"/>
        <v>150.38200000000001</v>
      </c>
      <c r="Q54" s="11">
        <f t="shared" si="6"/>
        <v>150.565</v>
      </c>
      <c r="R54" s="11">
        <f t="shared" si="6"/>
        <v>150.75800000000001</v>
      </c>
      <c r="S54" s="11">
        <f t="shared" si="6"/>
        <v>151.251</v>
      </c>
      <c r="T54" s="11">
        <f t="shared" si="6"/>
        <v>151.429</v>
      </c>
      <c r="U54" s="11">
        <f t="shared" si="6"/>
        <v>151.71899999999999</v>
      </c>
      <c r="V54" s="11">
        <f t="shared" si="6"/>
        <v>151.90600000000001</v>
      </c>
      <c r="W54" s="11">
        <f t="shared" si="6"/>
        <v>152.11500000000001</v>
      </c>
      <c r="X54" s="11">
        <f t="shared" si="6"/>
        <v>147.9</v>
      </c>
      <c r="Y54" s="11">
        <f t="shared" si="6"/>
        <v>148.261</v>
      </c>
      <c r="Z54" s="11">
        <f t="shared" si="6"/>
        <v>148.44499999999999</v>
      </c>
      <c r="AA54" s="11">
        <f t="shared" si="6"/>
        <v>146.87700000000001</v>
      </c>
      <c r="AB54" s="11">
        <f t="shared" si="6"/>
        <v>148.21700000000001</v>
      </c>
      <c r="AC54" s="11">
        <f t="shared" si="6"/>
        <v>146.584</v>
      </c>
      <c r="AD54" s="11">
        <f t="shared" si="6"/>
        <v>146.16499999999999</v>
      </c>
      <c r="AE54" s="11">
        <f t="shared" si="6"/>
        <v>144.851</v>
      </c>
      <c r="AF54" s="11">
        <f t="shared" si="6"/>
        <v>163.74299999999999</v>
      </c>
      <c r="AG54" s="11">
        <f t="shared" si="6"/>
        <v>150.71</v>
      </c>
      <c r="AH54" s="11">
        <f t="shared" si="6"/>
        <v>151.11799999999999</v>
      </c>
      <c r="AI54" s="11">
        <f t="shared" si="6"/>
        <v>151.05699999999999</v>
      </c>
      <c r="AJ54" s="11">
        <f t="shared" si="6"/>
        <v>150.68199999999999</v>
      </c>
      <c r="AK54" s="11">
        <f t="shared" si="6"/>
        <v>150.46100000000001</v>
      </c>
      <c r="AL54" s="11">
        <f t="shared" si="6"/>
        <v>150.155</v>
      </c>
    </row>
    <row r="58" spans="10:38" x14ac:dyDescent="0.25">
      <c r="J58" t="s">
        <v>251</v>
      </c>
      <c r="K58" t="s">
        <v>336</v>
      </c>
      <c r="L58" s="11">
        <f>VLOOKUP($J58,output!$A$9:$AI$2200,L$1-$L$1+3)</f>
        <v>10.6</v>
      </c>
      <c r="M58" s="11">
        <f>VLOOKUP($J58,output!$A$9:$AI$2200,M$1-$L$1+3)</f>
        <v>13.106</v>
      </c>
      <c r="N58" s="11">
        <f>VLOOKUP($J58,output!$A$9:$AI$2200,N$1-$L$1+3)</f>
        <v>11.132999999999999</v>
      </c>
      <c r="O58" s="11">
        <f>VLOOKUP($J58,output!$A$9:$AI$2200,O$1-$L$1+3)</f>
        <v>13.855</v>
      </c>
      <c r="P58" s="11">
        <f>VLOOKUP($J58,output!$A$9:$AI$2200,P$1-$L$1+3)</f>
        <v>12.298</v>
      </c>
      <c r="Q58" s="11">
        <f>VLOOKUP($J58,output!$A$9:$AI$2200,Q$1-$L$1+3)</f>
        <v>10.462999999999999</v>
      </c>
      <c r="R58" s="11">
        <f>VLOOKUP($J58,output!$A$9:$AI$2200,R$1-$L$1+3)</f>
        <v>8.6929999999999996</v>
      </c>
      <c r="S58" s="11">
        <f>VLOOKUP($J58,output!$A$9:$AI$2200,S$1-$L$1+3)</f>
        <v>12.613</v>
      </c>
      <c r="T58" s="11">
        <f>VLOOKUP($J58,output!$A$9:$AI$2200,T$1-$L$1+3)</f>
        <v>10.823</v>
      </c>
      <c r="U58" s="11">
        <f>VLOOKUP($J58,output!$A$9:$AI$2200,U$1-$L$1+3)</f>
        <v>12.404</v>
      </c>
      <c r="V58" s="11">
        <f>VLOOKUP($J58,output!$A$9:$AI$2200,V$1-$L$1+3)</f>
        <v>14.257</v>
      </c>
      <c r="W58" s="11">
        <f>VLOOKUP($J58,output!$A$9:$AI$2200,W$1-$L$1+3)</f>
        <v>16.097000000000001</v>
      </c>
      <c r="X58" s="11">
        <f>VLOOKUP($J58,output!$A$9:$AI$2200,X$1-$L$1+3)</f>
        <v>17.515000000000001</v>
      </c>
      <c r="Y58" s="11">
        <f>VLOOKUP($J58,output!$A$9:$AI$2200,Y$1-$L$1+3)</f>
        <v>20.010999999999999</v>
      </c>
      <c r="Z58" s="11">
        <f>VLOOKUP($J58,output!$A$9:$AI$2200,Z$1-$L$1+3)</f>
        <v>21.873000000000001</v>
      </c>
      <c r="AA58" s="11">
        <f>VLOOKUP($J58,output!$A$9:$AI$2200,AA$1-$L$1+3)</f>
        <v>18.236000000000001</v>
      </c>
      <c r="AB58" s="11">
        <f>VLOOKUP($J58,output!$A$9:$AI$2200,AB$1-$L$1+3)</f>
        <v>25.161999999999999</v>
      </c>
      <c r="AC58" s="11">
        <f>VLOOKUP($J58,output!$A$9:$AI$2200,AC$1-$L$1+3)</f>
        <v>21.135999999999999</v>
      </c>
      <c r="AD58" s="11">
        <f>VLOOKUP($J58,output!$A$9:$AI$2200,AD$1-$L$1+3)</f>
        <v>21.34</v>
      </c>
      <c r="AE58" s="11">
        <f>VLOOKUP($J58,output!$A$9:$AI$2200,AE$1-$L$1+3)</f>
        <v>18.294</v>
      </c>
      <c r="AF58" s="11">
        <f>VLOOKUP($J58,output!$A$9:$AI$2200,AF$1-$L$1+3)</f>
        <v>14.355</v>
      </c>
      <c r="AG58" s="11">
        <f>VLOOKUP($J58,output!$A$9:$AI$2200,AG$1-$L$1+3)</f>
        <v>10.967000000000001</v>
      </c>
      <c r="AH58" s="11">
        <f>VLOOKUP($J58,output!$A$9:$AI$2200,AH$1-$L$1+3)</f>
        <v>15.81</v>
      </c>
      <c r="AI58" s="11">
        <f>VLOOKUP($J58,output!$A$9:$AI$2200,AI$1-$L$1+3)</f>
        <v>11.872</v>
      </c>
      <c r="AJ58" s="11">
        <f>VLOOKUP($J58,output!$A$9:$AI$2200,AJ$1-$L$1+3)</f>
        <v>12.959</v>
      </c>
      <c r="AK58" s="11">
        <f>VLOOKUP($J58,output!$A$9:$AI$2200,AK$1-$L$1+3)</f>
        <v>14.396000000000001</v>
      </c>
      <c r="AL58" s="11">
        <f>VLOOKUP($J58,output!$A$9:$AI$2200,AL$1-$L$1+3)</f>
        <v>15.635</v>
      </c>
    </row>
    <row r="59" spans="10:38" x14ac:dyDescent="0.25">
      <c r="J59" t="s">
        <v>39</v>
      </c>
      <c r="K59" t="s">
        <v>285</v>
      </c>
      <c r="L59" s="11">
        <f>VLOOKUP($J59,output!$A$9:$AI$2200,L$1-$L$1+3)</f>
        <v>80.271000000000001</v>
      </c>
      <c r="M59" s="11">
        <f>VLOOKUP($J59,output!$A$9:$AI$2200,M$1-$L$1+3)</f>
        <v>0</v>
      </c>
      <c r="N59" s="11">
        <f>VLOOKUP($J59,output!$A$9:$AI$2200,N$1-$L$1+3)</f>
        <v>127.508</v>
      </c>
      <c r="O59" s="11">
        <f>VLOOKUP($J59,output!$A$9:$AI$2200,O$1-$L$1+3)</f>
        <v>81.686000000000007</v>
      </c>
      <c r="P59" s="11">
        <f>VLOOKUP($J59,output!$A$9:$AI$2200,P$1-$L$1+3)</f>
        <v>178.76400000000001</v>
      </c>
      <c r="Q59" s="11">
        <f>VLOOKUP($J59,output!$A$9:$AI$2200,Q$1-$L$1+3)</f>
        <v>288.11799999999999</v>
      </c>
      <c r="R59" s="11">
        <f>VLOOKUP($J59,output!$A$9:$AI$2200,R$1-$L$1+3)</f>
        <v>387.96</v>
      </c>
      <c r="S59" s="11">
        <f>VLOOKUP($J59,output!$A$9:$AI$2200,S$1-$L$1+3)</f>
        <v>225.672</v>
      </c>
      <c r="T59" s="11">
        <f>VLOOKUP($J59,output!$A$9:$AI$2200,T$1-$L$1+3)</f>
        <v>336.52</v>
      </c>
      <c r="U59" s="11">
        <f>VLOOKUP($J59,output!$A$9:$AI$2200,U$1-$L$1+3)</f>
        <v>293.64999999999998</v>
      </c>
      <c r="V59" s="11">
        <f>VLOOKUP($J59,output!$A$9:$AI$2200,V$1-$L$1+3)</f>
        <v>241.90600000000001</v>
      </c>
      <c r="W59" s="11">
        <f>VLOOKUP($J59,output!$A$9:$AI$2200,W$1-$L$1+3)</f>
        <v>196.95500000000001</v>
      </c>
      <c r="X59" s="11">
        <f>VLOOKUP($J59,output!$A$9:$AI$2200,X$1-$L$1+3)</f>
        <v>172.11799999999999</v>
      </c>
      <c r="Y59" s="11">
        <f>VLOOKUP($J59,output!$A$9:$AI$2200,Y$1-$L$1+3)</f>
        <v>104.04900000000001</v>
      </c>
      <c r="Z59" s="11">
        <f>VLOOKUP($J59,output!$A$9:$AI$2200,Z$1-$L$1+3)</f>
        <v>70.097999999999999</v>
      </c>
      <c r="AA59" s="11">
        <f>VLOOKUP($J59,output!$A$9:$AI$2200,AA$1-$L$1+3)</f>
        <v>33.027999999999999</v>
      </c>
      <c r="AB59" s="11">
        <f>VLOOKUP($J59,output!$A$9:$AI$2200,AB$1-$L$1+3)</f>
        <v>0</v>
      </c>
      <c r="AC59" s="11">
        <f>VLOOKUP($J59,output!$A$9:$AI$2200,AC$1-$L$1+3)</f>
        <v>20.146999999999998</v>
      </c>
      <c r="AD59" s="11">
        <f>VLOOKUP($J59,output!$A$9:$AI$2200,AD$1-$L$1+3)</f>
        <v>20.14</v>
      </c>
      <c r="AE59" s="11">
        <f>VLOOKUP($J59,output!$A$9:$AI$2200,AE$1-$L$1+3)</f>
        <v>18.898</v>
      </c>
      <c r="AF59" s="11">
        <f>VLOOKUP($J59,output!$A$9:$AI$2200,AF$1-$L$1+3)</f>
        <v>26.012</v>
      </c>
      <c r="AG59" s="11">
        <f>VLOOKUP($J59,output!$A$9:$AI$2200,AG$1-$L$1+3)</f>
        <v>22.178999999999998</v>
      </c>
      <c r="AH59" s="11">
        <f>VLOOKUP($J59,output!$A$9:$AI$2200,AH$1-$L$1+3)</f>
        <v>25.236999999999998</v>
      </c>
      <c r="AI59" s="11">
        <f>VLOOKUP($J59,output!$A$9:$AI$2200,AI$1-$L$1+3)</f>
        <v>23.263000000000002</v>
      </c>
      <c r="AJ59" s="11">
        <f>VLOOKUP($J59,output!$A$9:$AI$2200,AJ$1-$L$1+3)</f>
        <v>24.57</v>
      </c>
      <c r="AK59" s="11">
        <f>VLOOKUP($J59,output!$A$9:$AI$2200,AK$1-$L$1+3)</f>
        <v>26.058</v>
      </c>
      <c r="AL59" s="11">
        <f>VLOOKUP($J59,output!$A$9:$AI$2200,AL$1-$L$1+3)</f>
        <v>25.954000000000001</v>
      </c>
    </row>
    <row r="60" spans="10:38" x14ac:dyDescent="0.25">
      <c r="J60" t="s">
        <v>40</v>
      </c>
      <c r="K60" t="s">
        <v>286</v>
      </c>
      <c r="L60" s="11">
        <f>VLOOKUP($J60,output!$A$9:$AI$2200,L$1-$L$1+3)</f>
        <v>174.619</v>
      </c>
      <c r="M60" s="11">
        <f>VLOOKUP($J60,output!$A$9:$AI$2200,M$1-$L$1+3)</f>
        <v>133.69</v>
      </c>
      <c r="N60" s="11">
        <f>VLOOKUP($J60,output!$A$9:$AI$2200,N$1-$L$1+3)</f>
        <v>125.655</v>
      </c>
      <c r="O60" s="11">
        <f>VLOOKUP($J60,output!$A$9:$AI$2200,O$1-$L$1+3)</f>
        <v>158.42599999999999</v>
      </c>
      <c r="P60" s="11">
        <f>VLOOKUP($J60,output!$A$9:$AI$2200,P$1-$L$1+3)</f>
        <v>151.721</v>
      </c>
      <c r="Q60" s="11">
        <f>VLOOKUP($J60,output!$A$9:$AI$2200,Q$1-$L$1+3)</f>
        <v>142.83199999999999</v>
      </c>
      <c r="R60" s="11">
        <f>VLOOKUP($J60,output!$A$9:$AI$2200,R$1-$L$1+3)</f>
        <v>134.17699999999999</v>
      </c>
      <c r="S60" s="11">
        <f>VLOOKUP($J60,output!$A$9:$AI$2200,S$1-$L$1+3)</f>
        <v>171.322</v>
      </c>
      <c r="T60" s="11">
        <f>VLOOKUP($J60,output!$A$9:$AI$2200,T$1-$L$1+3)</f>
        <v>161.572</v>
      </c>
      <c r="U60" s="11">
        <f>VLOOKUP($J60,output!$A$9:$AI$2200,U$1-$L$1+3)</f>
        <v>179.059</v>
      </c>
      <c r="V60" s="11">
        <f>VLOOKUP($J60,output!$A$9:$AI$2200,V$1-$L$1+3)</f>
        <v>198.381</v>
      </c>
      <c r="W60" s="11">
        <f>VLOOKUP($J60,output!$A$9:$AI$2200,W$1-$L$1+3)</f>
        <v>217.12899999999999</v>
      </c>
      <c r="X60" s="11">
        <f>VLOOKUP($J60,output!$A$9:$AI$2200,X$1-$L$1+3)</f>
        <v>228.785</v>
      </c>
      <c r="Y60" s="11">
        <f>VLOOKUP($J60,output!$A$9:$AI$2200,Y$1-$L$1+3)</f>
        <v>249.29</v>
      </c>
      <c r="Z60" s="11">
        <f>VLOOKUP($J60,output!$A$9:$AI$2200,Z$1-$L$1+3)</f>
        <v>260.67599999999999</v>
      </c>
      <c r="AA60" s="11">
        <f>VLOOKUP($J60,output!$A$9:$AI$2200,AA$1-$L$1+3)</f>
        <v>208.41800000000001</v>
      </c>
      <c r="AB60" s="11">
        <f>VLOOKUP($J60,output!$A$9:$AI$2200,AB$1-$L$1+3)</f>
        <v>275.66300000000001</v>
      </c>
      <c r="AC60" s="11">
        <f>VLOOKUP($J60,output!$A$9:$AI$2200,AC$1-$L$1+3)</f>
        <v>216.58500000000001</v>
      </c>
      <c r="AD60" s="11">
        <f>VLOOKUP($J60,output!$A$9:$AI$2200,AD$1-$L$1+3)</f>
        <v>214.316</v>
      </c>
      <c r="AE60" s="11">
        <f>VLOOKUP($J60,output!$A$9:$AI$2200,AE$1-$L$1+3)</f>
        <v>179.24600000000001</v>
      </c>
      <c r="AF60" s="11">
        <f>VLOOKUP($J60,output!$A$9:$AI$2200,AF$1-$L$1+3)</f>
        <v>139.40600000000001</v>
      </c>
      <c r="AG60" s="11">
        <f>VLOOKUP($J60,output!$A$9:$AI$2200,AG$1-$L$1+3)</f>
        <v>105.514</v>
      </c>
      <c r="AH60" s="11">
        <f>VLOOKUP($J60,output!$A$9:$AI$2200,AH$1-$L$1+3)</f>
        <v>149.63200000000001</v>
      </c>
      <c r="AI60" s="11">
        <f>VLOOKUP($J60,output!$A$9:$AI$2200,AI$1-$L$1+3)</f>
        <v>111.46</v>
      </c>
      <c r="AJ60" s="11">
        <f>VLOOKUP($J60,output!$A$9:$AI$2200,AJ$1-$L$1+3)</f>
        <v>120.236</v>
      </c>
      <c r="AK60" s="11">
        <f>VLOOKUP($J60,output!$A$9:$AI$2200,AK$1-$L$1+3)</f>
        <v>131.83799999999999</v>
      </c>
      <c r="AL60" s="11">
        <f>VLOOKUP($J60,output!$A$9:$AI$2200,AL$1-$L$1+3)</f>
        <v>141.38200000000001</v>
      </c>
    </row>
    <row r="61" spans="10:38" x14ac:dyDescent="0.25">
      <c r="J61" t="s">
        <v>41</v>
      </c>
      <c r="K61" t="s">
        <v>287</v>
      </c>
      <c r="L61" s="11">
        <f>VLOOKUP($J61,output!$A$9:$AI$2200,L$1-$L$1+3)</f>
        <v>514.33500000000004</v>
      </c>
      <c r="M61" s="11">
        <f>VLOOKUP($J61,output!$A$9:$AI$2200,M$1-$L$1+3)</f>
        <v>636.47299999999996</v>
      </c>
      <c r="N61" s="11">
        <f>VLOOKUP($J61,output!$A$9:$AI$2200,N$1-$L$1+3)</f>
        <v>517.43600000000004</v>
      </c>
      <c r="O61" s="11">
        <f>VLOOKUP($J61,output!$A$9:$AI$2200,O$1-$L$1+3)</f>
        <v>525.29</v>
      </c>
      <c r="P61" s="11">
        <f>VLOOKUP($J61,output!$A$9:$AI$2200,P$1-$L$1+3)</f>
        <v>434.74</v>
      </c>
      <c r="Q61" s="11">
        <f>VLOOKUP($J61,output!$A$9:$AI$2200,Q$1-$L$1+3)</f>
        <v>334.22500000000002</v>
      </c>
      <c r="R61" s="11">
        <f>VLOOKUP($J61,output!$A$9:$AI$2200,R$1-$L$1+3)</f>
        <v>242.89</v>
      </c>
      <c r="S61" s="11">
        <f>VLOOKUP($J61,output!$A$9:$AI$2200,S$1-$L$1+3)</f>
        <v>361.96199999999999</v>
      </c>
      <c r="T61" s="11">
        <f>VLOOKUP($J61,output!$A$9:$AI$2200,T$1-$L$1+3)</f>
        <v>262.10000000000002</v>
      </c>
      <c r="U61" s="11">
        <f>VLOOKUP($J61,output!$A$9:$AI$2200,U$1-$L$1+3)</f>
        <v>285.238</v>
      </c>
      <c r="V61" s="11">
        <f>VLOOKUP($J61,output!$A$9:$AI$2200,V$1-$L$1+3)</f>
        <v>315.29700000000003</v>
      </c>
      <c r="W61" s="11">
        <f>VLOOKUP($J61,output!$A$9:$AI$2200,W$1-$L$1+3)</f>
        <v>339.197</v>
      </c>
      <c r="X61" s="11">
        <f>VLOOKUP($J61,output!$A$9:$AI$2200,X$1-$L$1+3)</f>
        <v>350.42200000000003</v>
      </c>
      <c r="Y61" s="11">
        <f>VLOOKUP($J61,output!$A$9:$AI$2200,Y$1-$L$1+3)</f>
        <v>394.88600000000002</v>
      </c>
      <c r="Z61" s="11">
        <f>VLOOKUP($J61,output!$A$9:$AI$2200,Z$1-$L$1+3)</f>
        <v>415.048</v>
      </c>
      <c r="AA61" s="11">
        <f>VLOOKUP($J61,output!$A$9:$AI$2200,AA$1-$L$1+3)</f>
        <v>333.64</v>
      </c>
      <c r="AB61" s="11">
        <f>VLOOKUP($J61,output!$A$9:$AI$2200,AB$1-$L$1+3)</f>
        <v>448.154</v>
      </c>
      <c r="AC61" s="11">
        <f>VLOOKUP($J61,output!$A$9:$AI$2200,AC$1-$L$1+3)</f>
        <v>360.78699999999998</v>
      </c>
      <c r="AD61" s="11">
        <f>VLOOKUP($J61,output!$A$9:$AI$2200,AD$1-$L$1+3)</f>
        <v>357.05599999999998</v>
      </c>
      <c r="AE61" s="11">
        <f>VLOOKUP($J61,output!$A$9:$AI$2200,AE$1-$L$1+3)</f>
        <v>297.51900000000001</v>
      </c>
      <c r="AF61" s="11">
        <f>VLOOKUP($J61,output!$A$9:$AI$2200,AF$1-$L$1+3)</f>
        <v>225.048</v>
      </c>
      <c r="AG61" s="11">
        <f>VLOOKUP($J61,output!$A$9:$AI$2200,AG$1-$L$1+3)</f>
        <v>167.11500000000001</v>
      </c>
      <c r="AH61" s="11">
        <f>VLOOKUP($J61,output!$A$9:$AI$2200,AH$1-$L$1+3)</f>
        <v>235.55199999999999</v>
      </c>
      <c r="AI61" s="11">
        <f>VLOOKUP($J61,output!$A$9:$AI$2200,AI$1-$L$1+3)</f>
        <v>171.727</v>
      </c>
      <c r="AJ61" s="11">
        <f>VLOOKUP($J61,output!$A$9:$AI$2200,AJ$1-$L$1+3)</f>
        <v>182.45</v>
      </c>
      <c r="AK61" s="11">
        <f>VLOOKUP($J61,output!$A$9:$AI$2200,AK$1-$L$1+3)</f>
        <v>197.471</v>
      </c>
      <c r="AL61" s="11">
        <f>VLOOKUP($J61,output!$A$9:$AI$2200,AL$1-$L$1+3)</f>
        <v>209.977</v>
      </c>
    </row>
    <row r="62" spans="10:38" x14ac:dyDescent="0.25">
      <c r="J62" t="s">
        <v>42</v>
      </c>
      <c r="K62" t="s">
        <v>288</v>
      </c>
      <c r="L62" s="11">
        <f>VLOOKUP($J62,output!$A$9:$AI$2200,L$1-$L$1+3)</f>
        <v>6.7770000000000001</v>
      </c>
      <c r="M62" s="11">
        <f>VLOOKUP($J62,output!$A$9:$AI$2200,M$1-$L$1+3)</f>
        <v>1.9530000000000001</v>
      </c>
      <c r="N62" s="11">
        <f>VLOOKUP($J62,output!$A$9:$AI$2200,N$1-$L$1+3)</f>
        <v>2.073</v>
      </c>
      <c r="O62" s="11">
        <f>VLOOKUP($J62,output!$A$9:$AI$2200,O$1-$L$1+3)</f>
        <v>3.07</v>
      </c>
      <c r="P62" s="11">
        <f>VLOOKUP($J62,output!$A$9:$AI$2200,P$1-$L$1+3)</f>
        <v>3.2749999999999999</v>
      </c>
      <c r="Q62" s="11">
        <f>VLOOKUP($J62,output!$A$9:$AI$2200,Q$1-$L$1+3)</f>
        <v>3.5830000000000002</v>
      </c>
      <c r="R62" s="11">
        <f>VLOOKUP($J62,output!$A$9:$AI$2200,R$1-$L$1+3)</f>
        <v>3.8919999999999999</v>
      </c>
      <c r="S62" s="11">
        <f>VLOOKUP($J62,output!$A$9:$AI$2200,S$1-$L$1+3)</f>
        <v>4.4219999999999997</v>
      </c>
      <c r="T62" s="11">
        <f>VLOOKUP($J62,output!$A$9:$AI$2200,T$1-$L$1+3)</f>
        <v>4.7080000000000002</v>
      </c>
      <c r="U62" s="11">
        <f>VLOOKUP($J62,output!$A$9:$AI$2200,U$1-$L$1+3)</f>
        <v>5.0999999999999996</v>
      </c>
      <c r="V62" s="11">
        <f>VLOOKUP($J62,output!$A$9:$AI$2200,V$1-$L$1+3)</f>
        <v>5.4210000000000003</v>
      </c>
      <c r="W62" s="11">
        <f>VLOOKUP($J62,output!$A$9:$AI$2200,W$1-$L$1+3)</f>
        <v>5.7089999999999996</v>
      </c>
      <c r="X62" s="11">
        <f>VLOOKUP($J62,output!$A$9:$AI$2200,X$1-$L$1+3)</f>
        <v>6.0709999999999997</v>
      </c>
      <c r="Y62" s="11">
        <f>VLOOKUP($J62,output!$A$9:$AI$2200,Y$1-$L$1+3)</f>
        <v>6.4820000000000002</v>
      </c>
      <c r="Z62" s="11">
        <f>VLOOKUP($J62,output!$A$9:$AI$2200,Z$1-$L$1+3)</f>
        <v>6.7830000000000004</v>
      </c>
      <c r="AA62" s="11">
        <f>VLOOKUP($J62,output!$A$9:$AI$2200,AA$1-$L$1+3)</f>
        <v>5.3570000000000002</v>
      </c>
      <c r="AB62" s="11">
        <f>VLOOKUP($J62,output!$A$9:$AI$2200,AB$1-$L$1+3)</f>
        <v>6.9390000000000001</v>
      </c>
      <c r="AC62" s="11">
        <f>VLOOKUP($J62,output!$A$9:$AI$2200,AC$1-$L$1+3)</f>
        <v>5.6630000000000003</v>
      </c>
      <c r="AD62" s="11">
        <f>VLOOKUP($J62,output!$A$9:$AI$2200,AD$1-$L$1+3)</f>
        <v>5.6319999999999997</v>
      </c>
      <c r="AE62" s="11">
        <f>VLOOKUP($J62,output!$A$9:$AI$2200,AE$1-$L$1+3)</f>
        <v>4.7380000000000004</v>
      </c>
      <c r="AF62" s="11">
        <f>VLOOKUP($J62,output!$A$9:$AI$2200,AF$1-$L$1+3)</f>
        <v>3.7549999999999999</v>
      </c>
      <c r="AG62" s="11">
        <f>VLOOKUP($J62,output!$A$9:$AI$2200,AG$1-$L$1+3)</f>
        <v>2.8679999999999999</v>
      </c>
      <c r="AH62" s="11">
        <f>VLOOKUP($J62,output!$A$9:$AI$2200,AH$1-$L$1+3)</f>
        <v>4.0549999999999997</v>
      </c>
      <c r="AI62" s="11">
        <f>VLOOKUP($J62,output!$A$9:$AI$2200,AI$1-$L$1+3)</f>
        <v>3.0569999999999999</v>
      </c>
      <c r="AJ62" s="11">
        <f>VLOOKUP($J62,output!$A$9:$AI$2200,AJ$1-$L$1+3)</f>
        <v>3.3130000000000002</v>
      </c>
      <c r="AK62" s="11">
        <f>VLOOKUP($J62,output!$A$9:$AI$2200,AK$1-$L$1+3)</f>
        <v>3.637</v>
      </c>
      <c r="AL62" s="11">
        <f>VLOOKUP($J62,output!$A$9:$AI$2200,AL$1-$L$1+3)</f>
        <v>3.8940000000000001</v>
      </c>
    </row>
    <row r="63" spans="10:38" x14ac:dyDescent="0.25"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10:38" x14ac:dyDescent="0.25">
      <c r="J64" t="s">
        <v>252</v>
      </c>
      <c r="K64" s="11">
        <f>VLOOKUP($J64,output!$A$9:$AI$2200,K$1-$L$1+3)</f>
        <v>0</v>
      </c>
      <c r="L64" s="11">
        <f>VLOOKUP($J64,output!$A$9:$AI$2200,L$1-$L$1+3)</f>
        <v>5.6660000000000004</v>
      </c>
      <c r="M64" s="11">
        <f>VLOOKUP($J64,output!$A$9:$AI$2200,M$1-$L$1+3)</f>
        <v>7.8879999999999999</v>
      </c>
      <c r="N64" s="11">
        <f>VLOOKUP($J64,output!$A$9:$AI$2200,N$1-$L$1+3)</f>
        <v>7.3529999999999998</v>
      </c>
      <c r="O64" s="11">
        <f>VLOOKUP($J64,output!$A$9:$AI$2200,O$1-$L$1+3)</f>
        <v>8.3949999999999996</v>
      </c>
      <c r="P64" s="11">
        <f>VLOOKUP($J64,output!$A$9:$AI$2200,P$1-$L$1+3)</f>
        <v>8.1769999999999996</v>
      </c>
      <c r="Q64" s="11">
        <f>VLOOKUP($J64,output!$A$9:$AI$2200,Q$1-$L$1+3)</f>
        <v>7.8019999999999996</v>
      </c>
      <c r="R64" s="11">
        <f>VLOOKUP($J64,output!$A$9:$AI$2200,R$1-$L$1+3)</f>
        <v>7.4390000000000001</v>
      </c>
      <c r="S64" s="11">
        <f>VLOOKUP($J64,output!$A$9:$AI$2200,S$1-$L$1+3)</f>
        <v>8.5139999999999993</v>
      </c>
      <c r="T64" s="11">
        <f>VLOOKUP($J64,output!$A$9:$AI$2200,T$1-$L$1+3)</f>
        <v>8.3000000000000007</v>
      </c>
      <c r="U64" s="11">
        <f>VLOOKUP($J64,output!$A$9:$AI$2200,U$1-$L$1+3)</f>
        <v>8.8940000000000001</v>
      </c>
      <c r="V64" s="11">
        <f>VLOOKUP($J64,output!$A$9:$AI$2200,V$1-$L$1+3)</f>
        <v>9.4960000000000004</v>
      </c>
      <c r="W64" s="11">
        <f>VLOOKUP($J64,output!$A$9:$AI$2200,W$1-$L$1+3)</f>
        <v>10.087999999999999</v>
      </c>
      <c r="X64" s="11">
        <f>VLOOKUP($J64,output!$A$9:$AI$2200,X$1-$L$1+3)</f>
        <v>0</v>
      </c>
      <c r="Y64" s="11">
        <f>VLOOKUP($J64,output!$A$9:$AI$2200,Y$1-$L$1+3)</f>
        <v>0</v>
      </c>
      <c r="Z64" s="11">
        <f>VLOOKUP($J64,output!$A$9:$AI$2200,Z$1-$L$1+3)</f>
        <v>0</v>
      </c>
      <c r="AA64" s="11">
        <f>VLOOKUP($J64,output!$A$9:$AI$2200,AA$1-$L$1+3)</f>
        <v>0</v>
      </c>
      <c r="AB64" s="11">
        <f>VLOOKUP($J64,output!$A$9:$AI$2200,AB$1-$L$1+3)</f>
        <v>0</v>
      </c>
      <c r="AC64" s="11">
        <f>VLOOKUP($J64,output!$A$9:$AI$2200,AC$1-$L$1+3)</f>
        <v>0</v>
      </c>
      <c r="AD64" s="11">
        <f>VLOOKUP($J64,output!$A$9:$AI$2200,AD$1-$L$1+3)</f>
        <v>0</v>
      </c>
      <c r="AE64" s="11">
        <f>VLOOKUP($J64,output!$A$9:$AI$2200,AE$1-$L$1+3)</f>
        <v>0</v>
      </c>
      <c r="AF64" s="11">
        <f>VLOOKUP($J64,output!$A$9:$AI$2200,AF$1-$L$1+3)</f>
        <v>0</v>
      </c>
      <c r="AG64" s="11">
        <f>VLOOKUP($J64,output!$A$9:$AI$2200,AG$1-$L$1+3)</f>
        <v>0</v>
      </c>
      <c r="AH64" s="11">
        <f>VLOOKUP($J64,output!$A$9:$AI$2200,AH$1-$L$1+3)</f>
        <v>0</v>
      </c>
      <c r="AI64" s="11">
        <f>VLOOKUP($J64,output!$A$9:$AI$2200,AI$1-$L$1+3)</f>
        <v>0</v>
      </c>
      <c r="AJ64" s="11">
        <f>VLOOKUP($J64,output!$A$9:$AI$2200,AJ$1-$L$1+3)</f>
        <v>0</v>
      </c>
      <c r="AK64" s="11">
        <f>VLOOKUP($J64,output!$A$9:$AI$2200,AK$1-$L$1+3)</f>
        <v>0</v>
      </c>
      <c r="AL64" s="11">
        <f>VLOOKUP($J64,output!$A$9:$AI$2200,AL$1-$L$1+3)</f>
        <v>0</v>
      </c>
    </row>
    <row r="65" spans="10:38" x14ac:dyDescent="0.25">
      <c r="J65" t="s">
        <v>43</v>
      </c>
      <c r="K65" s="11">
        <f>VLOOKUP($J65,output!$A$9:$AI$2200,K$1-$L$1+3)</f>
        <v>0</v>
      </c>
      <c r="L65" s="11">
        <f>VLOOKUP($J65,output!$A$9:$AI$2200,L$1-$L$1+3)</f>
        <v>8.5440000000000005</v>
      </c>
      <c r="M65" s="11">
        <f>VLOOKUP($J65,output!$A$9:$AI$2200,M$1-$L$1+3)</f>
        <v>0</v>
      </c>
      <c r="N65" s="11">
        <f>VLOOKUP($J65,output!$A$9:$AI$2200,N$1-$L$1+3)</f>
        <v>13.557</v>
      </c>
      <c r="O65" s="11">
        <f>VLOOKUP($J65,output!$A$9:$AI$2200,O$1-$L$1+3)</f>
        <v>8.7490000000000006</v>
      </c>
      <c r="P65" s="11">
        <f>VLOOKUP($J65,output!$A$9:$AI$2200,P$1-$L$1+3)</f>
        <v>19.196999999999999</v>
      </c>
      <c r="Q65" s="11">
        <f>VLOOKUP($J65,output!$A$9:$AI$2200,Q$1-$L$1+3)</f>
        <v>31.212</v>
      </c>
      <c r="R65" s="11">
        <f>VLOOKUP($J65,output!$A$9:$AI$2200,R$1-$L$1+3)</f>
        <v>42.710999999999999</v>
      </c>
      <c r="S65" s="11">
        <f>VLOOKUP($J65,output!$A$9:$AI$2200,S$1-$L$1+3)</f>
        <v>25.559000000000001</v>
      </c>
      <c r="T65" s="11">
        <f>VLOOKUP($J65,output!$A$9:$AI$2200,T$1-$L$1+3)</f>
        <v>38.691000000000003</v>
      </c>
      <c r="U65" s="11">
        <f>VLOOKUP($J65,output!$A$9:$AI$2200,U$1-$L$1+3)</f>
        <v>34.564</v>
      </c>
      <c r="V65" s="11">
        <f>VLOOKUP($J65,output!$A$9:$AI$2200,V$1-$L$1+3)</f>
        <v>29.053999999999998</v>
      </c>
      <c r="W65" s="11">
        <f>VLOOKUP($J65,output!$A$9:$AI$2200,W$1-$L$1+3)</f>
        <v>24.024000000000001</v>
      </c>
      <c r="X65" s="11">
        <f>VLOOKUP($J65,output!$A$9:$AI$2200,X$1-$L$1+3)</f>
        <v>0</v>
      </c>
      <c r="Y65" s="11">
        <f>VLOOKUP($J65,output!$A$9:$AI$2200,Y$1-$L$1+3)</f>
        <v>0</v>
      </c>
      <c r="Z65" s="11">
        <f>VLOOKUP($J65,output!$A$9:$AI$2200,Z$1-$L$1+3)</f>
        <v>0</v>
      </c>
      <c r="AA65" s="11">
        <f>VLOOKUP($J65,output!$A$9:$AI$2200,AA$1-$L$1+3)</f>
        <v>0</v>
      </c>
      <c r="AB65" s="11">
        <f>VLOOKUP($J65,output!$A$9:$AI$2200,AB$1-$L$1+3)</f>
        <v>0</v>
      </c>
      <c r="AC65" s="11">
        <f>VLOOKUP($J65,output!$A$9:$AI$2200,AC$1-$L$1+3)</f>
        <v>0</v>
      </c>
      <c r="AD65" s="11">
        <f>VLOOKUP($J65,output!$A$9:$AI$2200,AD$1-$L$1+3)</f>
        <v>0</v>
      </c>
      <c r="AE65" s="11">
        <f>VLOOKUP($J65,output!$A$9:$AI$2200,AE$1-$L$1+3)</f>
        <v>0</v>
      </c>
      <c r="AF65" s="11">
        <f>VLOOKUP($J65,output!$A$9:$AI$2200,AF$1-$L$1+3)</f>
        <v>0</v>
      </c>
      <c r="AG65" s="11">
        <f>VLOOKUP($J65,output!$A$9:$AI$2200,AG$1-$L$1+3)</f>
        <v>0</v>
      </c>
      <c r="AH65" s="11">
        <f>VLOOKUP($J65,output!$A$9:$AI$2200,AH$1-$L$1+3)</f>
        <v>0</v>
      </c>
      <c r="AI65" s="11">
        <f>VLOOKUP($J65,output!$A$9:$AI$2200,AI$1-$L$1+3)</f>
        <v>0</v>
      </c>
      <c r="AJ65" s="11">
        <f>VLOOKUP($J65,output!$A$9:$AI$2200,AJ$1-$L$1+3)</f>
        <v>0</v>
      </c>
      <c r="AK65" s="11">
        <f>VLOOKUP($J65,output!$A$9:$AI$2200,AK$1-$L$1+3)</f>
        <v>0</v>
      </c>
      <c r="AL65" s="11">
        <f>VLOOKUP($J65,output!$A$9:$AI$2200,AL$1-$L$1+3)</f>
        <v>0</v>
      </c>
    </row>
    <row r="66" spans="10:38" x14ac:dyDescent="0.25">
      <c r="J66" t="s">
        <v>44</v>
      </c>
      <c r="K66" s="11">
        <f>VLOOKUP($J66,output!$A$9:$AI$2200,K$1-$L$1+3)</f>
        <v>0</v>
      </c>
      <c r="L66" s="11">
        <f>VLOOKUP($J66,output!$A$9:$AI$2200,L$1-$L$1+3)</f>
        <v>137.66499999999999</v>
      </c>
      <c r="M66" s="11">
        <f>VLOOKUP($J66,output!$A$9:$AI$2200,M$1-$L$1+3)</f>
        <v>107.455</v>
      </c>
      <c r="N66" s="11">
        <f>VLOOKUP($J66,output!$A$9:$AI$2200,N$1-$L$1+3)</f>
        <v>107.03400000000001</v>
      </c>
      <c r="O66" s="11">
        <f>VLOOKUP($J66,output!$A$9:$AI$2200,O$1-$L$1+3)</f>
        <v>121.91200000000001</v>
      </c>
      <c r="P66" s="11">
        <f>VLOOKUP($J66,output!$A$9:$AI$2200,P$1-$L$1+3)</f>
        <v>120.974</v>
      </c>
      <c r="Q66" s="11">
        <f>VLOOKUP($J66,output!$A$9:$AI$2200,Q$1-$L$1+3)</f>
        <v>119.73</v>
      </c>
      <c r="R66" s="11">
        <f>VLOOKUP($J66,output!$A$9:$AI$2200,R$1-$L$1+3)</f>
        <v>118.252</v>
      </c>
      <c r="S66" s="11">
        <f>VLOOKUP($J66,output!$A$9:$AI$2200,S$1-$L$1+3)</f>
        <v>127.758</v>
      </c>
      <c r="T66" s="11">
        <f>VLOOKUP($J66,output!$A$9:$AI$2200,T$1-$L$1+3)</f>
        <v>126.67100000000001</v>
      </c>
      <c r="U66" s="11">
        <f>VLOOKUP($J66,output!$A$9:$AI$2200,U$1-$L$1+3)</f>
        <v>130.482</v>
      </c>
      <c r="V66" s="11">
        <f>VLOOKUP($J66,output!$A$9:$AI$2200,V$1-$L$1+3)</f>
        <v>134.49299999999999</v>
      </c>
      <c r="W66" s="11">
        <f>VLOOKUP($J66,output!$A$9:$AI$2200,W$1-$L$1+3)</f>
        <v>138.35900000000001</v>
      </c>
      <c r="X66" s="11">
        <f>VLOOKUP($J66,output!$A$9:$AI$2200,X$1-$L$1+3)</f>
        <v>0</v>
      </c>
      <c r="Y66" s="11">
        <f>VLOOKUP($J66,output!$A$9:$AI$2200,Y$1-$L$1+3)</f>
        <v>0</v>
      </c>
      <c r="Z66" s="11">
        <f>VLOOKUP($J66,output!$A$9:$AI$2200,Z$1-$L$1+3)</f>
        <v>0</v>
      </c>
      <c r="AA66" s="11">
        <f>VLOOKUP($J66,output!$A$9:$AI$2200,AA$1-$L$1+3)</f>
        <v>0</v>
      </c>
      <c r="AB66" s="11">
        <f>VLOOKUP($J66,output!$A$9:$AI$2200,AB$1-$L$1+3)</f>
        <v>0</v>
      </c>
      <c r="AC66" s="11">
        <f>VLOOKUP($J66,output!$A$9:$AI$2200,AC$1-$L$1+3)</f>
        <v>0</v>
      </c>
      <c r="AD66" s="11">
        <f>VLOOKUP($J66,output!$A$9:$AI$2200,AD$1-$L$1+3)</f>
        <v>0</v>
      </c>
      <c r="AE66" s="11">
        <f>VLOOKUP($J66,output!$A$9:$AI$2200,AE$1-$L$1+3)</f>
        <v>0</v>
      </c>
      <c r="AF66" s="11">
        <f>VLOOKUP($J66,output!$A$9:$AI$2200,AF$1-$L$1+3)</f>
        <v>0</v>
      </c>
      <c r="AG66" s="11">
        <f>VLOOKUP($J66,output!$A$9:$AI$2200,AG$1-$L$1+3)</f>
        <v>0</v>
      </c>
      <c r="AH66" s="11">
        <f>VLOOKUP($J66,output!$A$9:$AI$2200,AH$1-$L$1+3)</f>
        <v>0</v>
      </c>
      <c r="AI66" s="11">
        <f>VLOOKUP($J66,output!$A$9:$AI$2200,AI$1-$L$1+3)</f>
        <v>0</v>
      </c>
      <c r="AJ66" s="11">
        <f>VLOOKUP($J66,output!$A$9:$AI$2200,AJ$1-$L$1+3)</f>
        <v>0</v>
      </c>
      <c r="AK66" s="11">
        <f>VLOOKUP($J66,output!$A$9:$AI$2200,AK$1-$L$1+3)</f>
        <v>0</v>
      </c>
      <c r="AL66" s="11">
        <f>VLOOKUP($J66,output!$A$9:$AI$2200,AL$1-$L$1+3)</f>
        <v>0</v>
      </c>
    </row>
    <row r="67" spans="10:38" x14ac:dyDescent="0.25">
      <c r="J67" t="s">
        <v>45</v>
      </c>
      <c r="K67" s="11">
        <f>VLOOKUP($J67,output!$A$9:$AI$2200,K$1-$L$1+3)</f>
        <v>0</v>
      </c>
      <c r="L67" s="11">
        <f>VLOOKUP($J67,output!$A$9:$AI$2200,L$1-$L$1+3)</f>
        <v>94.536000000000001</v>
      </c>
      <c r="M67" s="11">
        <f>VLOOKUP($J67,output!$A$9:$AI$2200,M$1-$L$1+3)</f>
        <v>133.28800000000001</v>
      </c>
      <c r="N67" s="11">
        <f>VLOOKUP($J67,output!$A$9:$AI$2200,N$1-$L$1+3)</f>
        <v>119.46899999999999</v>
      </c>
      <c r="O67" s="11">
        <f>VLOOKUP($J67,output!$A$9:$AI$2200,O$1-$L$1+3)</f>
        <v>106.818</v>
      </c>
      <c r="P67" s="11">
        <f>VLOOKUP($J67,output!$A$9:$AI$2200,P$1-$L$1+3)</f>
        <v>96.432000000000002</v>
      </c>
      <c r="Q67" s="11">
        <f>VLOOKUP($J67,output!$A$9:$AI$2200,Q$1-$L$1+3)</f>
        <v>85.007000000000005</v>
      </c>
      <c r="R67" s="11">
        <f>VLOOKUP($J67,output!$A$9:$AI$2200,R$1-$L$1+3)</f>
        <v>74.412000000000006</v>
      </c>
      <c r="S67" s="11">
        <f>VLOOKUP($J67,output!$A$9:$AI$2200,S$1-$L$1+3)</f>
        <v>81.066999999999993</v>
      </c>
      <c r="T67" s="11">
        <f>VLOOKUP($J67,output!$A$9:$AI$2200,T$1-$L$1+3)</f>
        <v>69.204999999999998</v>
      </c>
      <c r="U67" s="11">
        <f>VLOOKUP($J67,output!$A$9:$AI$2200,U$1-$L$1+3)</f>
        <v>68.738</v>
      </c>
      <c r="V67" s="11">
        <f>VLOOKUP($J67,output!$A$9:$AI$2200,V$1-$L$1+3)</f>
        <v>69.262</v>
      </c>
      <c r="W67" s="11">
        <f>VLOOKUP($J67,output!$A$9:$AI$2200,W$1-$L$1+3)</f>
        <v>69.234999999999999</v>
      </c>
      <c r="X67" s="11">
        <f>VLOOKUP($J67,output!$A$9:$AI$2200,X$1-$L$1+3)</f>
        <v>0</v>
      </c>
      <c r="Y67" s="11">
        <f>VLOOKUP($J67,output!$A$9:$AI$2200,Y$1-$L$1+3)</f>
        <v>0</v>
      </c>
      <c r="Z67" s="11">
        <f>VLOOKUP($J67,output!$A$9:$AI$2200,Z$1-$L$1+3)</f>
        <v>0</v>
      </c>
      <c r="AA67" s="11">
        <f>VLOOKUP($J67,output!$A$9:$AI$2200,AA$1-$L$1+3)</f>
        <v>0</v>
      </c>
      <c r="AB67" s="11">
        <f>VLOOKUP($J67,output!$A$9:$AI$2200,AB$1-$L$1+3)</f>
        <v>0</v>
      </c>
      <c r="AC67" s="11">
        <f>VLOOKUP($J67,output!$A$9:$AI$2200,AC$1-$L$1+3)</f>
        <v>0</v>
      </c>
      <c r="AD67" s="11">
        <f>VLOOKUP($J67,output!$A$9:$AI$2200,AD$1-$L$1+3)</f>
        <v>0</v>
      </c>
      <c r="AE67" s="11">
        <f>VLOOKUP($J67,output!$A$9:$AI$2200,AE$1-$L$1+3)</f>
        <v>0</v>
      </c>
      <c r="AF67" s="11">
        <f>VLOOKUP($J67,output!$A$9:$AI$2200,AF$1-$L$1+3)</f>
        <v>0</v>
      </c>
      <c r="AG67" s="11">
        <f>VLOOKUP($J67,output!$A$9:$AI$2200,AG$1-$L$1+3)</f>
        <v>0</v>
      </c>
      <c r="AH67" s="11">
        <f>VLOOKUP($J67,output!$A$9:$AI$2200,AH$1-$L$1+3)</f>
        <v>0</v>
      </c>
      <c r="AI67" s="11">
        <f>VLOOKUP($J67,output!$A$9:$AI$2200,AI$1-$L$1+3)</f>
        <v>0</v>
      </c>
      <c r="AJ67" s="11">
        <f>VLOOKUP($J67,output!$A$9:$AI$2200,AJ$1-$L$1+3)</f>
        <v>0</v>
      </c>
      <c r="AK67" s="11">
        <f>VLOOKUP($J67,output!$A$9:$AI$2200,AK$1-$L$1+3)</f>
        <v>0</v>
      </c>
      <c r="AL67" s="11">
        <f>VLOOKUP($J67,output!$A$9:$AI$2200,AL$1-$L$1+3)</f>
        <v>0</v>
      </c>
    </row>
    <row r="68" spans="10:38" x14ac:dyDescent="0.25">
      <c r="J68" t="s">
        <v>47</v>
      </c>
      <c r="K68" s="11">
        <f>VLOOKUP($J68,output!$A$9:$AI$2200,K$1-$L$1+3)</f>
        <v>0</v>
      </c>
      <c r="L68" s="11">
        <f>VLOOKUP($J68,output!$A$9:$AI$2200,L$1-$L$1+3)</f>
        <v>7.0380000000000003</v>
      </c>
      <c r="M68" s="11">
        <f>VLOOKUP($J68,output!$A$9:$AI$2200,M$1-$L$1+3)</f>
        <v>3.5990000000000002</v>
      </c>
      <c r="N68" s="11">
        <f>VLOOKUP($J68,output!$A$9:$AI$2200,N$1-$L$1+3)</f>
        <v>3.645</v>
      </c>
      <c r="O68" s="11">
        <f>VLOOKUP($J68,output!$A$9:$AI$2200,O$1-$L$1+3)</f>
        <v>4.0659999999999998</v>
      </c>
      <c r="P68" s="11">
        <f>VLOOKUP($J68,output!$A$9:$AI$2200,P$1-$L$1+3)</f>
        <v>4.1020000000000003</v>
      </c>
      <c r="Q68" s="11">
        <f>VLOOKUP($J68,output!$A$9:$AI$2200,Q$1-$L$1+3)</f>
        <v>4.1470000000000002</v>
      </c>
      <c r="R68" s="11">
        <f>VLOOKUP($J68,output!$A$9:$AI$2200,R$1-$L$1+3)</f>
        <v>4.1820000000000004</v>
      </c>
      <c r="S68" s="11">
        <f>VLOOKUP($J68,output!$A$9:$AI$2200,S$1-$L$1+3)</f>
        <v>4.2880000000000003</v>
      </c>
      <c r="T68" s="11">
        <f>VLOOKUP($J68,output!$A$9:$AI$2200,T$1-$L$1+3)</f>
        <v>4.3639999999999999</v>
      </c>
      <c r="U68" s="11">
        <f>VLOOKUP($J68,output!$A$9:$AI$2200,U$1-$L$1+3)</f>
        <v>4.4279999999999999</v>
      </c>
      <c r="V68" s="11">
        <f>VLOOKUP($J68,output!$A$9:$AI$2200,V$1-$L$1+3)</f>
        <v>4.4770000000000003</v>
      </c>
      <c r="W68" s="11">
        <f>VLOOKUP($J68,output!$A$9:$AI$2200,W$1-$L$1+3)</f>
        <v>4.5220000000000002</v>
      </c>
      <c r="X68" s="11">
        <f>VLOOKUP($J68,output!$A$9:$AI$2200,X$1-$L$1+3)</f>
        <v>0</v>
      </c>
      <c r="Y68" s="11">
        <f>VLOOKUP($J68,output!$A$9:$AI$2200,Y$1-$L$1+3)</f>
        <v>0</v>
      </c>
      <c r="Z68" s="11">
        <f>VLOOKUP($J68,output!$A$9:$AI$2200,Z$1-$L$1+3)</f>
        <v>0</v>
      </c>
      <c r="AA68" s="11">
        <f>VLOOKUP($J68,output!$A$9:$AI$2200,AA$1-$L$1+3)</f>
        <v>0</v>
      </c>
      <c r="AB68" s="11">
        <f>VLOOKUP($J68,output!$A$9:$AI$2200,AB$1-$L$1+3)</f>
        <v>0</v>
      </c>
      <c r="AC68" s="11">
        <f>VLOOKUP($J68,output!$A$9:$AI$2200,AC$1-$L$1+3)</f>
        <v>0</v>
      </c>
      <c r="AD68" s="11">
        <f>VLOOKUP($J68,output!$A$9:$AI$2200,AD$1-$L$1+3)</f>
        <v>0</v>
      </c>
      <c r="AE68" s="11">
        <f>VLOOKUP($J68,output!$A$9:$AI$2200,AE$1-$L$1+3)</f>
        <v>0</v>
      </c>
      <c r="AF68" s="11">
        <f>VLOOKUP($J68,output!$A$9:$AI$2200,AF$1-$L$1+3)</f>
        <v>0</v>
      </c>
      <c r="AG68" s="11">
        <f>VLOOKUP($J68,output!$A$9:$AI$2200,AG$1-$L$1+3)</f>
        <v>0</v>
      </c>
      <c r="AH68" s="11">
        <f>VLOOKUP($J68,output!$A$9:$AI$2200,AH$1-$L$1+3)</f>
        <v>0</v>
      </c>
      <c r="AI68" s="11">
        <f>VLOOKUP($J68,output!$A$9:$AI$2200,AI$1-$L$1+3)</f>
        <v>0</v>
      </c>
      <c r="AJ68" s="11">
        <f>VLOOKUP($J68,output!$A$9:$AI$2200,AJ$1-$L$1+3)</f>
        <v>0</v>
      </c>
      <c r="AK68" s="11">
        <f>VLOOKUP($J68,output!$A$9:$AI$2200,AK$1-$L$1+3)</f>
        <v>0</v>
      </c>
      <c r="AL68" s="11">
        <f>VLOOKUP($J68,output!$A$9:$AI$2200,AL$1-$L$1+3)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29A7-8115-4218-873B-65F26EA068E6}">
  <dimension ref="J1:AN106"/>
  <sheetViews>
    <sheetView topLeftCell="B1" zoomScale="85" zoomScaleNormal="85" workbookViewId="0">
      <pane ySplit="1" topLeftCell="A41" activePane="bottomLeft" state="frozen"/>
      <selection pane="bottomLeft" activeCell="M80" sqref="M80"/>
    </sheetView>
  </sheetViews>
  <sheetFormatPr baseColWidth="10" defaultRowHeight="15" x14ac:dyDescent="0.25"/>
  <cols>
    <col min="9" max="9" width="21.42578125" customWidth="1"/>
    <col min="10" max="10" width="55.42578125" customWidth="1"/>
    <col min="11" max="11" width="32.42578125" customWidth="1"/>
  </cols>
  <sheetData>
    <row r="1" spans="10:39" x14ac:dyDescent="0.25"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2">
        <v>2034</v>
      </c>
      <c r="X1" s="2">
        <v>2035</v>
      </c>
      <c r="Y1" s="2">
        <v>2036</v>
      </c>
      <c r="Z1" s="2">
        <v>2037</v>
      </c>
      <c r="AA1" s="2">
        <v>2038</v>
      </c>
      <c r="AB1" s="2">
        <v>2039</v>
      </c>
      <c r="AC1" s="2">
        <v>2040</v>
      </c>
      <c r="AD1" s="2">
        <v>2041</v>
      </c>
      <c r="AE1" s="2">
        <v>2042</v>
      </c>
      <c r="AF1" s="2">
        <v>2043</v>
      </c>
      <c r="AG1" s="2">
        <v>2044</v>
      </c>
      <c r="AH1" s="2">
        <v>2045</v>
      </c>
      <c r="AI1" s="2">
        <v>2046</v>
      </c>
      <c r="AJ1" s="2">
        <v>2047</v>
      </c>
      <c r="AK1" s="2">
        <v>2048</v>
      </c>
      <c r="AL1" s="2">
        <v>2049</v>
      </c>
      <c r="AM1" s="2">
        <v>2050</v>
      </c>
    </row>
    <row r="3" spans="10:39" x14ac:dyDescent="0.25">
      <c r="J3" t="s">
        <v>227</v>
      </c>
      <c r="K3" t="s">
        <v>289</v>
      </c>
      <c r="L3" s="1">
        <f>VLOOKUP($J3,output!$A$9:$AI$2200,L$1-$L$1+2)</f>
        <v>0</v>
      </c>
      <c r="M3" s="1">
        <f>VLOOKUP($J3,output!$A$9:$AI$2200,M$1-$L$1+2)</f>
        <v>0.91800000000000004</v>
      </c>
      <c r="N3" s="1">
        <f>VLOOKUP($J3,output!$A$9:$AI$2200,N$1-$L$1+2)</f>
        <v>0.57099999999999995</v>
      </c>
      <c r="O3" s="1">
        <f>VLOOKUP($J3,output!$A$9:$AI$2200,O$1-$L$1+2)</f>
        <v>0.80400000000000005</v>
      </c>
      <c r="P3" s="1">
        <f>VLOOKUP($J3,output!$A$9:$AI$2200,P$1-$L$1+2)</f>
        <v>0.83299999999999996</v>
      </c>
      <c r="Q3" s="1">
        <f>VLOOKUP($J3,output!$A$9:$AI$2200,Q$1-$L$1+2)</f>
        <v>0.93700000000000006</v>
      </c>
      <c r="R3" s="1">
        <f>VLOOKUP($J3,output!$A$9:$AI$2200,R$1-$L$1+2)</f>
        <v>1.0629999999999999</v>
      </c>
      <c r="S3" s="1">
        <f>VLOOKUP($J3,output!$A$9:$AI$2200,S$1-$L$1+2)</f>
        <v>1.2729999999999999</v>
      </c>
      <c r="T3" s="1">
        <f>VLOOKUP($J3,output!$A$9:$AI$2200,T$1-$L$1+2)</f>
        <v>1.167</v>
      </c>
      <c r="U3" s="1">
        <f>VLOOKUP($J3,output!$A$9:$AI$2200,U$1-$L$1+2)</f>
        <v>1.3180000000000001</v>
      </c>
      <c r="V3" s="1">
        <f>VLOOKUP($J3,output!$A$9:$AI$2200,V$1-$L$1+2)</f>
        <v>1.226</v>
      </c>
      <c r="W3" s="1">
        <f>VLOOKUP($J3,output!$A$9:$AI$2200,W$1-$L$1+2)</f>
        <v>1.1220000000000001</v>
      </c>
      <c r="X3" s="1">
        <f>VLOOKUP($J3,output!$A$9:$AI$2200,X$1-$L$1+2)</f>
        <v>1.0289999999999999</v>
      </c>
      <c r="Y3" s="1">
        <f>VLOOKUP($J3,output!$A$9:$AI$2200,Y$1-$L$1+2)</f>
        <v>0.84</v>
      </c>
      <c r="Z3" s="1">
        <f>VLOOKUP($J3,output!$A$9:$AI$2200,Z$1-$L$1+2)</f>
        <v>0.81</v>
      </c>
      <c r="AA3" s="1">
        <f>VLOOKUP($J3,output!$A$9:$AI$2200,AA$1-$L$1+2)</f>
        <v>0.72799999999999998</v>
      </c>
      <c r="AB3" s="1">
        <f>VLOOKUP($J3,output!$A$9:$AI$2200,AB$1-$L$1+2)</f>
        <v>0.61299999999999999</v>
      </c>
      <c r="AC3" s="1">
        <f>VLOOKUP($J3,output!$A$9:$AI$2200,AC$1-$L$1+2)</f>
        <v>0.82</v>
      </c>
      <c r="AD3" s="1">
        <f>VLOOKUP($J3,output!$A$9:$AI$2200,AD$1-$L$1+2)</f>
        <v>0.55900000000000005</v>
      </c>
      <c r="AE3" s="1">
        <f>VLOOKUP($J3,output!$A$9:$AI$2200,AE$1-$L$1+2)</f>
        <v>0.53200000000000003</v>
      </c>
      <c r="AF3" s="1">
        <f>VLOOKUP($J3,output!$A$9:$AI$2200,AF$1-$L$1+2)</f>
        <v>0.47399999999999998</v>
      </c>
      <c r="AG3" s="1">
        <f>VLOOKUP($J3,output!$A$9:$AI$2200,AG$1-$L$1+2)</f>
        <v>0.33500000000000002</v>
      </c>
      <c r="AH3" s="1">
        <f>VLOOKUP($J3,output!$A$9:$AI$2200,AH$1-$L$1+2)</f>
        <v>0.314</v>
      </c>
      <c r="AI3" s="1">
        <f>VLOOKUP($J3,output!$A$9:$AI$2200,AI$1-$L$1+2)</f>
        <v>0.32</v>
      </c>
      <c r="AJ3" s="1">
        <f>VLOOKUP($J3,output!$A$9:$AI$2200,AJ$1-$L$1+2)</f>
        <v>0.28499999999999998</v>
      </c>
      <c r="AK3" s="1">
        <f>VLOOKUP($J3,output!$A$9:$AI$2200,AK$1-$L$1+2)</f>
        <v>0.27300000000000002</v>
      </c>
      <c r="AL3" s="1">
        <f>VLOOKUP($J3,output!$A$9:$AI$2200,AL$1-$L$1+2)</f>
        <v>0.26300000000000001</v>
      </c>
      <c r="AM3" s="1">
        <f>VLOOKUP($J3,output!$A$9:$AI$2200,AM$1-$L$1+2)</f>
        <v>0.252</v>
      </c>
    </row>
    <row r="4" spans="10:39" x14ac:dyDescent="0.25">
      <c r="J4" t="s">
        <v>226</v>
      </c>
      <c r="K4" t="s">
        <v>290</v>
      </c>
      <c r="L4" s="1">
        <f>VLOOKUP($J4,output!$A$9:$AI$2200,L$1-$L$1+2)</f>
        <v>0</v>
      </c>
      <c r="M4" s="1">
        <f>VLOOKUP($J4,output!$A$9:$AI$2200,M$1-$L$1+2)</f>
        <v>0.57799999999999996</v>
      </c>
      <c r="N4" s="1">
        <f>VLOOKUP($J4,output!$A$9:$AI$2200,N$1-$L$1+2)</f>
        <v>0.377</v>
      </c>
      <c r="O4" s="1">
        <f>VLOOKUP($J4,output!$A$9:$AI$2200,O$1-$L$1+2)</f>
        <v>0.52800000000000002</v>
      </c>
      <c r="P4" s="1">
        <f>VLOOKUP($J4,output!$A$9:$AI$2200,P$1-$L$1+2)</f>
        <v>0.52900000000000003</v>
      </c>
      <c r="Q4" s="1">
        <f>VLOOKUP($J4,output!$A$9:$AI$2200,Q$1-$L$1+2)</f>
        <v>0.66200000000000003</v>
      </c>
      <c r="R4" s="1">
        <f>VLOOKUP($J4,output!$A$9:$AI$2200,R$1-$L$1+2)</f>
        <v>0.82</v>
      </c>
      <c r="S4" s="1">
        <f>VLOOKUP($J4,output!$A$9:$AI$2200,S$1-$L$1+2)</f>
        <v>0.97199999999999998</v>
      </c>
      <c r="T4" s="1">
        <f>VLOOKUP($J4,output!$A$9:$AI$2200,T$1-$L$1+2)</f>
        <v>0.77100000000000002</v>
      </c>
      <c r="U4" s="1">
        <f>VLOOKUP($J4,output!$A$9:$AI$2200,U$1-$L$1+2)</f>
        <v>0.94599999999999995</v>
      </c>
      <c r="V4" s="1">
        <f>VLOOKUP($J4,output!$A$9:$AI$2200,V$1-$L$1+2)</f>
        <v>0.89800000000000002</v>
      </c>
      <c r="W4" s="1">
        <f>VLOOKUP($J4,output!$A$9:$AI$2200,W$1-$L$1+2)</f>
        <v>0.83299999999999996</v>
      </c>
      <c r="X4" s="1">
        <f>VLOOKUP($J4,output!$A$9:$AI$2200,X$1-$L$1+2)</f>
        <v>0.77700000000000002</v>
      </c>
      <c r="Y4" s="1">
        <f>VLOOKUP($J4,output!$A$9:$AI$2200,Y$1-$L$1+2)</f>
        <v>0.57999999999999996</v>
      </c>
      <c r="Z4" s="1">
        <f>VLOOKUP($J4,output!$A$9:$AI$2200,Z$1-$L$1+2)</f>
        <v>0.48899999999999999</v>
      </c>
      <c r="AA4" s="1">
        <f>VLOOKUP($J4,output!$A$9:$AI$2200,AA$1-$L$1+2)</f>
        <v>0.441</v>
      </c>
      <c r="AB4" s="1">
        <f>VLOOKUP($J4,output!$A$9:$AI$2200,AB$1-$L$1+2)</f>
        <v>0.35</v>
      </c>
      <c r="AC4" s="1">
        <f>VLOOKUP($J4,output!$A$9:$AI$2200,AC$1-$L$1+2)</f>
        <v>0.432</v>
      </c>
      <c r="AD4" s="1">
        <f>VLOOKUP($J4,output!$A$9:$AI$2200,AD$1-$L$1+2)</f>
        <v>0.31900000000000001</v>
      </c>
      <c r="AE4" s="1">
        <f>VLOOKUP($J4,output!$A$9:$AI$2200,AE$1-$L$1+2)</f>
        <v>0.312</v>
      </c>
      <c r="AF4" s="1">
        <f>VLOOKUP($J4,output!$A$9:$AI$2200,AF$1-$L$1+2)</f>
        <v>0.28299999999999997</v>
      </c>
      <c r="AG4" s="1">
        <f>VLOOKUP($J4,output!$A$9:$AI$2200,AG$1-$L$1+2)</f>
        <v>0.154</v>
      </c>
      <c r="AH4" s="1">
        <f>VLOOKUP($J4,output!$A$9:$AI$2200,AH$1-$L$1+2)</f>
        <v>0.14699999999999999</v>
      </c>
      <c r="AI4" s="1">
        <f>VLOOKUP($J4,output!$A$9:$AI$2200,AI$1-$L$1+2)</f>
        <v>0.16600000000000001</v>
      </c>
      <c r="AJ4" s="1">
        <f>VLOOKUP($J4,output!$A$9:$AI$2200,AJ$1-$L$1+2)</f>
        <v>0.14299999999999999</v>
      </c>
      <c r="AK4" s="1">
        <f>VLOOKUP($J4,output!$A$9:$AI$2200,AK$1-$L$1+2)</f>
        <v>0.14099999999999999</v>
      </c>
      <c r="AL4" s="1">
        <f>VLOOKUP($J4,output!$A$9:$AI$2200,AL$1-$L$1+2)</f>
        <v>0.14099999999999999</v>
      </c>
      <c r="AM4" s="1">
        <f>VLOOKUP($J4,output!$A$9:$AI$2200,AM$1-$L$1+2)</f>
        <v>0.13900000000000001</v>
      </c>
    </row>
    <row r="5" spans="10:39" x14ac:dyDescent="0.25">
      <c r="J5" t="s">
        <v>233</v>
      </c>
      <c r="L5" s="1">
        <f>VLOOKUP($J5,output!$A$9:$AI$2200,L$1-$L$1+2)</f>
        <v>0</v>
      </c>
      <c r="M5" s="1">
        <f>VLOOKUP($J5,output!$A$9:$AI$2200,M$1-$L$1+2)</f>
        <v>0.372</v>
      </c>
      <c r="N5" s="1">
        <f>VLOOKUP($J5,output!$A$9:$AI$2200,N$1-$L$1+2)</f>
        <v>0.29899999999999999</v>
      </c>
      <c r="O5" s="1">
        <f>VLOOKUP($J5,output!$A$9:$AI$2200,O$1-$L$1+2)</f>
        <v>0.28599999999999998</v>
      </c>
      <c r="P5" s="1">
        <f>VLOOKUP($J5,output!$A$9:$AI$2200,P$1-$L$1+2)</f>
        <v>0.33300000000000002</v>
      </c>
      <c r="Q5" s="1">
        <f>VLOOKUP($J5,output!$A$9:$AI$2200,Q$1-$L$1+2)</f>
        <v>0.32200000000000001</v>
      </c>
      <c r="R5" s="1">
        <f>VLOOKUP($J5,output!$A$9:$AI$2200,R$1-$L$1+2)</f>
        <v>0.309</v>
      </c>
      <c r="S5" s="1">
        <f>VLOOKUP($J5,output!$A$9:$AI$2200,S$1-$L$1+2)</f>
        <v>0.29799999999999999</v>
      </c>
      <c r="T5" s="1">
        <f>VLOOKUP($J5,output!$A$9:$AI$2200,T$1-$L$1+2)</f>
        <v>0.33900000000000002</v>
      </c>
      <c r="U5" s="1">
        <f>VLOOKUP($J5,output!$A$9:$AI$2200,U$1-$L$1+2)</f>
        <v>0.32700000000000001</v>
      </c>
      <c r="V5" s="1">
        <f>VLOOKUP($J5,output!$A$9:$AI$2200,V$1-$L$1+2)</f>
        <v>0.34200000000000003</v>
      </c>
      <c r="W5" s="1">
        <f>VLOOKUP($J5,output!$A$9:$AI$2200,W$1-$L$1+2)</f>
        <v>0.36</v>
      </c>
      <c r="X5" s="1">
        <f>VLOOKUP($J5,output!$A$9:$AI$2200,X$1-$L$1+2)</f>
        <v>0.376</v>
      </c>
      <c r="Y5" s="1">
        <f>VLOOKUP($J5,output!$A$9:$AI$2200,Y$1-$L$1+2)</f>
        <v>0.27500000000000002</v>
      </c>
      <c r="Z5" s="1">
        <f>VLOOKUP($J5,output!$A$9:$AI$2200,Z$1-$L$1+2)</f>
        <v>0.28999999999999998</v>
      </c>
      <c r="AA5" s="1">
        <f>VLOOKUP($J5,output!$A$9:$AI$2200,AA$1-$L$1+2)</f>
        <v>0.29599999999999999</v>
      </c>
      <c r="AB5" s="1">
        <f>VLOOKUP($J5,output!$A$9:$AI$2200,AB$1-$L$1+2)</f>
        <v>0.26300000000000001</v>
      </c>
      <c r="AC5" s="1">
        <f>VLOOKUP($J5,output!$A$9:$AI$2200,AC$1-$L$1+2)</f>
        <v>0.38600000000000001</v>
      </c>
      <c r="AD5" s="1">
        <f>VLOOKUP($J5,output!$A$9:$AI$2200,AD$1-$L$1+2)</f>
        <v>0.25600000000000001</v>
      </c>
      <c r="AE5" s="1">
        <f>VLOOKUP($J5,output!$A$9:$AI$2200,AE$1-$L$1+2)</f>
        <v>0.25</v>
      </c>
      <c r="AF5" s="1">
        <f>VLOOKUP($J5,output!$A$9:$AI$2200,AF$1-$L$1+2)</f>
        <v>0.224</v>
      </c>
      <c r="AG5" s="1">
        <f>VLOOKUP($J5,output!$A$9:$AI$2200,AG$1-$L$1+2)</f>
        <v>0.11</v>
      </c>
      <c r="AH5" s="1">
        <f>VLOOKUP($J5,output!$A$9:$AI$2200,AH$1-$L$1+2)</f>
        <v>0.104</v>
      </c>
      <c r="AI5" s="1">
        <f>VLOOKUP($J5,output!$A$9:$AI$2200,AI$1-$L$1+2)</f>
        <v>0.121</v>
      </c>
      <c r="AJ5" s="1">
        <f>VLOOKUP($J5,output!$A$9:$AI$2200,AJ$1-$L$1+2)</f>
        <v>0.1</v>
      </c>
      <c r="AK5" s="1">
        <f>VLOOKUP($J5,output!$A$9:$AI$2200,AK$1-$L$1+2)</f>
        <v>9.9000000000000005E-2</v>
      </c>
      <c r="AL5" s="1">
        <f>VLOOKUP($J5,output!$A$9:$AI$2200,AL$1-$L$1+2)</f>
        <v>9.9000000000000005E-2</v>
      </c>
      <c r="AM5" s="1">
        <f>VLOOKUP($J5,output!$A$9:$AI$2200,AM$1-$L$1+2)</f>
        <v>9.8000000000000004E-2</v>
      </c>
    </row>
    <row r="6" spans="10:39" x14ac:dyDescent="0.25">
      <c r="J6" t="s">
        <v>234</v>
      </c>
      <c r="L6" s="1">
        <f>VLOOKUP($J6,output!$A$9:$AI$2200,L$1-$L$1+2)</f>
        <v>0</v>
      </c>
      <c r="M6" s="1">
        <f>VLOOKUP($J6,output!$A$9:$AI$2200,M$1-$L$1+2)</f>
        <v>0.108</v>
      </c>
      <c r="N6" s="1">
        <f>VLOOKUP($J6,output!$A$9:$AI$2200,N$1-$L$1+2)</f>
        <v>0</v>
      </c>
      <c r="O6" s="1">
        <f>VLOOKUP($J6,output!$A$9:$AI$2200,O$1-$L$1+2)</f>
        <v>0.16900000000000001</v>
      </c>
      <c r="P6" s="1">
        <f>VLOOKUP($J6,output!$A$9:$AI$2200,P$1-$L$1+2)</f>
        <v>0.121</v>
      </c>
      <c r="Q6" s="1">
        <f>VLOOKUP($J6,output!$A$9:$AI$2200,Q$1-$L$1+2)</f>
        <v>0.26900000000000002</v>
      </c>
      <c r="R6" s="1">
        <f>VLOOKUP($J6,output!$A$9:$AI$2200,R$1-$L$1+2)</f>
        <v>0.443</v>
      </c>
      <c r="S6" s="1">
        <f>VLOOKUP($J6,output!$A$9:$AI$2200,S$1-$L$1+2)</f>
        <v>0.60899999999999999</v>
      </c>
      <c r="T6" s="1">
        <f>VLOOKUP($J6,output!$A$9:$AI$2200,T$1-$L$1+2)</f>
        <v>0.36599999999999999</v>
      </c>
      <c r="U6" s="1">
        <f>VLOOKUP($J6,output!$A$9:$AI$2200,U$1-$L$1+2)</f>
        <v>0.55500000000000005</v>
      </c>
      <c r="V6" s="1">
        <f>VLOOKUP($J6,output!$A$9:$AI$2200,V$1-$L$1+2)</f>
        <v>0.49099999999999999</v>
      </c>
      <c r="W6" s="1">
        <f>VLOOKUP($J6,output!$A$9:$AI$2200,W$1-$L$1+2)</f>
        <v>0.40899999999999997</v>
      </c>
      <c r="X6" s="1">
        <f>VLOOKUP($J6,output!$A$9:$AI$2200,X$1-$L$1+2)</f>
        <v>0.33700000000000002</v>
      </c>
      <c r="Y6" s="1">
        <f>VLOOKUP($J6,output!$A$9:$AI$2200,Y$1-$L$1+2)</f>
        <v>0.27100000000000002</v>
      </c>
      <c r="Z6" s="1">
        <f>VLOOKUP($J6,output!$A$9:$AI$2200,Z$1-$L$1+2)</f>
        <v>0.16400000000000001</v>
      </c>
      <c r="AA6" s="1">
        <f>VLOOKUP($J6,output!$A$9:$AI$2200,AA$1-$L$1+2)</f>
        <v>0.109</v>
      </c>
      <c r="AB6" s="1">
        <f>VLOOKUP($J6,output!$A$9:$AI$2200,AB$1-$L$1+2)</f>
        <v>5.6000000000000001E-2</v>
      </c>
      <c r="AC6" s="1">
        <f>VLOOKUP($J6,output!$A$9:$AI$2200,AC$1-$L$1+2)</f>
        <v>0</v>
      </c>
      <c r="AD6" s="1">
        <f>VLOOKUP($J6,output!$A$9:$AI$2200,AD$1-$L$1+2)</f>
        <v>3.2000000000000001E-2</v>
      </c>
      <c r="AE6" s="1">
        <f>VLOOKUP($J6,output!$A$9:$AI$2200,AE$1-$L$1+2)</f>
        <v>3.1E-2</v>
      </c>
      <c r="AF6" s="1">
        <f>VLOOKUP($J6,output!$A$9:$AI$2200,AF$1-$L$1+2)</f>
        <v>3.1E-2</v>
      </c>
      <c r="AG6" s="1">
        <f>VLOOKUP($J6,output!$A$9:$AI$2200,AG$1-$L$1+2)</f>
        <v>3.1E-2</v>
      </c>
      <c r="AH6" s="1">
        <f>VLOOKUP($J6,output!$A$9:$AI$2200,AH$1-$L$1+2)</f>
        <v>0.03</v>
      </c>
      <c r="AI6" s="1">
        <f>VLOOKUP($J6,output!$A$9:$AI$2200,AI$1-$L$1+2)</f>
        <v>0.03</v>
      </c>
      <c r="AJ6" s="1">
        <f>VLOOKUP($J6,output!$A$9:$AI$2200,AJ$1-$L$1+2)</f>
        <v>0.03</v>
      </c>
      <c r="AK6" s="1">
        <f>VLOOKUP($J6,output!$A$9:$AI$2200,AK$1-$L$1+2)</f>
        <v>0.03</v>
      </c>
      <c r="AL6" s="1">
        <f>VLOOKUP($J6,output!$A$9:$AI$2200,AL$1-$L$1+2)</f>
        <v>0.03</v>
      </c>
      <c r="AM6" s="1">
        <f>VLOOKUP($J6,output!$A$9:$AI$2200,AM$1-$L$1+2)</f>
        <v>2.8000000000000001E-2</v>
      </c>
    </row>
    <row r="7" spans="10:39" x14ac:dyDescent="0.25">
      <c r="J7" t="s">
        <v>235</v>
      </c>
      <c r="L7" s="1">
        <f>VLOOKUP($J7,output!$A$9:$AI$2200,L$1-$L$1+2)</f>
        <v>0</v>
      </c>
      <c r="M7" s="1">
        <f>VLOOKUP($J7,output!$A$9:$AI$2200,M$1-$L$1+2)</f>
        <v>2.4E-2</v>
      </c>
      <c r="N7" s="1">
        <f>VLOOKUP($J7,output!$A$9:$AI$2200,N$1-$L$1+2)</f>
        <v>3.5000000000000003E-2</v>
      </c>
      <c r="O7" s="1">
        <f>VLOOKUP($J7,output!$A$9:$AI$2200,O$1-$L$1+2)</f>
        <v>0.03</v>
      </c>
      <c r="P7" s="1">
        <f>VLOOKUP($J7,output!$A$9:$AI$2200,P$1-$L$1+2)</f>
        <v>2.8000000000000001E-2</v>
      </c>
      <c r="Q7" s="1">
        <f>VLOOKUP($J7,output!$A$9:$AI$2200,Q$1-$L$1+2)</f>
        <v>2.4E-2</v>
      </c>
      <c r="R7" s="1">
        <f>VLOOKUP($J7,output!$A$9:$AI$2200,R$1-$L$1+2)</f>
        <v>2.1000000000000001E-2</v>
      </c>
      <c r="S7" s="1">
        <f>VLOOKUP($J7,output!$A$9:$AI$2200,S$1-$L$1+2)</f>
        <v>1.7999999999999999E-2</v>
      </c>
      <c r="T7" s="1">
        <f>VLOOKUP($J7,output!$A$9:$AI$2200,T$1-$L$1+2)</f>
        <v>1.7999999999999999E-2</v>
      </c>
      <c r="U7" s="1">
        <f>VLOOKUP($J7,output!$A$9:$AI$2200,U$1-$L$1+2)</f>
        <v>1.6E-2</v>
      </c>
      <c r="V7" s="1">
        <f>VLOOKUP($J7,output!$A$9:$AI$2200,V$1-$L$1+2)</f>
        <v>1.4999999999999999E-2</v>
      </c>
      <c r="W7" s="1">
        <f>VLOOKUP($J7,output!$A$9:$AI$2200,W$1-$L$1+2)</f>
        <v>1.4E-2</v>
      </c>
      <c r="X7" s="1">
        <f>VLOOKUP($J7,output!$A$9:$AI$2200,X$1-$L$1+2)</f>
        <v>1.4E-2</v>
      </c>
      <c r="Y7" s="1">
        <f>VLOOKUP($J7,output!$A$9:$AI$2200,Y$1-$L$1+2)</f>
        <v>0</v>
      </c>
      <c r="Z7" s="1">
        <f>VLOOKUP($J7,output!$A$9:$AI$2200,Z$1-$L$1+2)</f>
        <v>0</v>
      </c>
      <c r="AA7" s="1">
        <f>VLOOKUP($J7,output!$A$9:$AI$2200,AA$1-$L$1+2)</f>
        <v>0</v>
      </c>
      <c r="AB7" s="1">
        <f>VLOOKUP($J7,output!$A$9:$AI$2200,AB$1-$L$1+2)</f>
        <v>0</v>
      </c>
      <c r="AC7" s="1">
        <f>VLOOKUP($J7,output!$A$9:$AI$2200,AC$1-$L$1+2)</f>
        <v>0</v>
      </c>
      <c r="AD7" s="1">
        <f>VLOOKUP($J7,output!$A$9:$AI$2200,AD$1-$L$1+2)</f>
        <v>0</v>
      </c>
      <c r="AE7" s="1">
        <f>VLOOKUP($J7,output!$A$9:$AI$2200,AE$1-$L$1+2)</f>
        <v>0</v>
      </c>
      <c r="AF7" s="1">
        <f>VLOOKUP($J7,output!$A$9:$AI$2200,AF$1-$L$1+2)</f>
        <v>0</v>
      </c>
      <c r="AG7" s="1">
        <f>VLOOKUP($J7,output!$A$9:$AI$2200,AG$1-$L$1+2)</f>
        <v>0</v>
      </c>
      <c r="AH7" s="1">
        <f>VLOOKUP($J7,output!$A$9:$AI$2200,AH$1-$L$1+2)</f>
        <v>0</v>
      </c>
      <c r="AI7" s="1">
        <f>VLOOKUP($J7,output!$A$9:$AI$2200,AI$1-$L$1+2)</f>
        <v>0</v>
      </c>
      <c r="AJ7" s="1">
        <f>VLOOKUP($J7,output!$A$9:$AI$2200,AJ$1-$L$1+2)</f>
        <v>0</v>
      </c>
      <c r="AK7" s="1">
        <f>VLOOKUP($J7,output!$A$9:$AI$2200,AK$1-$L$1+2)</f>
        <v>0</v>
      </c>
      <c r="AL7" s="1">
        <f>VLOOKUP($J7,output!$A$9:$AI$2200,AL$1-$L$1+2)</f>
        <v>0</v>
      </c>
      <c r="AM7" s="1">
        <f>VLOOKUP($J7,output!$A$9:$AI$2200,AM$1-$L$1+2)</f>
        <v>0</v>
      </c>
    </row>
    <row r="8" spans="10:39" x14ac:dyDescent="0.25">
      <c r="J8" t="s">
        <v>236</v>
      </c>
      <c r="L8" s="1">
        <f>VLOOKUP($J8,output!$A$9:$AI$2200,L$1-$L$1+2)</f>
        <v>0</v>
      </c>
      <c r="M8" s="1">
        <f>VLOOKUP($J8,output!$A$9:$AI$2200,M$1-$L$1+2)</f>
        <v>0</v>
      </c>
      <c r="N8" s="1">
        <f>VLOOKUP($J8,output!$A$9:$AI$2200,N$1-$L$1+2)</f>
        <v>0</v>
      </c>
      <c r="O8" s="1">
        <f>VLOOKUP($J8,output!$A$9:$AI$2200,O$1-$L$1+2)</f>
        <v>0</v>
      </c>
      <c r="P8" s="1">
        <f>VLOOKUP($J8,output!$A$9:$AI$2200,P$1-$L$1+2)</f>
        <v>0</v>
      </c>
      <c r="Q8" s="1">
        <f>VLOOKUP($J8,output!$A$9:$AI$2200,Q$1-$L$1+2)</f>
        <v>0</v>
      </c>
      <c r="R8" s="1">
        <f>VLOOKUP($J8,output!$A$9:$AI$2200,R$1-$L$1+2)</f>
        <v>0</v>
      </c>
      <c r="S8" s="1">
        <f>VLOOKUP($J8,output!$A$9:$AI$2200,S$1-$L$1+2)</f>
        <v>0</v>
      </c>
      <c r="T8" s="1">
        <f>VLOOKUP($J8,output!$A$9:$AI$2200,T$1-$L$1+2)</f>
        <v>0</v>
      </c>
      <c r="U8" s="1">
        <f>VLOOKUP($J8,output!$A$9:$AI$2200,U$1-$L$1+2)</f>
        <v>0</v>
      </c>
      <c r="V8" s="1">
        <f>VLOOKUP($J8,output!$A$9:$AI$2200,V$1-$L$1+2)</f>
        <v>0</v>
      </c>
      <c r="W8" s="1">
        <f>VLOOKUP($J8,output!$A$9:$AI$2200,W$1-$L$1+2)</f>
        <v>0</v>
      </c>
      <c r="X8" s="1">
        <f>VLOOKUP($J8,output!$A$9:$AI$2200,X$1-$L$1+2)</f>
        <v>0</v>
      </c>
      <c r="Y8" s="1">
        <f>VLOOKUP($J8,output!$A$9:$AI$2200,Y$1-$L$1+2)</f>
        <v>0</v>
      </c>
      <c r="Z8" s="1">
        <f>VLOOKUP($J8,output!$A$9:$AI$2200,Z$1-$L$1+2)</f>
        <v>0</v>
      </c>
      <c r="AA8" s="1">
        <f>VLOOKUP($J8,output!$A$9:$AI$2200,AA$1-$L$1+2)</f>
        <v>0</v>
      </c>
      <c r="AB8" s="1">
        <f>VLOOKUP($J8,output!$A$9:$AI$2200,AB$1-$L$1+2)</f>
        <v>0</v>
      </c>
      <c r="AC8" s="1">
        <f>VLOOKUP($J8,output!$A$9:$AI$2200,AC$1-$L$1+2)</f>
        <v>0</v>
      </c>
      <c r="AD8" s="1">
        <f>VLOOKUP($J8,output!$A$9:$AI$2200,AD$1-$L$1+2)</f>
        <v>0</v>
      </c>
      <c r="AE8" s="1">
        <f>VLOOKUP($J8,output!$A$9:$AI$2200,AE$1-$L$1+2)</f>
        <v>0</v>
      </c>
      <c r="AF8" s="1">
        <f>VLOOKUP($J8,output!$A$9:$AI$2200,AF$1-$L$1+2)</f>
        <v>0</v>
      </c>
      <c r="AG8" s="1">
        <f>VLOOKUP($J8,output!$A$9:$AI$2200,AG$1-$L$1+2)</f>
        <v>0</v>
      </c>
      <c r="AH8" s="1">
        <f>VLOOKUP($J8,output!$A$9:$AI$2200,AH$1-$L$1+2)</f>
        <v>0</v>
      </c>
      <c r="AI8" s="1">
        <f>VLOOKUP($J8,output!$A$9:$AI$2200,AI$1-$L$1+2)</f>
        <v>0</v>
      </c>
      <c r="AJ8" s="1">
        <f>VLOOKUP($J8,output!$A$9:$AI$2200,AJ$1-$L$1+2)</f>
        <v>0</v>
      </c>
      <c r="AK8" s="1">
        <f>VLOOKUP($J8,output!$A$9:$AI$2200,AK$1-$L$1+2)</f>
        <v>0</v>
      </c>
      <c r="AL8" s="1">
        <f>VLOOKUP($J8,output!$A$9:$AI$2200,AL$1-$L$1+2)</f>
        <v>0</v>
      </c>
      <c r="AM8" s="1">
        <f>VLOOKUP($J8,output!$A$9:$AI$2200,AM$1-$L$1+2)</f>
        <v>0</v>
      </c>
    </row>
    <row r="9" spans="10:39" x14ac:dyDescent="0.25">
      <c r="J9" t="s">
        <v>237</v>
      </c>
      <c r="L9" s="1">
        <f>VLOOKUP($J9,output!$A$9:$AI$2200,L$1-$L$1+2)</f>
        <v>0</v>
      </c>
      <c r="M9" s="1">
        <f>VLOOKUP($J9,output!$A$9:$AI$2200,M$1-$L$1+2)</f>
        <v>7.2999999999999995E-2</v>
      </c>
      <c r="N9" s="1">
        <f>VLOOKUP($J9,output!$A$9:$AI$2200,N$1-$L$1+2)</f>
        <v>4.3999999999999997E-2</v>
      </c>
      <c r="O9" s="1">
        <f>VLOOKUP($J9,output!$A$9:$AI$2200,O$1-$L$1+2)</f>
        <v>4.2999999999999997E-2</v>
      </c>
      <c r="P9" s="1">
        <f>VLOOKUP($J9,output!$A$9:$AI$2200,P$1-$L$1+2)</f>
        <v>4.7E-2</v>
      </c>
      <c r="Q9" s="1">
        <f>VLOOKUP($J9,output!$A$9:$AI$2200,Q$1-$L$1+2)</f>
        <v>4.7E-2</v>
      </c>
      <c r="R9" s="1">
        <f>VLOOKUP($J9,output!$A$9:$AI$2200,R$1-$L$1+2)</f>
        <v>4.7E-2</v>
      </c>
      <c r="S9" s="1">
        <f>VLOOKUP($J9,output!$A$9:$AI$2200,S$1-$L$1+2)</f>
        <v>4.7E-2</v>
      </c>
      <c r="T9" s="1">
        <f>VLOOKUP($J9,output!$A$9:$AI$2200,T$1-$L$1+2)</f>
        <v>4.8000000000000001E-2</v>
      </c>
      <c r="U9" s="1">
        <f>VLOOKUP($J9,output!$A$9:$AI$2200,U$1-$L$1+2)</f>
        <v>4.9000000000000002E-2</v>
      </c>
      <c r="V9" s="1">
        <f>VLOOKUP($J9,output!$A$9:$AI$2200,V$1-$L$1+2)</f>
        <v>4.9000000000000002E-2</v>
      </c>
      <c r="W9" s="1">
        <f>VLOOKUP($J9,output!$A$9:$AI$2200,W$1-$L$1+2)</f>
        <v>0.05</v>
      </c>
      <c r="X9" s="1">
        <f>VLOOKUP($J9,output!$A$9:$AI$2200,X$1-$L$1+2)</f>
        <v>5.0999999999999997E-2</v>
      </c>
      <c r="Y9" s="1">
        <f>VLOOKUP($J9,output!$A$9:$AI$2200,Y$1-$L$1+2)</f>
        <v>3.4000000000000002E-2</v>
      </c>
      <c r="Z9" s="1">
        <f>VLOOKUP($J9,output!$A$9:$AI$2200,Z$1-$L$1+2)</f>
        <v>3.5000000000000003E-2</v>
      </c>
      <c r="AA9" s="1">
        <f>VLOOKUP($J9,output!$A$9:$AI$2200,AA$1-$L$1+2)</f>
        <v>3.5999999999999997E-2</v>
      </c>
      <c r="AB9" s="1">
        <f>VLOOKUP($J9,output!$A$9:$AI$2200,AB$1-$L$1+2)</f>
        <v>3.2000000000000001E-2</v>
      </c>
      <c r="AC9" s="1">
        <f>VLOOKUP($J9,output!$A$9:$AI$2200,AC$1-$L$1+2)</f>
        <v>4.5999999999999999E-2</v>
      </c>
      <c r="AD9" s="1">
        <f>VLOOKUP($J9,output!$A$9:$AI$2200,AD$1-$L$1+2)</f>
        <v>3.1E-2</v>
      </c>
      <c r="AE9" s="1">
        <f>VLOOKUP($J9,output!$A$9:$AI$2200,AE$1-$L$1+2)</f>
        <v>3.1E-2</v>
      </c>
      <c r="AF9" s="1">
        <f>VLOOKUP($J9,output!$A$9:$AI$2200,AF$1-$L$1+2)</f>
        <v>2.8000000000000001E-2</v>
      </c>
      <c r="AG9" s="1">
        <f>VLOOKUP($J9,output!$A$9:$AI$2200,AG$1-$L$1+2)</f>
        <v>1.4E-2</v>
      </c>
      <c r="AH9" s="1">
        <f>VLOOKUP($J9,output!$A$9:$AI$2200,AH$1-$L$1+2)</f>
        <v>1.2999999999999999E-2</v>
      </c>
      <c r="AI9" s="1">
        <f>VLOOKUP($J9,output!$A$9:$AI$2200,AI$1-$L$1+2)</f>
        <v>1.6E-2</v>
      </c>
      <c r="AJ9" s="1">
        <f>VLOOKUP($J9,output!$A$9:$AI$2200,AJ$1-$L$1+2)</f>
        <v>1.2999999999999999E-2</v>
      </c>
      <c r="AK9" s="1">
        <f>VLOOKUP($J9,output!$A$9:$AI$2200,AK$1-$L$1+2)</f>
        <v>1.2999999999999999E-2</v>
      </c>
      <c r="AL9" s="1">
        <f>VLOOKUP($J9,output!$A$9:$AI$2200,AL$1-$L$1+2)</f>
        <v>1.2999999999999999E-2</v>
      </c>
      <c r="AM9" s="1">
        <f>VLOOKUP($J9,output!$A$9:$AI$2200,AM$1-$L$1+2)</f>
        <v>1.2999999999999999E-2</v>
      </c>
    </row>
    <row r="10" spans="10:39" x14ac:dyDescent="0.25">
      <c r="J10" t="s">
        <v>221</v>
      </c>
      <c r="K10" t="s">
        <v>291</v>
      </c>
      <c r="L10" s="1">
        <f>VLOOKUP($J10,output!$A$9:$AI$2200,L$1-$L$1+2)</f>
        <v>0</v>
      </c>
      <c r="M10" s="1">
        <f>VLOOKUP($J10,output!$A$9:$AI$2200,M$1-$L$1+2)</f>
        <v>0.34</v>
      </c>
      <c r="N10" s="1">
        <f>VLOOKUP($J10,output!$A$9:$AI$2200,N$1-$L$1+2)</f>
        <v>0.19400000000000001</v>
      </c>
      <c r="O10" s="1">
        <f>VLOOKUP($J10,output!$A$9:$AI$2200,O$1-$L$1+2)</f>
        <v>0.27600000000000002</v>
      </c>
      <c r="P10" s="1">
        <f>VLOOKUP($J10,output!$A$9:$AI$2200,P$1-$L$1+2)</f>
        <v>0.30499999999999999</v>
      </c>
      <c r="Q10" s="1">
        <f>VLOOKUP($J10,output!$A$9:$AI$2200,Q$1-$L$1+2)</f>
        <v>0.27500000000000002</v>
      </c>
      <c r="R10" s="1">
        <f>VLOOKUP($J10,output!$A$9:$AI$2200,R$1-$L$1+2)</f>
        <v>0.24299999999999999</v>
      </c>
      <c r="S10" s="1">
        <f>VLOOKUP($J10,output!$A$9:$AI$2200,S$1-$L$1+2)</f>
        <v>0.30099999999999999</v>
      </c>
      <c r="T10" s="1">
        <f>VLOOKUP($J10,output!$A$9:$AI$2200,T$1-$L$1+2)</f>
        <v>0.39500000000000002</v>
      </c>
      <c r="U10" s="1">
        <f>VLOOKUP($J10,output!$A$9:$AI$2200,U$1-$L$1+2)</f>
        <v>0.372</v>
      </c>
      <c r="V10" s="1">
        <f>VLOOKUP($J10,output!$A$9:$AI$2200,V$1-$L$1+2)</f>
        <v>0.32800000000000001</v>
      </c>
      <c r="W10" s="1">
        <f>VLOOKUP($J10,output!$A$9:$AI$2200,W$1-$L$1+2)</f>
        <v>0.28899999999999998</v>
      </c>
      <c r="X10" s="1">
        <f>VLOOKUP($J10,output!$A$9:$AI$2200,X$1-$L$1+2)</f>
        <v>0.252</v>
      </c>
      <c r="Y10" s="1">
        <f>VLOOKUP($J10,output!$A$9:$AI$2200,Y$1-$L$1+2)</f>
        <v>0.25900000000000001</v>
      </c>
      <c r="Z10" s="1">
        <f>VLOOKUP($J10,output!$A$9:$AI$2200,Z$1-$L$1+2)</f>
        <v>0.32100000000000001</v>
      </c>
      <c r="AA10" s="1">
        <f>VLOOKUP($J10,output!$A$9:$AI$2200,AA$1-$L$1+2)</f>
        <v>0.28699999999999998</v>
      </c>
      <c r="AB10" s="1">
        <f>VLOOKUP($J10,output!$A$9:$AI$2200,AB$1-$L$1+2)</f>
        <v>0.26300000000000001</v>
      </c>
      <c r="AC10" s="1">
        <f>VLOOKUP($J10,output!$A$9:$AI$2200,AC$1-$L$1+2)</f>
        <v>0.38800000000000001</v>
      </c>
      <c r="AD10" s="1">
        <f>VLOOKUP($J10,output!$A$9:$AI$2200,AD$1-$L$1+2)</f>
        <v>0.24</v>
      </c>
      <c r="AE10" s="1">
        <f>VLOOKUP($J10,output!$A$9:$AI$2200,AE$1-$L$1+2)</f>
        <v>0.22</v>
      </c>
      <c r="AF10" s="1">
        <f>VLOOKUP($J10,output!$A$9:$AI$2200,AF$1-$L$1+2)</f>
        <v>0.19</v>
      </c>
      <c r="AG10" s="1">
        <f>VLOOKUP($J10,output!$A$9:$AI$2200,AG$1-$L$1+2)</f>
        <v>0.18099999999999999</v>
      </c>
      <c r="AH10" s="1">
        <f>VLOOKUP($J10,output!$A$9:$AI$2200,AH$1-$L$1+2)</f>
        <v>0.16700000000000001</v>
      </c>
      <c r="AI10" s="1">
        <f>VLOOKUP($J10,output!$A$9:$AI$2200,AI$1-$L$1+2)</f>
        <v>0.154</v>
      </c>
      <c r="AJ10" s="1">
        <f>VLOOKUP($J10,output!$A$9:$AI$2200,AJ$1-$L$1+2)</f>
        <v>0.14199999999999999</v>
      </c>
      <c r="AK10" s="1">
        <f>VLOOKUP($J10,output!$A$9:$AI$2200,AK$1-$L$1+2)</f>
        <v>0.13100000000000001</v>
      </c>
      <c r="AL10" s="1">
        <f>VLOOKUP($J10,output!$A$9:$AI$2200,AL$1-$L$1+2)</f>
        <v>0.121</v>
      </c>
      <c r="AM10" s="1">
        <f>VLOOKUP($J10,output!$A$9:$AI$2200,AM$1-$L$1+2)</f>
        <v>0.112</v>
      </c>
    </row>
    <row r="11" spans="10:39" x14ac:dyDescent="0.25">
      <c r="J11" t="s">
        <v>228</v>
      </c>
      <c r="L11" s="1">
        <f>VLOOKUP($J11,output!$A$9:$AI$2200,L$1-$L$1+2)</f>
        <v>0</v>
      </c>
      <c r="M11" s="1">
        <f>VLOOKUP($J11,output!$A$9:$AI$2200,M$1-$L$1+2)</f>
        <v>0.108</v>
      </c>
      <c r="N11" s="1">
        <f>VLOOKUP($J11,output!$A$9:$AI$2200,N$1-$L$1+2)</f>
        <v>0.06</v>
      </c>
      <c r="O11" s="1">
        <f>VLOOKUP($J11,output!$A$9:$AI$2200,O$1-$L$1+2)</f>
        <v>8.5000000000000006E-2</v>
      </c>
      <c r="P11" s="1">
        <f>VLOOKUP($J11,output!$A$9:$AI$2200,P$1-$L$1+2)</f>
        <v>7.9000000000000001E-2</v>
      </c>
      <c r="Q11" s="1">
        <f>VLOOKUP($J11,output!$A$9:$AI$2200,Q$1-$L$1+2)</f>
        <v>6.6000000000000003E-2</v>
      </c>
      <c r="R11" s="1">
        <f>VLOOKUP($J11,output!$A$9:$AI$2200,R$1-$L$1+2)</f>
        <v>5.5E-2</v>
      </c>
      <c r="S11" s="1">
        <f>VLOOKUP($J11,output!$A$9:$AI$2200,S$1-$L$1+2)</f>
        <v>7.1999999999999995E-2</v>
      </c>
      <c r="T11" s="1">
        <f>VLOOKUP($J11,output!$A$9:$AI$2200,T$1-$L$1+2)</f>
        <v>0.08</v>
      </c>
      <c r="U11" s="1">
        <f>VLOOKUP($J11,output!$A$9:$AI$2200,U$1-$L$1+2)</f>
        <v>7.2999999999999995E-2</v>
      </c>
      <c r="V11" s="1">
        <f>VLOOKUP($J11,output!$A$9:$AI$2200,V$1-$L$1+2)</f>
        <v>6.4000000000000001E-2</v>
      </c>
      <c r="W11" s="1">
        <f>VLOOKUP($J11,output!$A$9:$AI$2200,W$1-$L$1+2)</f>
        <v>5.7000000000000002E-2</v>
      </c>
      <c r="X11" s="1">
        <f>VLOOKUP($J11,output!$A$9:$AI$2200,X$1-$L$1+2)</f>
        <v>4.8000000000000001E-2</v>
      </c>
      <c r="Y11" s="1">
        <f>VLOOKUP($J11,output!$A$9:$AI$2200,Y$1-$L$1+2)</f>
        <v>4.8000000000000001E-2</v>
      </c>
      <c r="Z11" s="1">
        <f>VLOOKUP($J11,output!$A$9:$AI$2200,Z$1-$L$1+2)</f>
        <v>6.6000000000000003E-2</v>
      </c>
      <c r="AA11" s="1">
        <f>VLOOKUP($J11,output!$A$9:$AI$2200,AA$1-$L$1+2)</f>
        <v>5.7000000000000002E-2</v>
      </c>
      <c r="AB11" s="1">
        <f>VLOOKUP($J11,output!$A$9:$AI$2200,AB$1-$L$1+2)</f>
        <v>0.05</v>
      </c>
      <c r="AC11" s="1">
        <f>VLOOKUP($J11,output!$A$9:$AI$2200,AC$1-$L$1+2)</f>
        <v>5.1999999999999998E-2</v>
      </c>
      <c r="AD11" s="1">
        <f>VLOOKUP($J11,output!$A$9:$AI$2200,AD$1-$L$1+2)</f>
        <v>4.5999999999999999E-2</v>
      </c>
      <c r="AE11" s="1">
        <f>VLOOKUP($J11,output!$A$9:$AI$2200,AE$1-$L$1+2)</f>
        <v>4.1000000000000002E-2</v>
      </c>
      <c r="AF11" s="1">
        <f>VLOOKUP($J11,output!$A$9:$AI$2200,AF$1-$L$1+2)</f>
        <v>3.4000000000000002E-2</v>
      </c>
      <c r="AG11" s="1">
        <f>VLOOKUP($J11,output!$A$9:$AI$2200,AG$1-$L$1+2)</f>
        <v>3.2000000000000001E-2</v>
      </c>
      <c r="AH11" s="1">
        <f>VLOOKUP($J11,output!$A$9:$AI$2200,AH$1-$L$1+2)</f>
        <v>0.03</v>
      </c>
      <c r="AI11" s="1">
        <f>VLOOKUP($J11,output!$A$9:$AI$2200,AI$1-$L$1+2)</f>
        <v>2.8000000000000001E-2</v>
      </c>
      <c r="AJ11" s="1">
        <f>VLOOKUP($J11,output!$A$9:$AI$2200,AJ$1-$L$1+2)</f>
        <v>2.5999999999999999E-2</v>
      </c>
      <c r="AK11" s="1">
        <f>VLOOKUP($J11,output!$A$9:$AI$2200,AK$1-$L$1+2)</f>
        <v>2.4E-2</v>
      </c>
      <c r="AL11" s="1">
        <f>VLOOKUP($J11,output!$A$9:$AI$2200,AL$1-$L$1+2)</f>
        <v>2.3E-2</v>
      </c>
      <c r="AM11" s="1">
        <f>VLOOKUP($J11,output!$A$9:$AI$2200,AM$1-$L$1+2)</f>
        <v>2.1999999999999999E-2</v>
      </c>
    </row>
    <row r="12" spans="10:39" x14ac:dyDescent="0.25">
      <c r="J12" t="s">
        <v>229</v>
      </c>
      <c r="L12" s="1">
        <f>VLOOKUP($J12,output!$A$9:$AI$2200,L$1-$L$1+2)</f>
        <v>0</v>
      </c>
      <c r="M12" s="1">
        <f>VLOOKUP($J12,output!$A$9:$AI$2200,M$1-$L$1+2)</f>
        <v>4.0000000000000001E-3</v>
      </c>
      <c r="N12" s="1">
        <f>VLOOKUP($J12,output!$A$9:$AI$2200,N$1-$L$1+2)</f>
        <v>6.0000000000000001E-3</v>
      </c>
      <c r="O12" s="1">
        <f>VLOOKUP($J12,output!$A$9:$AI$2200,O$1-$L$1+2)</f>
        <v>8.0000000000000002E-3</v>
      </c>
      <c r="P12" s="1">
        <f>VLOOKUP($J12,output!$A$9:$AI$2200,P$1-$L$1+2)</f>
        <v>0.01</v>
      </c>
      <c r="Q12" s="1">
        <f>VLOOKUP($J12,output!$A$9:$AI$2200,Q$1-$L$1+2)</f>
        <v>1.4E-2</v>
      </c>
      <c r="R12" s="1">
        <f>VLOOKUP($J12,output!$A$9:$AI$2200,R$1-$L$1+2)</f>
        <v>1.6E-2</v>
      </c>
      <c r="S12" s="1">
        <f>VLOOKUP($J12,output!$A$9:$AI$2200,S$1-$L$1+2)</f>
        <v>1.7999999999999999E-2</v>
      </c>
      <c r="T12" s="1">
        <f>VLOOKUP($J12,output!$A$9:$AI$2200,T$1-$L$1+2)</f>
        <v>4.2000000000000003E-2</v>
      </c>
      <c r="U12" s="1">
        <f>VLOOKUP($J12,output!$A$9:$AI$2200,U$1-$L$1+2)</f>
        <v>4.2999999999999997E-2</v>
      </c>
      <c r="V12" s="1">
        <f>VLOOKUP($J12,output!$A$9:$AI$2200,V$1-$L$1+2)</f>
        <v>4.4999999999999998E-2</v>
      </c>
      <c r="W12" s="1">
        <f>VLOOKUP($J12,output!$A$9:$AI$2200,W$1-$L$1+2)</f>
        <v>4.4999999999999998E-2</v>
      </c>
      <c r="X12" s="1">
        <f>VLOOKUP($J12,output!$A$9:$AI$2200,X$1-$L$1+2)</f>
        <v>4.5999999999999999E-2</v>
      </c>
      <c r="Y12" s="1">
        <f>VLOOKUP($J12,output!$A$9:$AI$2200,Y$1-$L$1+2)</f>
        <v>5.6000000000000001E-2</v>
      </c>
      <c r="Z12" s="1">
        <f>VLOOKUP($J12,output!$A$9:$AI$2200,Z$1-$L$1+2)</f>
        <v>7.2999999999999995E-2</v>
      </c>
      <c r="AA12" s="1">
        <f>VLOOKUP($J12,output!$A$9:$AI$2200,AA$1-$L$1+2)</f>
        <v>7.0999999999999994E-2</v>
      </c>
      <c r="AB12" s="1">
        <f>VLOOKUP($J12,output!$A$9:$AI$2200,AB$1-$L$1+2)</f>
        <v>7.1999999999999995E-2</v>
      </c>
      <c r="AC12" s="1">
        <f>VLOOKUP($J12,output!$A$9:$AI$2200,AC$1-$L$1+2)</f>
        <v>7.3999999999999996E-2</v>
      </c>
      <c r="AD12" s="1">
        <f>VLOOKUP($J12,output!$A$9:$AI$2200,AD$1-$L$1+2)</f>
        <v>7.0999999999999994E-2</v>
      </c>
      <c r="AE12" s="1">
        <f>VLOOKUP($J12,output!$A$9:$AI$2200,AE$1-$L$1+2)</f>
        <v>6.8000000000000005E-2</v>
      </c>
      <c r="AF12" s="1">
        <f>VLOOKUP($J12,output!$A$9:$AI$2200,AF$1-$L$1+2)</f>
        <v>0.06</v>
      </c>
      <c r="AG12" s="1">
        <f>VLOOKUP($J12,output!$A$9:$AI$2200,AG$1-$L$1+2)</f>
        <v>5.8999999999999997E-2</v>
      </c>
      <c r="AH12" s="1">
        <f>VLOOKUP($J12,output!$A$9:$AI$2200,AH$1-$L$1+2)</f>
        <v>5.5E-2</v>
      </c>
      <c r="AI12" s="1">
        <f>VLOOKUP($J12,output!$A$9:$AI$2200,AI$1-$L$1+2)</f>
        <v>5.0999999999999997E-2</v>
      </c>
      <c r="AJ12" s="1">
        <f>VLOOKUP($J12,output!$A$9:$AI$2200,AJ$1-$L$1+2)</f>
        <v>4.8000000000000001E-2</v>
      </c>
      <c r="AK12" s="1">
        <f>VLOOKUP($J12,output!$A$9:$AI$2200,AK$1-$L$1+2)</f>
        <v>4.4999999999999998E-2</v>
      </c>
      <c r="AL12" s="1">
        <f>VLOOKUP($J12,output!$A$9:$AI$2200,AL$1-$L$1+2)</f>
        <v>4.2000000000000003E-2</v>
      </c>
      <c r="AM12" s="1">
        <f>VLOOKUP($J12,output!$A$9:$AI$2200,AM$1-$L$1+2)</f>
        <v>3.9E-2</v>
      </c>
    </row>
    <row r="13" spans="10:39" x14ac:dyDescent="0.25">
      <c r="J13" t="s">
        <v>230</v>
      </c>
      <c r="L13" s="1">
        <f>VLOOKUP($J13,output!$A$9:$AI$2200,L$1-$L$1+2)</f>
        <v>0</v>
      </c>
      <c r="M13" s="1">
        <f>VLOOKUP($J13,output!$A$9:$AI$2200,M$1-$L$1+2)</f>
        <v>0.108</v>
      </c>
      <c r="N13" s="1">
        <f>VLOOKUP($J13,output!$A$9:$AI$2200,N$1-$L$1+2)</f>
        <v>7.0000000000000007E-2</v>
      </c>
      <c r="O13" s="1">
        <f>VLOOKUP($J13,output!$A$9:$AI$2200,O$1-$L$1+2)</f>
        <v>0.111</v>
      </c>
      <c r="P13" s="1">
        <f>VLOOKUP($J13,output!$A$9:$AI$2200,P$1-$L$1+2)</f>
        <v>0.12</v>
      </c>
      <c r="Q13" s="1">
        <f>VLOOKUP($J13,output!$A$9:$AI$2200,Q$1-$L$1+2)</f>
        <v>0.11700000000000001</v>
      </c>
      <c r="R13" s="1">
        <f>VLOOKUP($J13,output!$A$9:$AI$2200,R$1-$L$1+2)</f>
        <v>0.107</v>
      </c>
      <c r="S13" s="1">
        <f>VLOOKUP($J13,output!$A$9:$AI$2200,S$1-$L$1+2)</f>
        <v>0.14000000000000001</v>
      </c>
      <c r="T13" s="1">
        <f>VLOOKUP($J13,output!$A$9:$AI$2200,T$1-$L$1+2)</f>
        <v>0.20100000000000001</v>
      </c>
      <c r="U13" s="1">
        <f>VLOOKUP($J13,output!$A$9:$AI$2200,U$1-$L$1+2)</f>
        <v>0.193</v>
      </c>
      <c r="V13" s="1">
        <f>VLOOKUP($J13,output!$A$9:$AI$2200,V$1-$L$1+2)</f>
        <v>0.17100000000000001</v>
      </c>
      <c r="W13" s="1">
        <f>VLOOKUP($J13,output!$A$9:$AI$2200,W$1-$L$1+2)</f>
        <v>0.152</v>
      </c>
      <c r="X13" s="1">
        <f>VLOOKUP($J13,output!$A$9:$AI$2200,X$1-$L$1+2)</f>
        <v>0.13400000000000001</v>
      </c>
      <c r="Y13" s="1">
        <f>VLOOKUP($J13,output!$A$9:$AI$2200,Y$1-$L$1+2)</f>
        <v>0.13200000000000001</v>
      </c>
      <c r="Z13" s="1">
        <f>VLOOKUP($J13,output!$A$9:$AI$2200,Z$1-$L$1+2)</f>
        <v>0.156</v>
      </c>
      <c r="AA13" s="1">
        <f>VLOOKUP($J13,output!$A$9:$AI$2200,AA$1-$L$1+2)</f>
        <v>0.13300000000000001</v>
      </c>
      <c r="AB13" s="1">
        <f>VLOOKUP($J13,output!$A$9:$AI$2200,AB$1-$L$1+2)</f>
        <v>0.11700000000000001</v>
      </c>
      <c r="AC13" s="1">
        <f>VLOOKUP($J13,output!$A$9:$AI$2200,AC$1-$L$1+2)</f>
        <v>0.22900000000000001</v>
      </c>
      <c r="AD13" s="1">
        <f>VLOOKUP($J13,output!$A$9:$AI$2200,AD$1-$L$1+2)</f>
        <v>9.2999999999999999E-2</v>
      </c>
      <c r="AE13" s="1">
        <f>VLOOKUP($J13,output!$A$9:$AI$2200,AE$1-$L$1+2)</f>
        <v>8.3000000000000004E-2</v>
      </c>
      <c r="AF13" s="1">
        <f>VLOOKUP($J13,output!$A$9:$AI$2200,AF$1-$L$1+2)</f>
        <v>6.9000000000000006E-2</v>
      </c>
      <c r="AG13" s="1">
        <f>VLOOKUP($J13,output!$A$9:$AI$2200,AG$1-$L$1+2)</f>
        <v>6.4000000000000001E-2</v>
      </c>
      <c r="AH13" s="1">
        <f>VLOOKUP($J13,output!$A$9:$AI$2200,AH$1-$L$1+2)</f>
        <v>5.8000000000000003E-2</v>
      </c>
      <c r="AI13" s="1">
        <f>VLOOKUP($J13,output!$A$9:$AI$2200,AI$1-$L$1+2)</f>
        <v>5.1999999999999998E-2</v>
      </c>
      <c r="AJ13" s="1">
        <f>VLOOKUP($J13,output!$A$9:$AI$2200,AJ$1-$L$1+2)</f>
        <v>4.7E-2</v>
      </c>
      <c r="AK13" s="1">
        <f>VLOOKUP($J13,output!$A$9:$AI$2200,AK$1-$L$1+2)</f>
        <v>4.2999999999999997E-2</v>
      </c>
      <c r="AL13" s="1">
        <f>VLOOKUP($J13,output!$A$9:$AI$2200,AL$1-$L$1+2)</f>
        <v>3.7999999999999999E-2</v>
      </c>
      <c r="AM13" s="1">
        <f>VLOOKUP($J13,output!$A$9:$AI$2200,AM$1-$L$1+2)</f>
        <v>3.4000000000000002E-2</v>
      </c>
    </row>
    <row r="14" spans="10:39" x14ac:dyDescent="0.25">
      <c r="J14" t="s">
        <v>231</v>
      </c>
      <c r="L14" s="1">
        <f>VLOOKUP($J14,output!$A$9:$AI$2200,L$1-$L$1+2)</f>
        <v>0</v>
      </c>
      <c r="M14" s="1">
        <f>VLOOKUP($J14,output!$A$9:$AI$2200,M$1-$L$1+2)</f>
        <v>0.10100000000000001</v>
      </c>
      <c r="N14" s="1">
        <f>VLOOKUP($J14,output!$A$9:$AI$2200,N$1-$L$1+2)</f>
        <v>4.7E-2</v>
      </c>
      <c r="O14" s="1">
        <f>VLOOKUP($J14,output!$A$9:$AI$2200,O$1-$L$1+2)</f>
        <v>5.3999999999999999E-2</v>
      </c>
      <c r="P14" s="1">
        <f>VLOOKUP($J14,output!$A$9:$AI$2200,P$1-$L$1+2)</f>
        <v>7.5999999999999998E-2</v>
      </c>
      <c r="Q14" s="1">
        <f>VLOOKUP($J14,output!$A$9:$AI$2200,Q$1-$L$1+2)</f>
        <v>6.2E-2</v>
      </c>
      <c r="R14" s="1">
        <f>VLOOKUP($J14,output!$A$9:$AI$2200,R$1-$L$1+2)</f>
        <v>4.9000000000000002E-2</v>
      </c>
      <c r="S14" s="1">
        <f>VLOOKUP($J14,output!$A$9:$AI$2200,S$1-$L$1+2)</f>
        <v>4.2000000000000003E-2</v>
      </c>
      <c r="T14" s="1">
        <f>VLOOKUP($J14,output!$A$9:$AI$2200,T$1-$L$1+2)</f>
        <v>4.2000000000000003E-2</v>
      </c>
      <c r="U14" s="1">
        <f>VLOOKUP($J14,output!$A$9:$AI$2200,U$1-$L$1+2)</f>
        <v>3.4000000000000002E-2</v>
      </c>
      <c r="V14" s="1">
        <f>VLOOKUP($J14,output!$A$9:$AI$2200,V$1-$L$1+2)</f>
        <v>2.1000000000000001E-2</v>
      </c>
      <c r="W14" s="1">
        <f>VLOOKUP($J14,output!$A$9:$AI$2200,W$1-$L$1+2)</f>
        <v>0.01</v>
      </c>
      <c r="X14" s="1">
        <f>VLOOKUP($J14,output!$A$9:$AI$2200,X$1-$L$1+2)</f>
        <v>1E-3</v>
      </c>
      <c r="Y14" s="1">
        <f>VLOOKUP($J14,output!$A$9:$AI$2200,Y$1-$L$1+2)</f>
        <v>0</v>
      </c>
      <c r="Z14" s="1">
        <f>VLOOKUP($J14,output!$A$9:$AI$2200,Z$1-$L$1+2)</f>
        <v>0</v>
      </c>
      <c r="AA14" s="1">
        <f>VLOOKUP($J14,output!$A$9:$AI$2200,AA$1-$L$1+2)</f>
        <v>0</v>
      </c>
      <c r="AB14" s="1">
        <f>VLOOKUP($J14,output!$A$9:$AI$2200,AB$1-$L$1+2)</f>
        <v>0</v>
      </c>
      <c r="AC14" s="1">
        <f>VLOOKUP($J14,output!$A$9:$AI$2200,AC$1-$L$1+2)</f>
        <v>0</v>
      </c>
      <c r="AD14" s="1">
        <f>VLOOKUP($J14,output!$A$9:$AI$2200,AD$1-$L$1+2)</f>
        <v>0</v>
      </c>
      <c r="AE14" s="1">
        <f>VLOOKUP($J14,output!$A$9:$AI$2200,AE$1-$L$1+2)</f>
        <v>0</v>
      </c>
      <c r="AF14" s="1">
        <f>VLOOKUP($J14,output!$A$9:$AI$2200,AF$1-$L$1+2)</f>
        <v>0</v>
      </c>
      <c r="AG14" s="1">
        <f>VLOOKUP($J14,output!$A$9:$AI$2200,AG$1-$L$1+2)</f>
        <v>0</v>
      </c>
      <c r="AH14" s="1">
        <f>VLOOKUP($J14,output!$A$9:$AI$2200,AH$1-$L$1+2)</f>
        <v>0</v>
      </c>
      <c r="AI14" s="1">
        <f>VLOOKUP($J14,output!$A$9:$AI$2200,AI$1-$L$1+2)</f>
        <v>0</v>
      </c>
      <c r="AJ14" s="1">
        <f>VLOOKUP($J14,output!$A$9:$AI$2200,AJ$1-$L$1+2)</f>
        <v>0</v>
      </c>
      <c r="AK14" s="1">
        <f>VLOOKUP($J14,output!$A$9:$AI$2200,AK$1-$L$1+2)</f>
        <v>0</v>
      </c>
      <c r="AL14" s="1">
        <f>VLOOKUP($J14,output!$A$9:$AI$2200,AL$1-$L$1+2)</f>
        <v>0</v>
      </c>
      <c r="AM14" s="1">
        <f>VLOOKUP($J14,output!$A$9:$AI$2200,AM$1-$L$1+2)</f>
        <v>0</v>
      </c>
    </row>
    <row r="15" spans="10:39" x14ac:dyDescent="0.25">
      <c r="J15" t="s">
        <v>232</v>
      </c>
      <c r="L15" s="1">
        <f>VLOOKUP($J15,output!$A$9:$AI$2200,L$1-$L$1+2)</f>
        <v>0</v>
      </c>
      <c r="M15" s="1">
        <f>VLOOKUP($J15,output!$A$9:$AI$2200,M$1-$L$1+2)</f>
        <v>0.02</v>
      </c>
      <c r="N15" s="1">
        <f>VLOOKUP($J15,output!$A$9:$AI$2200,N$1-$L$1+2)</f>
        <v>1.0999999999999999E-2</v>
      </c>
      <c r="O15" s="1">
        <f>VLOOKUP($J15,output!$A$9:$AI$2200,O$1-$L$1+2)</f>
        <v>1.7999999999999999E-2</v>
      </c>
      <c r="P15" s="1">
        <f>VLOOKUP($J15,output!$A$9:$AI$2200,P$1-$L$1+2)</f>
        <v>1.9E-2</v>
      </c>
      <c r="Q15" s="1">
        <f>VLOOKUP($J15,output!$A$9:$AI$2200,Q$1-$L$1+2)</f>
        <v>1.7000000000000001E-2</v>
      </c>
      <c r="R15" s="1">
        <f>VLOOKUP($J15,output!$A$9:$AI$2200,R$1-$L$1+2)</f>
        <v>1.6E-2</v>
      </c>
      <c r="S15" s="1">
        <f>VLOOKUP($J15,output!$A$9:$AI$2200,S$1-$L$1+2)</f>
        <v>2.8000000000000001E-2</v>
      </c>
      <c r="T15" s="1">
        <f>VLOOKUP($J15,output!$A$9:$AI$2200,T$1-$L$1+2)</f>
        <v>0.03</v>
      </c>
      <c r="U15" s="1">
        <f>VLOOKUP($J15,output!$A$9:$AI$2200,U$1-$L$1+2)</f>
        <v>2.8000000000000001E-2</v>
      </c>
      <c r="V15" s="1">
        <f>VLOOKUP($J15,output!$A$9:$AI$2200,V$1-$L$1+2)</f>
        <v>2.7E-2</v>
      </c>
      <c r="W15" s="1">
        <f>VLOOKUP($J15,output!$A$9:$AI$2200,W$1-$L$1+2)</f>
        <v>2.5000000000000001E-2</v>
      </c>
      <c r="X15" s="1">
        <f>VLOOKUP($J15,output!$A$9:$AI$2200,X$1-$L$1+2)</f>
        <v>2.3E-2</v>
      </c>
      <c r="Y15" s="1">
        <f>VLOOKUP($J15,output!$A$9:$AI$2200,Y$1-$L$1+2)</f>
        <v>2.3E-2</v>
      </c>
      <c r="Z15" s="1">
        <f>VLOOKUP($J15,output!$A$9:$AI$2200,Z$1-$L$1+2)</f>
        <v>2.7E-2</v>
      </c>
      <c r="AA15" s="1">
        <f>VLOOKUP($J15,output!$A$9:$AI$2200,AA$1-$L$1+2)</f>
        <v>2.5000000000000001E-2</v>
      </c>
      <c r="AB15" s="1">
        <f>VLOOKUP($J15,output!$A$9:$AI$2200,AB$1-$L$1+2)</f>
        <v>2.4E-2</v>
      </c>
      <c r="AC15" s="1">
        <f>VLOOKUP($J15,output!$A$9:$AI$2200,AC$1-$L$1+2)</f>
        <v>3.2000000000000001E-2</v>
      </c>
      <c r="AD15" s="1">
        <f>VLOOKUP($J15,output!$A$9:$AI$2200,AD$1-$L$1+2)</f>
        <v>0.03</v>
      </c>
      <c r="AE15" s="1">
        <f>VLOOKUP($J15,output!$A$9:$AI$2200,AE$1-$L$1+2)</f>
        <v>2.9000000000000001E-2</v>
      </c>
      <c r="AF15" s="1">
        <f>VLOOKUP($J15,output!$A$9:$AI$2200,AF$1-$L$1+2)</f>
        <v>2.7E-2</v>
      </c>
      <c r="AG15" s="1">
        <f>VLOOKUP($J15,output!$A$9:$AI$2200,AG$1-$L$1+2)</f>
        <v>2.5000000000000001E-2</v>
      </c>
      <c r="AH15" s="1">
        <f>VLOOKUP($J15,output!$A$9:$AI$2200,AH$1-$L$1+2)</f>
        <v>2.4E-2</v>
      </c>
      <c r="AI15" s="1">
        <f>VLOOKUP($J15,output!$A$9:$AI$2200,AI$1-$L$1+2)</f>
        <v>2.1999999999999999E-2</v>
      </c>
      <c r="AJ15" s="1">
        <f>VLOOKUP($J15,output!$A$9:$AI$2200,AJ$1-$L$1+2)</f>
        <v>2.1000000000000001E-2</v>
      </c>
      <c r="AK15" s="1">
        <f>VLOOKUP($J15,output!$A$9:$AI$2200,AK$1-$L$1+2)</f>
        <v>0.02</v>
      </c>
      <c r="AL15" s="1">
        <f>VLOOKUP($J15,output!$A$9:$AI$2200,AL$1-$L$1+2)</f>
        <v>1.7999999999999999E-2</v>
      </c>
      <c r="AM15" s="1">
        <f>VLOOKUP($J15,output!$A$9:$AI$2200,AM$1-$L$1+2)</f>
        <v>1.7000000000000001E-2</v>
      </c>
    </row>
    <row r="16" spans="10:39" x14ac:dyDescent="0.25">
      <c r="L16" s="1"/>
    </row>
    <row r="18" spans="10:39" x14ac:dyDescent="0.25">
      <c r="J18" t="s">
        <v>297</v>
      </c>
    </row>
    <row r="19" spans="10:39" x14ac:dyDescent="0.25">
      <c r="J19" t="s">
        <v>292</v>
      </c>
      <c r="L19" s="1">
        <f>L5+L11</f>
        <v>0</v>
      </c>
      <c r="M19" s="1">
        <f t="shared" ref="M19:AM19" si="0">M5+M11</f>
        <v>0.48</v>
      </c>
      <c r="N19" s="1">
        <f t="shared" si="0"/>
        <v>0.35899999999999999</v>
      </c>
      <c r="O19" s="1">
        <f t="shared" si="0"/>
        <v>0.371</v>
      </c>
      <c r="P19" s="1">
        <f t="shared" si="0"/>
        <v>0.41200000000000003</v>
      </c>
      <c r="Q19" s="1">
        <f t="shared" si="0"/>
        <v>0.38800000000000001</v>
      </c>
      <c r="R19" s="1">
        <f t="shared" si="0"/>
        <v>0.36399999999999999</v>
      </c>
      <c r="S19" s="1">
        <f t="shared" si="0"/>
        <v>0.37</v>
      </c>
      <c r="T19" s="1">
        <f t="shared" si="0"/>
        <v>0.41900000000000004</v>
      </c>
      <c r="U19" s="1">
        <f t="shared" si="0"/>
        <v>0.4</v>
      </c>
      <c r="V19" s="1">
        <f t="shared" si="0"/>
        <v>0.40600000000000003</v>
      </c>
      <c r="W19" s="1">
        <f t="shared" si="0"/>
        <v>0.41699999999999998</v>
      </c>
      <c r="X19" s="1">
        <f t="shared" si="0"/>
        <v>0.42399999999999999</v>
      </c>
      <c r="Y19" s="1">
        <f t="shared" si="0"/>
        <v>0.32300000000000001</v>
      </c>
      <c r="Z19" s="1">
        <f t="shared" si="0"/>
        <v>0.35599999999999998</v>
      </c>
      <c r="AA19" s="1">
        <f t="shared" si="0"/>
        <v>0.35299999999999998</v>
      </c>
      <c r="AB19" s="1">
        <f t="shared" si="0"/>
        <v>0.313</v>
      </c>
      <c r="AC19" s="1">
        <f t="shared" si="0"/>
        <v>0.438</v>
      </c>
      <c r="AD19" s="1">
        <f t="shared" si="0"/>
        <v>0.30199999999999999</v>
      </c>
      <c r="AE19" s="1">
        <f t="shared" si="0"/>
        <v>0.29099999999999998</v>
      </c>
      <c r="AF19" s="1">
        <f t="shared" si="0"/>
        <v>0.25800000000000001</v>
      </c>
      <c r="AG19" s="1">
        <f t="shared" si="0"/>
        <v>0.14200000000000002</v>
      </c>
      <c r="AH19" s="1">
        <f t="shared" si="0"/>
        <v>0.13400000000000001</v>
      </c>
      <c r="AI19" s="1">
        <f t="shared" si="0"/>
        <v>0.14899999999999999</v>
      </c>
      <c r="AJ19" s="1">
        <f t="shared" si="0"/>
        <v>0.126</v>
      </c>
      <c r="AK19" s="1">
        <f t="shared" si="0"/>
        <v>0.123</v>
      </c>
      <c r="AL19" s="1">
        <f t="shared" si="0"/>
        <v>0.122</v>
      </c>
      <c r="AM19" s="1">
        <f t="shared" si="0"/>
        <v>0.12</v>
      </c>
    </row>
    <row r="20" spans="10:39" x14ac:dyDescent="0.25">
      <c r="J20" t="s">
        <v>293</v>
      </c>
      <c r="L20" s="1">
        <f>L6+L12</f>
        <v>0</v>
      </c>
      <c r="M20" s="1">
        <f t="shared" ref="M20:AM20" si="1">M6+M12</f>
        <v>0.112</v>
      </c>
      <c r="N20" s="1">
        <f t="shared" si="1"/>
        <v>6.0000000000000001E-3</v>
      </c>
      <c r="O20" s="1">
        <f t="shared" si="1"/>
        <v>0.17700000000000002</v>
      </c>
      <c r="P20" s="1">
        <f t="shared" si="1"/>
        <v>0.13100000000000001</v>
      </c>
      <c r="Q20" s="1">
        <f t="shared" si="1"/>
        <v>0.28300000000000003</v>
      </c>
      <c r="R20" s="1">
        <f t="shared" si="1"/>
        <v>0.45900000000000002</v>
      </c>
      <c r="S20" s="1">
        <f t="shared" si="1"/>
        <v>0.627</v>
      </c>
      <c r="T20" s="1">
        <f t="shared" si="1"/>
        <v>0.40799999999999997</v>
      </c>
      <c r="U20" s="1">
        <f t="shared" si="1"/>
        <v>0.59800000000000009</v>
      </c>
      <c r="V20" s="1">
        <f t="shared" si="1"/>
        <v>0.53600000000000003</v>
      </c>
      <c r="W20" s="1">
        <f t="shared" si="1"/>
        <v>0.45399999999999996</v>
      </c>
      <c r="X20" s="1">
        <f t="shared" si="1"/>
        <v>0.38300000000000001</v>
      </c>
      <c r="Y20" s="1">
        <f t="shared" si="1"/>
        <v>0.32700000000000001</v>
      </c>
      <c r="Z20" s="1">
        <f t="shared" si="1"/>
        <v>0.23699999999999999</v>
      </c>
      <c r="AA20" s="1">
        <f t="shared" si="1"/>
        <v>0.18</v>
      </c>
      <c r="AB20" s="1">
        <f t="shared" si="1"/>
        <v>0.128</v>
      </c>
      <c r="AC20" s="1">
        <f t="shared" si="1"/>
        <v>7.3999999999999996E-2</v>
      </c>
      <c r="AD20" s="1">
        <f t="shared" si="1"/>
        <v>0.10299999999999999</v>
      </c>
      <c r="AE20" s="1">
        <f t="shared" si="1"/>
        <v>9.9000000000000005E-2</v>
      </c>
      <c r="AF20" s="1">
        <f t="shared" si="1"/>
        <v>9.0999999999999998E-2</v>
      </c>
      <c r="AG20" s="1">
        <f t="shared" si="1"/>
        <v>0.09</v>
      </c>
      <c r="AH20" s="1">
        <f t="shared" si="1"/>
        <v>8.4999999999999992E-2</v>
      </c>
      <c r="AI20" s="1">
        <f t="shared" si="1"/>
        <v>8.0999999999999989E-2</v>
      </c>
      <c r="AJ20" s="1">
        <f t="shared" si="1"/>
        <v>7.8E-2</v>
      </c>
      <c r="AK20" s="1">
        <f t="shared" si="1"/>
        <v>7.4999999999999997E-2</v>
      </c>
      <c r="AL20" s="1">
        <f t="shared" si="1"/>
        <v>7.2000000000000008E-2</v>
      </c>
      <c r="AM20" s="1">
        <f t="shared" si="1"/>
        <v>6.7000000000000004E-2</v>
      </c>
    </row>
    <row r="21" spans="10:39" x14ac:dyDescent="0.25">
      <c r="J21" t="s">
        <v>294</v>
      </c>
      <c r="L21" s="1">
        <f>L7+L13</f>
        <v>0</v>
      </c>
      <c r="M21" s="1">
        <f t="shared" ref="M21:AM21" si="2">M7+M13</f>
        <v>0.13200000000000001</v>
      </c>
      <c r="N21" s="1">
        <f t="shared" si="2"/>
        <v>0.10500000000000001</v>
      </c>
      <c r="O21" s="1">
        <f t="shared" si="2"/>
        <v>0.14100000000000001</v>
      </c>
      <c r="P21" s="1">
        <f t="shared" si="2"/>
        <v>0.14799999999999999</v>
      </c>
      <c r="Q21" s="1">
        <f t="shared" si="2"/>
        <v>0.14100000000000001</v>
      </c>
      <c r="R21" s="1">
        <f t="shared" si="2"/>
        <v>0.128</v>
      </c>
      <c r="S21" s="1">
        <f t="shared" si="2"/>
        <v>0.158</v>
      </c>
      <c r="T21" s="1">
        <f t="shared" si="2"/>
        <v>0.219</v>
      </c>
      <c r="U21" s="1">
        <f t="shared" si="2"/>
        <v>0.20900000000000002</v>
      </c>
      <c r="V21" s="1">
        <f t="shared" si="2"/>
        <v>0.186</v>
      </c>
      <c r="W21" s="1">
        <f t="shared" si="2"/>
        <v>0.16600000000000001</v>
      </c>
      <c r="X21" s="1">
        <f t="shared" si="2"/>
        <v>0.14800000000000002</v>
      </c>
      <c r="Y21" s="1">
        <f t="shared" si="2"/>
        <v>0.13200000000000001</v>
      </c>
      <c r="Z21" s="1">
        <f t="shared" si="2"/>
        <v>0.156</v>
      </c>
      <c r="AA21" s="1">
        <f t="shared" si="2"/>
        <v>0.13300000000000001</v>
      </c>
      <c r="AB21" s="1">
        <f t="shared" si="2"/>
        <v>0.11700000000000001</v>
      </c>
      <c r="AC21" s="1">
        <f t="shared" si="2"/>
        <v>0.22900000000000001</v>
      </c>
      <c r="AD21" s="1">
        <f t="shared" si="2"/>
        <v>9.2999999999999999E-2</v>
      </c>
      <c r="AE21" s="1">
        <f t="shared" si="2"/>
        <v>8.3000000000000004E-2</v>
      </c>
      <c r="AF21" s="1">
        <f t="shared" si="2"/>
        <v>6.9000000000000006E-2</v>
      </c>
      <c r="AG21" s="1">
        <f t="shared" si="2"/>
        <v>6.4000000000000001E-2</v>
      </c>
      <c r="AH21" s="1">
        <f t="shared" si="2"/>
        <v>5.8000000000000003E-2</v>
      </c>
      <c r="AI21" s="1">
        <f t="shared" si="2"/>
        <v>5.1999999999999998E-2</v>
      </c>
      <c r="AJ21" s="1">
        <f t="shared" si="2"/>
        <v>4.7E-2</v>
      </c>
      <c r="AK21" s="1">
        <f t="shared" si="2"/>
        <v>4.2999999999999997E-2</v>
      </c>
      <c r="AL21" s="1">
        <f t="shared" si="2"/>
        <v>3.7999999999999999E-2</v>
      </c>
      <c r="AM21" s="1">
        <f t="shared" si="2"/>
        <v>3.4000000000000002E-2</v>
      </c>
    </row>
    <row r="22" spans="10:39" x14ac:dyDescent="0.25">
      <c r="J22" t="s">
        <v>295</v>
      </c>
      <c r="L22" s="1">
        <f>L8+L14</f>
        <v>0</v>
      </c>
      <c r="M22" s="1">
        <f t="shared" ref="M22:AM22" si="3">M8+M14</f>
        <v>0.10100000000000001</v>
      </c>
      <c r="N22" s="1">
        <f t="shared" si="3"/>
        <v>4.7E-2</v>
      </c>
      <c r="O22" s="1">
        <f t="shared" si="3"/>
        <v>5.3999999999999999E-2</v>
      </c>
      <c r="P22" s="1">
        <f t="shared" si="3"/>
        <v>7.5999999999999998E-2</v>
      </c>
      <c r="Q22" s="1">
        <f t="shared" si="3"/>
        <v>6.2E-2</v>
      </c>
      <c r="R22" s="1">
        <f t="shared" si="3"/>
        <v>4.9000000000000002E-2</v>
      </c>
      <c r="S22" s="1">
        <f t="shared" si="3"/>
        <v>4.2000000000000003E-2</v>
      </c>
      <c r="T22" s="1">
        <f t="shared" si="3"/>
        <v>4.2000000000000003E-2</v>
      </c>
      <c r="U22" s="1">
        <f t="shared" si="3"/>
        <v>3.4000000000000002E-2</v>
      </c>
      <c r="V22" s="1">
        <f t="shared" si="3"/>
        <v>2.1000000000000001E-2</v>
      </c>
      <c r="W22" s="1">
        <f t="shared" si="3"/>
        <v>0.01</v>
      </c>
      <c r="X22" s="1">
        <f t="shared" si="3"/>
        <v>1E-3</v>
      </c>
      <c r="Y22" s="1">
        <f t="shared" si="3"/>
        <v>0</v>
      </c>
      <c r="Z22" s="1">
        <f t="shared" si="3"/>
        <v>0</v>
      </c>
      <c r="AA22" s="1">
        <f t="shared" si="3"/>
        <v>0</v>
      </c>
      <c r="AB22" s="1">
        <f t="shared" si="3"/>
        <v>0</v>
      </c>
      <c r="AC22" s="1">
        <f t="shared" si="3"/>
        <v>0</v>
      </c>
      <c r="AD22" s="1">
        <f t="shared" si="3"/>
        <v>0</v>
      </c>
      <c r="AE22" s="1">
        <f t="shared" si="3"/>
        <v>0</v>
      </c>
      <c r="AF22" s="1">
        <f t="shared" si="3"/>
        <v>0</v>
      </c>
      <c r="AG22" s="1">
        <f t="shared" si="3"/>
        <v>0</v>
      </c>
      <c r="AH22" s="1">
        <f t="shared" si="3"/>
        <v>0</v>
      </c>
      <c r="AI22" s="1">
        <f t="shared" si="3"/>
        <v>0</v>
      </c>
      <c r="AJ22" s="1">
        <f t="shared" si="3"/>
        <v>0</v>
      </c>
      <c r="AK22" s="1">
        <f t="shared" si="3"/>
        <v>0</v>
      </c>
      <c r="AL22" s="1">
        <f t="shared" si="3"/>
        <v>0</v>
      </c>
      <c r="AM22" s="1">
        <f t="shared" si="3"/>
        <v>0</v>
      </c>
    </row>
    <row r="23" spans="10:39" x14ac:dyDescent="0.25">
      <c r="J23" t="s">
        <v>296</v>
      </c>
      <c r="L23" s="1">
        <f>L9+L15</f>
        <v>0</v>
      </c>
      <c r="M23" s="1">
        <f t="shared" ref="M23:AM23" si="4">M9+M15</f>
        <v>9.2999999999999999E-2</v>
      </c>
      <c r="N23" s="1">
        <f t="shared" si="4"/>
        <v>5.4999999999999993E-2</v>
      </c>
      <c r="O23" s="1">
        <f t="shared" si="4"/>
        <v>6.0999999999999999E-2</v>
      </c>
      <c r="P23" s="1">
        <f t="shared" si="4"/>
        <v>6.6000000000000003E-2</v>
      </c>
      <c r="Q23" s="1">
        <f t="shared" si="4"/>
        <v>6.4000000000000001E-2</v>
      </c>
      <c r="R23" s="1">
        <f t="shared" si="4"/>
        <v>6.3E-2</v>
      </c>
      <c r="S23" s="1">
        <f t="shared" si="4"/>
        <v>7.4999999999999997E-2</v>
      </c>
      <c r="T23" s="1">
        <f t="shared" si="4"/>
        <v>7.8E-2</v>
      </c>
      <c r="U23" s="1">
        <f t="shared" si="4"/>
        <v>7.6999999999999999E-2</v>
      </c>
      <c r="V23" s="1">
        <f t="shared" si="4"/>
        <v>7.5999999999999998E-2</v>
      </c>
      <c r="W23" s="1">
        <f t="shared" si="4"/>
        <v>7.5000000000000011E-2</v>
      </c>
      <c r="X23" s="1">
        <f t="shared" si="4"/>
        <v>7.3999999999999996E-2</v>
      </c>
      <c r="Y23" s="1">
        <f t="shared" si="4"/>
        <v>5.7000000000000002E-2</v>
      </c>
      <c r="Z23" s="1">
        <f t="shared" si="4"/>
        <v>6.2E-2</v>
      </c>
      <c r="AA23" s="1">
        <f t="shared" si="4"/>
        <v>6.0999999999999999E-2</v>
      </c>
      <c r="AB23" s="1">
        <f t="shared" si="4"/>
        <v>5.6000000000000001E-2</v>
      </c>
      <c r="AC23" s="1">
        <f t="shared" si="4"/>
        <v>7.8E-2</v>
      </c>
      <c r="AD23" s="1">
        <f t="shared" si="4"/>
        <v>6.0999999999999999E-2</v>
      </c>
      <c r="AE23" s="1">
        <f t="shared" si="4"/>
        <v>0.06</v>
      </c>
      <c r="AF23" s="1">
        <f t="shared" si="4"/>
        <v>5.5E-2</v>
      </c>
      <c r="AG23" s="1">
        <f t="shared" si="4"/>
        <v>3.9E-2</v>
      </c>
      <c r="AH23" s="1">
        <f t="shared" si="4"/>
        <v>3.6999999999999998E-2</v>
      </c>
      <c r="AI23" s="1">
        <f t="shared" si="4"/>
        <v>3.7999999999999999E-2</v>
      </c>
      <c r="AJ23" s="1">
        <f t="shared" si="4"/>
        <v>3.4000000000000002E-2</v>
      </c>
      <c r="AK23" s="1">
        <f t="shared" si="4"/>
        <v>3.3000000000000002E-2</v>
      </c>
      <c r="AL23" s="1">
        <f t="shared" si="4"/>
        <v>3.1E-2</v>
      </c>
      <c r="AM23" s="1">
        <f t="shared" si="4"/>
        <v>0.03</v>
      </c>
    </row>
    <row r="49" spans="10:40" x14ac:dyDescent="0.25">
      <c r="J49" t="s">
        <v>217</v>
      </c>
      <c r="K49" t="s">
        <v>309</v>
      </c>
      <c r="L49" s="1">
        <f>VLOOKUP($J49,output!$A$9:$AI$2200,L$1-$L$1+2)</f>
        <v>0</v>
      </c>
      <c r="M49" s="1">
        <f>VLOOKUP($J49,output!$A$9:$AI$2200,M$1-$L$1+2)</f>
        <v>7.181</v>
      </c>
      <c r="N49" s="1">
        <f>VLOOKUP($J49,output!$A$9:$AI$2200,N$1-$L$1+2)</f>
        <v>4.4820000000000002</v>
      </c>
      <c r="O49" s="1">
        <f>VLOOKUP($J49,output!$A$9:$AI$2200,O$1-$L$1+2)</f>
        <v>6.0919999999999996</v>
      </c>
      <c r="P49" s="1">
        <f>VLOOKUP($J49,output!$A$9:$AI$2200,P$1-$L$1+2)</f>
        <v>8.8460000000000001</v>
      </c>
      <c r="Q49" s="1">
        <f>VLOOKUP($J49,output!$A$9:$AI$2200,Q$1-$L$1+2)</f>
        <v>6.1020000000000003</v>
      </c>
      <c r="R49" s="1">
        <f>VLOOKUP($J49,output!$A$9:$AI$2200,R$1-$L$1+2)</f>
        <v>5.4820000000000002</v>
      </c>
      <c r="S49" s="1">
        <f>VLOOKUP($J49,output!$A$9:$AI$2200,S$1-$L$1+2)</f>
        <v>5.3529999999999998</v>
      </c>
      <c r="T49" s="1">
        <f>VLOOKUP($J49,output!$A$9:$AI$2200,T$1-$L$1+2)</f>
        <v>6.6630000000000003</v>
      </c>
      <c r="U49" s="1">
        <f>VLOOKUP($J49,output!$A$9:$AI$2200,U$1-$L$1+2)</f>
        <v>6.0229999999999997</v>
      </c>
      <c r="V49" s="1">
        <f>VLOOKUP($J49,output!$A$9:$AI$2200,V$1-$L$1+2)</f>
        <v>5.8150000000000004</v>
      </c>
      <c r="W49" s="1">
        <f>VLOOKUP($J49,output!$A$9:$AI$2200,W$1-$L$1+2)</f>
        <v>5.6849999999999996</v>
      </c>
      <c r="X49" s="1">
        <f>VLOOKUP($J49,output!$A$9:$AI$2200,X$1-$L$1+2)</f>
        <v>5.5910000000000002</v>
      </c>
      <c r="Y49" s="1">
        <f>VLOOKUP($J49,output!$A$9:$AI$2200,Y$1-$L$1+2)</f>
        <v>4.4859999999999998</v>
      </c>
      <c r="Z49" s="1">
        <f>VLOOKUP($J49,output!$A$9:$AI$2200,Z$1-$L$1+2)</f>
        <v>4.9880000000000004</v>
      </c>
      <c r="AA49" s="1">
        <f>VLOOKUP($J49,output!$A$9:$AI$2200,AA$1-$L$1+2)</f>
        <v>4.8109999999999999</v>
      </c>
      <c r="AB49" s="1">
        <f>VLOOKUP($J49,output!$A$9:$AI$2200,AB$1-$L$1+2)</f>
        <v>4.2709999999999999</v>
      </c>
      <c r="AC49" s="1">
        <f>VLOOKUP($J49,output!$A$9:$AI$2200,AC$1-$L$1+2)</f>
        <v>10.698</v>
      </c>
      <c r="AD49" s="1">
        <f>VLOOKUP($J49,output!$A$9:$AI$2200,AD$1-$L$1+2)</f>
        <v>-1.149</v>
      </c>
      <c r="AE49" s="1">
        <f>VLOOKUP($J49,output!$A$9:$AI$2200,AE$1-$L$1+2)</f>
        <v>3.7269999999999999</v>
      </c>
      <c r="AF49" s="1">
        <f>VLOOKUP($J49,output!$A$9:$AI$2200,AF$1-$L$1+2)</f>
        <v>3.2850000000000001</v>
      </c>
      <c r="AG49" s="1">
        <f>VLOOKUP($J49,output!$A$9:$AI$2200,AG$1-$L$1+2)</f>
        <v>2.4430000000000001</v>
      </c>
      <c r="AH49" s="1">
        <f>VLOOKUP($J49,output!$A$9:$AI$2200,AH$1-$L$1+2)</f>
        <v>2.2280000000000002</v>
      </c>
      <c r="AI49" s="1">
        <f>VLOOKUP($J49,output!$A$9:$AI$2200,AI$1-$L$1+2)</f>
        <v>2.2989999999999999</v>
      </c>
      <c r="AJ49" s="1">
        <f>VLOOKUP($J49,output!$A$9:$AI$2200,AJ$1-$L$1+2)</f>
        <v>2.0129999999999999</v>
      </c>
      <c r="AK49" s="1">
        <f>VLOOKUP($J49,output!$A$9:$AI$2200,AK$1-$L$1+2)</f>
        <v>1.954</v>
      </c>
      <c r="AL49" s="1">
        <f>VLOOKUP($J49,output!$A$9:$AI$2200,AL$1-$L$1+2)</f>
        <v>1.909</v>
      </c>
      <c r="AM49" s="1">
        <f>VLOOKUP($J49,output!$A$9:$AI$2200,AM$1-$L$1+2)</f>
        <v>1.857</v>
      </c>
    </row>
    <row r="50" spans="10:40" x14ac:dyDescent="0.25">
      <c r="J50" t="s">
        <v>223</v>
      </c>
      <c r="K50" s="27"/>
      <c r="L50" s="1">
        <f>VLOOKUP($J50,output!$A$9:$AI$2200,L$1-$L$1+2)</f>
        <v>0</v>
      </c>
      <c r="M50" s="1">
        <f>VLOOKUP($J50,output!$A$9:$AI$2200,M$1-$L$1+2)</f>
        <v>4.0599999999999996</v>
      </c>
      <c r="N50" s="1">
        <f>VLOOKUP($J50,output!$A$9:$AI$2200,N$1-$L$1+2)</f>
        <v>3.4630000000000001</v>
      </c>
      <c r="O50" s="1">
        <f>VLOOKUP($J50,output!$A$9:$AI$2200,O$1-$L$1+2)</f>
        <v>3.0880000000000001</v>
      </c>
      <c r="P50" s="1">
        <f>VLOOKUP($J50,output!$A$9:$AI$2200,P$1-$L$1+2)</f>
        <v>3.5209999999999999</v>
      </c>
      <c r="Q50" s="1">
        <f>VLOOKUP($J50,output!$A$9:$AI$2200,Q$1-$L$1+2)</f>
        <v>3.1739999999999999</v>
      </c>
      <c r="R50" s="1">
        <f>VLOOKUP($J50,output!$A$9:$AI$2200,R$1-$L$1+2)</f>
        <v>2.7839999999999998</v>
      </c>
      <c r="S50" s="1">
        <f>VLOOKUP($J50,output!$A$9:$AI$2200,S$1-$L$1+2)</f>
        <v>2.419</v>
      </c>
      <c r="T50" s="1">
        <f>VLOOKUP($J50,output!$A$9:$AI$2200,T$1-$L$1+2)</f>
        <v>3.073</v>
      </c>
      <c r="U50" s="1">
        <f>VLOOKUP($J50,output!$A$9:$AI$2200,U$1-$L$1+2)</f>
        <v>2.6509999999999998</v>
      </c>
      <c r="V50" s="1">
        <f>VLOOKUP($J50,output!$A$9:$AI$2200,V$1-$L$1+2)</f>
        <v>2.8210000000000002</v>
      </c>
      <c r="W50" s="1">
        <f>VLOOKUP($J50,output!$A$9:$AI$2200,W$1-$L$1+2)</f>
        <v>3.024</v>
      </c>
      <c r="X50" s="1">
        <f>VLOOKUP($J50,output!$A$9:$AI$2200,X$1-$L$1+2)</f>
        <v>3.2010000000000001</v>
      </c>
      <c r="Y50" s="1">
        <f>VLOOKUP($J50,output!$A$9:$AI$2200,Y$1-$L$1+2)</f>
        <v>2.1749999999999998</v>
      </c>
      <c r="Z50" s="1">
        <f>VLOOKUP($J50,output!$A$9:$AI$2200,Z$1-$L$1+2)</f>
        <v>2.4129999999999998</v>
      </c>
      <c r="AA50" s="1">
        <f>VLOOKUP($J50,output!$A$9:$AI$2200,AA$1-$L$1+2)</f>
        <v>2.4990000000000001</v>
      </c>
      <c r="AB50" s="1">
        <f>VLOOKUP($J50,output!$A$9:$AI$2200,AB$1-$L$1+2)</f>
        <v>2.1379999999999999</v>
      </c>
      <c r="AC50" s="1">
        <f>VLOOKUP($J50,output!$A$9:$AI$2200,AC$1-$L$1+2)</f>
        <v>2.2719999999999998</v>
      </c>
      <c r="AD50" s="1">
        <f>VLOOKUP($J50,output!$A$9:$AI$2200,AD$1-$L$1+2)</f>
        <v>2.0659999999999998</v>
      </c>
      <c r="AE50" s="1">
        <f>VLOOKUP($J50,output!$A$9:$AI$2200,AE$1-$L$1+2)</f>
        <v>1.9930000000000001</v>
      </c>
      <c r="AF50" s="1">
        <f>VLOOKUP($J50,output!$A$9:$AI$2200,AF$1-$L$1+2)</f>
        <v>1.7210000000000001</v>
      </c>
      <c r="AG50" s="1">
        <f>VLOOKUP($J50,output!$A$9:$AI$2200,AG$1-$L$1+2)</f>
        <v>0.94799999999999995</v>
      </c>
      <c r="AH50" s="1">
        <f>VLOOKUP($J50,output!$A$9:$AI$2200,AH$1-$L$1+2)</f>
        <v>0.81</v>
      </c>
      <c r="AI50" s="1">
        <f>VLOOKUP($J50,output!$A$9:$AI$2200,AI$1-$L$1+2)</f>
        <v>1</v>
      </c>
      <c r="AJ50" s="1">
        <f>VLOOKUP($J50,output!$A$9:$AI$2200,AJ$1-$L$1+2)</f>
        <v>0.77900000000000003</v>
      </c>
      <c r="AK50" s="1">
        <f>VLOOKUP($J50,output!$A$9:$AI$2200,AK$1-$L$1+2)</f>
        <v>0.78</v>
      </c>
      <c r="AL50" s="1">
        <f>VLOOKUP($J50,output!$A$9:$AI$2200,AL$1-$L$1+2)</f>
        <v>0.79100000000000004</v>
      </c>
      <c r="AM50" s="1">
        <f>VLOOKUP($J50,output!$A$9:$AI$2200,AM$1-$L$1+2)</f>
        <v>0.79300000000000004</v>
      </c>
    </row>
    <row r="51" spans="10:40" x14ac:dyDescent="0.25">
      <c r="J51" t="s">
        <v>219</v>
      </c>
      <c r="K51" s="27"/>
      <c r="L51" s="1">
        <f>VLOOKUP($J51,output!$A$9:$AI$2200,L$1-$L$1+2)</f>
        <v>0</v>
      </c>
      <c r="M51" s="1">
        <f>VLOOKUP($J51,output!$A$9:$AI$2200,M$1-$L$1+2)</f>
        <v>1.921</v>
      </c>
      <c r="N51" s="1">
        <f>VLOOKUP($J51,output!$A$9:$AI$2200,N$1-$L$1+2)</f>
        <v>1.0389999999999999</v>
      </c>
      <c r="O51" s="1">
        <f>VLOOKUP($J51,output!$A$9:$AI$2200,O$1-$L$1+2)</f>
        <v>1.49</v>
      </c>
      <c r="P51" s="1">
        <f>VLOOKUP($J51,output!$A$9:$AI$2200,P$1-$L$1+2)</f>
        <v>1.6779999999999999</v>
      </c>
      <c r="Q51" s="1">
        <f>VLOOKUP($J51,output!$A$9:$AI$2200,Q$1-$L$1+2)</f>
        <v>1.484</v>
      </c>
      <c r="R51" s="1">
        <f>VLOOKUP($J51,output!$A$9:$AI$2200,R$1-$L$1+2)</f>
        <v>1.2829999999999999</v>
      </c>
      <c r="S51" s="1">
        <f>VLOOKUP($J51,output!$A$9:$AI$2200,S$1-$L$1+2)</f>
        <v>1.6140000000000001</v>
      </c>
      <c r="T51" s="1">
        <f>VLOOKUP($J51,output!$A$9:$AI$2200,T$1-$L$1+2)</f>
        <v>2.0939999999999999</v>
      </c>
      <c r="U51" s="1">
        <f>VLOOKUP($J51,output!$A$9:$AI$2200,U$1-$L$1+2)</f>
        <v>1.996</v>
      </c>
      <c r="V51" s="1">
        <f>VLOOKUP($J51,output!$A$9:$AI$2200,V$1-$L$1+2)</f>
        <v>1.7470000000000001</v>
      </c>
      <c r="W51" s="1">
        <f>VLOOKUP($J51,output!$A$9:$AI$2200,W$1-$L$1+2)</f>
        <v>1.5229999999999999</v>
      </c>
      <c r="X51" s="1">
        <f>VLOOKUP($J51,output!$A$9:$AI$2200,X$1-$L$1+2)</f>
        <v>1.3149999999999999</v>
      </c>
      <c r="Y51" s="1">
        <f>VLOOKUP($J51,output!$A$9:$AI$2200,Y$1-$L$1+2)</f>
        <v>1.353</v>
      </c>
      <c r="Z51" s="1">
        <f>VLOOKUP($J51,output!$A$9:$AI$2200,Z$1-$L$1+2)</f>
        <v>1.627</v>
      </c>
      <c r="AA51" s="1">
        <f>VLOOKUP($J51,output!$A$9:$AI$2200,AA$1-$L$1+2)</f>
        <v>1.452</v>
      </c>
      <c r="AB51" s="1">
        <f>VLOOKUP($J51,output!$A$9:$AI$2200,AB$1-$L$1+2)</f>
        <v>1.3220000000000001</v>
      </c>
      <c r="AC51" s="1">
        <f>VLOOKUP($J51,output!$A$9:$AI$2200,AC$1-$L$1+2)</f>
        <v>2.0579999999999998</v>
      </c>
      <c r="AD51" s="1">
        <f>VLOOKUP($J51,output!$A$9:$AI$2200,AD$1-$L$1+2)</f>
        <v>1.157</v>
      </c>
      <c r="AE51" s="1">
        <f>VLOOKUP($J51,output!$A$9:$AI$2200,AE$1-$L$1+2)</f>
        <v>1.0589999999999999</v>
      </c>
      <c r="AF51" s="1">
        <f>VLOOKUP($J51,output!$A$9:$AI$2200,AF$1-$L$1+2)</f>
        <v>0.90100000000000002</v>
      </c>
      <c r="AG51" s="1">
        <f>VLOOKUP($J51,output!$A$9:$AI$2200,AG$1-$L$1+2)</f>
        <v>0.85499999999999998</v>
      </c>
      <c r="AH51" s="1">
        <f>VLOOKUP($J51,output!$A$9:$AI$2200,AH$1-$L$1+2)</f>
        <v>0.78900000000000003</v>
      </c>
      <c r="AI51" s="1">
        <f>VLOOKUP($J51,output!$A$9:$AI$2200,AI$1-$L$1+2)</f>
        <v>0.72599999999999998</v>
      </c>
      <c r="AJ51" s="1">
        <f>VLOOKUP($J51,output!$A$9:$AI$2200,AJ$1-$L$1+2)</f>
        <v>0.67100000000000004</v>
      </c>
      <c r="AK51" s="1">
        <f>VLOOKUP($J51,output!$A$9:$AI$2200,AK$1-$L$1+2)</f>
        <v>0.62</v>
      </c>
      <c r="AL51" s="1">
        <f>VLOOKUP($J51,output!$A$9:$AI$2200,AL$1-$L$1+2)</f>
        <v>0.57299999999999995</v>
      </c>
      <c r="AM51" s="1">
        <f>VLOOKUP($J51,output!$A$9:$AI$2200,AM$1-$L$1+2)</f>
        <v>0.52900000000000003</v>
      </c>
    </row>
    <row r="52" spans="10:40" x14ac:dyDescent="0.25">
      <c r="J52" t="s">
        <v>240</v>
      </c>
      <c r="K52" s="27"/>
      <c r="L52" s="1">
        <f>VLOOKUP($J52,output!$A$9:$AI$2200,L$1-$L$1+2)</f>
        <v>0</v>
      </c>
      <c r="M52" s="1">
        <f>VLOOKUP($J52,output!$A$9:$AI$2200,M$1-$L$1+2)</f>
        <v>-0.56799999999999995</v>
      </c>
      <c r="N52" s="1">
        <f>VLOOKUP($J52,output!$A$9:$AI$2200,N$1-$L$1+2)</f>
        <v>-0.58799999999999997</v>
      </c>
      <c r="O52" s="1">
        <f>VLOOKUP($J52,output!$A$9:$AI$2200,O$1-$L$1+2)</f>
        <v>-0.57499999999999996</v>
      </c>
      <c r="P52" s="1">
        <f>VLOOKUP($J52,output!$A$9:$AI$2200,P$1-$L$1+2)</f>
        <v>-0.55900000000000005</v>
      </c>
      <c r="Q52" s="1">
        <f>VLOOKUP($J52,output!$A$9:$AI$2200,Q$1-$L$1+2)</f>
        <v>-0.54600000000000004</v>
      </c>
      <c r="R52" s="1">
        <f>VLOOKUP($J52,output!$A$9:$AI$2200,R$1-$L$1+2)</f>
        <v>-0.53300000000000003</v>
      </c>
      <c r="S52" s="1">
        <f>VLOOKUP($J52,output!$A$9:$AI$2200,S$1-$L$1+2)</f>
        <v>-0.372</v>
      </c>
      <c r="T52" s="1">
        <f>VLOOKUP($J52,output!$A$9:$AI$2200,T$1-$L$1+2)</f>
        <v>-0.36099999999999999</v>
      </c>
      <c r="U52" s="1">
        <f>VLOOKUP($J52,output!$A$9:$AI$2200,U$1-$L$1+2)</f>
        <v>-0.34499999999999997</v>
      </c>
      <c r="V52" s="1">
        <f>VLOOKUP($J52,output!$A$9:$AI$2200,V$1-$L$1+2)</f>
        <v>-0.32900000000000001</v>
      </c>
      <c r="W52" s="1">
        <f>VLOOKUP($J52,output!$A$9:$AI$2200,W$1-$L$1+2)</f>
        <v>-0.315</v>
      </c>
      <c r="X52" s="1">
        <f>VLOOKUP($J52,output!$A$9:$AI$2200,X$1-$L$1+2)</f>
        <v>-0.30099999999999999</v>
      </c>
      <c r="Y52" s="1">
        <f>VLOOKUP($J52,output!$A$9:$AI$2200,Y$1-$L$1+2)</f>
        <v>-0.28799999999999998</v>
      </c>
      <c r="Z52" s="1">
        <f>VLOOKUP($J52,output!$A$9:$AI$2200,Z$1-$L$1+2)</f>
        <v>-0.27200000000000002</v>
      </c>
      <c r="AA52" s="1">
        <f>VLOOKUP($J52,output!$A$9:$AI$2200,AA$1-$L$1+2)</f>
        <v>-0.26100000000000001</v>
      </c>
      <c r="AB52" s="1">
        <f>VLOOKUP($J52,output!$A$9:$AI$2200,AB$1-$L$1+2)</f>
        <v>-0.247</v>
      </c>
      <c r="AC52" s="1">
        <f>VLOOKUP($J52,output!$A$9:$AI$2200,AC$1-$L$1+2)</f>
        <v>0.17</v>
      </c>
      <c r="AD52" s="1">
        <f>VLOOKUP($J52,output!$A$9:$AI$2200,AD$1-$L$1+2)</f>
        <v>0.14299999999999999</v>
      </c>
      <c r="AE52" s="1">
        <f>VLOOKUP($J52,output!$A$9:$AI$2200,AE$1-$L$1+2)</f>
        <v>0.17899999999999999</v>
      </c>
      <c r="AF52" s="1">
        <f>VLOOKUP($J52,output!$A$9:$AI$2200,AF$1-$L$1+2)</f>
        <v>0.19500000000000001</v>
      </c>
      <c r="AG52" s="1">
        <f>VLOOKUP($J52,output!$A$9:$AI$2200,AG$1-$L$1+2)</f>
        <v>0.21099999999999999</v>
      </c>
      <c r="AH52" s="1">
        <f>VLOOKUP($J52,output!$A$9:$AI$2200,AH$1-$L$1+2)</f>
        <v>0.219</v>
      </c>
      <c r="AI52" s="1">
        <f>VLOOKUP($J52,output!$A$9:$AI$2200,AI$1-$L$1+2)</f>
        <v>0.22800000000000001</v>
      </c>
      <c r="AJ52" s="1">
        <f>VLOOKUP($J52,output!$A$9:$AI$2200,AJ$1-$L$1+2)</f>
        <v>0.23599999999999999</v>
      </c>
      <c r="AK52" s="1">
        <f>VLOOKUP($J52,output!$A$9:$AI$2200,AK$1-$L$1+2)</f>
        <v>0.24399999999999999</v>
      </c>
      <c r="AL52" s="1">
        <f>VLOOKUP($J52,output!$A$9:$AI$2200,AL$1-$L$1+2)</f>
        <v>0.251</v>
      </c>
      <c r="AM52" s="1">
        <f>VLOOKUP($J52,output!$A$9:$AI$2200,AM$1-$L$1+2)</f>
        <v>0.34599999999999997</v>
      </c>
    </row>
    <row r="53" spans="10:40" x14ac:dyDescent="0.25">
      <c r="J53" t="s">
        <v>311</v>
      </c>
      <c r="K53" s="27"/>
      <c r="L53" s="1">
        <f>VLOOKUP($J53,output!$A$9:$AI$2200,L$1-$L$1+2)</f>
        <v>0</v>
      </c>
      <c r="M53" s="1">
        <f>VLOOKUP($J53,output!$A$9:$AI$2200,M$1-$L$1+2)</f>
        <v>-0.56799999999999995</v>
      </c>
      <c r="N53" s="1">
        <f>VLOOKUP($J53,output!$A$9:$AI$2200,N$1-$L$1+2)</f>
        <v>-0.58799999999999997</v>
      </c>
      <c r="O53" s="1">
        <f>VLOOKUP($J53,output!$A$9:$AI$2200,O$1-$L$1+2)</f>
        <v>-0.57499999999999996</v>
      </c>
      <c r="P53" s="1">
        <f>VLOOKUP($J53,output!$A$9:$AI$2200,P$1-$L$1+2)</f>
        <v>-0.55900000000000005</v>
      </c>
      <c r="Q53" s="1">
        <f>VLOOKUP($J53,output!$A$9:$AI$2200,Q$1-$L$1+2)</f>
        <v>-0.54600000000000004</v>
      </c>
      <c r="R53" s="1">
        <f>VLOOKUP($J53,output!$A$9:$AI$2200,R$1-$L$1+2)</f>
        <v>-0.53300000000000003</v>
      </c>
      <c r="S53" s="1">
        <f>VLOOKUP($J53,output!$A$9:$AI$2200,S$1-$L$1+2)</f>
        <v>-0.372</v>
      </c>
      <c r="T53" s="1">
        <f>VLOOKUP($J53,output!$A$9:$AI$2200,T$1-$L$1+2)</f>
        <v>-0.36099999999999999</v>
      </c>
      <c r="U53" s="1">
        <f>VLOOKUP($J53,output!$A$9:$AI$2200,U$1-$L$1+2)</f>
        <v>-0.34499999999999997</v>
      </c>
      <c r="V53" s="1">
        <f>VLOOKUP($J53,output!$A$9:$AI$2200,V$1-$L$1+2)</f>
        <v>-0.32900000000000001</v>
      </c>
      <c r="W53" s="1">
        <f>VLOOKUP($J53,output!$A$9:$AI$2200,W$1-$L$1+2)</f>
        <v>-0.315</v>
      </c>
      <c r="X53" s="1">
        <f>VLOOKUP($J53,output!$A$9:$AI$2200,X$1-$L$1+2)</f>
        <v>-0.30099999999999999</v>
      </c>
      <c r="Y53" s="1">
        <f>VLOOKUP($J53,output!$A$9:$AI$2200,Y$1-$L$1+2)</f>
        <v>-0.28799999999999998</v>
      </c>
      <c r="Z53" s="1">
        <f>VLOOKUP($J53,output!$A$9:$AI$2200,Z$1-$L$1+2)</f>
        <v>-0.27200000000000002</v>
      </c>
      <c r="AA53" s="1">
        <f>VLOOKUP($J53,output!$A$9:$AI$2200,AA$1-$L$1+2)</f>
        <v>-0.26100000000000001</v>
      </c>
      <c r="AB53" s="1">
        <f>VLOOKUP($J53,output!$A$9:$AI$2200,AB$1-$L$1+2)</f>
        <v>-0.247</v>
      </c>
      <c r="AC53" s="1">
        <f>VLOOKUP($J53,output!$A$9:$AI$2200,AC$1-$L$1+2)</f>
        <v>0.17</v>
      </c>
      <c r="AD53" s="1">
        <f>VLOOKUP($J53,output!$A$9:$AI$2200,AD$1-$L$1+2)</f>
        <v>0.14299999999999999</v>
      </c>
      <c r="AE53" s="1">
        <f>VLOOKUP($J53,output!$A$9:$AI$2200,AE$1-$L$1+2)</f>
        <v>0.17899999999999999</v>
      </c>
      <c r="AF53" s="1">
        <f>VLOOKUP($J53,output!$A$9:$AI$2200,AF$1-$L$1+2)</f>
        <v>0.19500000000000001</v>
      </c>
      <c r="AG53" s="1">
        <f>VLOOKUP($J53,output!$A$9:$AI$2200,AG$1-$L$1+2)</f>
        <v>0.21099999999999999</v>
      </c>
      <c r="AH53" s="1">
        <f>VLOOKUP($J53,output!$A$9:$AI$2200,AH$1-$L$1+2)</f>
        <v>0.219</v>
      </c>
      <c r="AI53" s="1">
        <f>VLOOKUP($J53,output!$A$9:$AI$2200,AI$1-$L$1+2)</f>
        <v>0.22800000000000001</v>
      </c>
      <c r="AJ53" s="1">
        <f>VLOOKUP($J53,output!$A$9:$AI$2200,AJ$1-$L$1+2)</f>
        <v>0.23599999999999999</v>
      </c>
      <c r="AK53" s="1">
        <f>VLOOKUP($J53,output!$A$9:$AI$2200,AK$1-$L$1+2)</f>
        <v>0.24399999999999999</v>
      </c>
      <c r="AL53" s="1">
        <f>VLOOKUP($J53,output!$A$9:$AI$2200,AL$1-$L$1+2)</f>
        <v>0.251</v>
      </c>
      <c r="AM53" s="1">
        <f>VLOOKUP($J53,output!$A$9:$AI$2200,AM$1-$L$1+2)</f>
        <v>0.34599999999999997</v>
      </c>
    </row>
    <row r="54" spans="10:40" x14ac:dyDescent="0.25">
      <c r="J54" t="s">
        <v>224</v>
      </c>
      <c r="K54" s="27"/>
      <c r="L54" s="1">
        <f>VLOOKUP($J54,output!$A$9:$AI$2200,L$1-$L$1+2)</f>
        <v>0</v>
      </c>
      <c r="M54" s="1">
        <f>VLOOKUP($J54,output!$A$9:$AI$2200,M$1-$L$1+2)</f>
        <v>4.6379999999999999</v>
      </c>
      <c r="N54" s="1">
        <f>VLOOKUP($J54,output!$A$9:$AI$2200,N$1-$L$1+2)</f>
        <v>3.84</v>
      </c>
      <c r="O54" s="1">
        <f>VLOOKUP($J54,output!$A$9:$AI$2200,O$1-$L$1+2)</f>
        <v>3.6160000000000001</v>
      </c>
      <c r="P54" s="1">
        <f>VLOOKUP($J54,output!$A$9:$AI$2200,P$1-$L$1+2)</f>
        <v>4.0490000000000004</v>
      </c>
      <c r="Q54" s="1">
        <f>VLOOKUP($J54,output!$A$9:$AI$2200,Q$1-$L$1+2)</f>
        <v>3.8359999999999999</v>
      </c>
      <c r="R54" s="1">
        <f>VLOOKUP($J54,output!$A$9:$AI$2200,R$1-$L$1+2)</f>
        <v>3.6040000000000001</v>
      </c>
      <c r="S54" s="1">
        <f>VLOOKUP($J54,output!$A$9:$AI$2200,S$1-$L$1+2)</f>
        <v>3.391</v>
      </c>
      <c r="T54" s="1">
        <f>VLOOKUP($J54,output!$A$9:$AI$2200,T$1-$L$1+2)</f>
        <v>3.8439999999999999</v>
      </c>
      <c r="U54" s="1">
        <f>VLOOKUP($J54,output!$A$9:$AI$2200,U$1-$L$1+2)</f>
        <v>3.597</v>
      </c>
      <c r="V54" s="1">
        <f>VLOOKUP($J54,output!$A$9:$AI$2200,V$1-$L$1+2)</f>
        <v>3.7189999999999999</v>
      </c>
      <c r="W54" s="1">
        <f>VLOOKUP($J54,output!$A$9:$AI$2200,W$1-$L$1+2)</f>
        <v>3.8570000000000002</v>
      </c>
      <c r="X54" s="1">
        <f>VLOOKUP($J54,output!$A$9:$AI$2200,X$1-$L$1+2)</f>
        <v>3.9780000000000002</v>
      </c>
      <c r="Y54" s="1">
        <f>VLOOKUP($J54,output!$A$9:$AI$2200,Y$1-$L$1+2)</f>
        <v>2.7549999999999999</v>
      </c>
      <c r="Z54" s="1">
        <f>VLOOKUP($J54,output!$A$9:$AI$2200,Z$1-$L$1+2)</f>
        <v>2.9020000000000001</v>
      </c>
      <c r="AA54" s="1">
        <f>VLOOKUP($J54,output!$A$9:$AI$2200,AA$1-$L$1+2)</f>
        <v>2.94</v>
      </c>
      <c r="AB54" s="1">
        <f>VLOOKUP($J54,output!$A$9:$AI$2200,AB$1-$L$1+2)</f>
        <v>2.488</v>
      </c>
      <c r="AC54" s="1">
        <f>VLOOKUP($J54,output!$A$9:$AI$2200,AC$1-$L$1+2)</f>
        <v>2.7040000000000002</v>
      </c>
      <c r="AD54" s="1">
        <f>VLOOKUP($J54,output!$A$9:$AI$2200,AD$1-$L$1+2)</f>
        <v>2.3849999999999998</v>
      </c>
      <c r="AE54" s="1">
        <f>VLOOKUP($J54,output!$A$9:$AI$2200,AE$1-$L$1+2)</f>
        <v>2.3050000000000002</v>
      </c>
      <c r="AF54" s="1">
        <f>VLOOKUP($J54,output!$A$9:$AI$2200,AF$1-$L$1+2)</f>
        <v>2.004</v>
      </c>
      <c r="AG54" s="1">
        <f>VLOOKUP($J54,output!$A$9:$AI$2200,AG$1-$L$1+2)</f>
        <v>1.1020000000000001</v>
      </c>
      <c r="AH54" s="1">
        <f>VLOOKUP($J54,output!$A$9:$AI$2200,AH$1-$L$1+2)</f>
        <v>0.95699999999999996</v>
      </c>
      <c r="AI54" s="1">
        <f>VLOOKUP($J54,output!$A$9:$AI$2200,AI$1-$L$1+2)</f>
        <v>1.1659999999999999</v>
      </c>
      <c r="AJ54" s="1">
        <f>VLOOKUP($J54,output!$A$9:$AI$2200,AJ$1-$L$1+2)</f>
        <v>0.92200000000000004</v>
      </c>
      <c r="AK54" s="1">
        <f>VLOOKUP($J54,output!$A$9:$AI$2200,AK$1-$L$1+2)</f>
        <v>0.92200000000000004</v>
      </c>
      <c r="AL54" s="1">
        <f>VLOOKUP($J54,output!$A$9:$AI$2200,AL$1-$L$1+2)</f>
        <v>0.93300000000000005</v>
      </c>
      <c r="AM54" s="1">
        <f>VLOOKUP($J54,output!$A$9:$AI$2200,AM$1-$L$1+2)</f>
        <v>0.93200000000000005</v>
      </c>
    </row>
    <row r="55" spans="10:40" x14ac:dyDescent="0.25">
      <c r="J55" t="s">
        <v>220</v>
      </c>
      <c r="K55" s="27"/>
      <c r="L55" s="1">
        <f>VLOOKUP($J55,output!$A$9:$AI$2200,L$1-$L$1+2)</f>
        <v>0</v>
      </c>
      <c r="M55" s="1">
        <f>VLOOKUP($J55,output!$A$9:$AI$2200,M$1-$L$1+2)</f>
        <v>2.282</v>
      </c>
      <c r="N55" s="1">
        <f>VLOOKUP($J55,output!$A$9:$AI$2200,N$1-$L$1+2)</f>
        <v>1.2450000000000001</v>
      </c>
      <c r="O55" s="1">
        <f>VLOOKUP($J55,output!$A$9:$AI$2200,O$1-$L$1+2)</f>
        <v>1.7829999999999999</v>
      </c>
      <c r="P55" s="1">
        <f>VLOOKUP($J55,output!$A$9:$AI$2200,P$1-$L$1+2)</f>
        <v>2.0009999999999999</v>
      </c>
      <c r="Q55" s="1">
        <f>VLOOKUP($J55,output!$A$9:$AI$2200,Q$1-$L$1+2)</f>
        <v>1.7749999999999999</v>
      </c>
      <c r="R55" s="1">
        <f>VLOOKUP($J55,output!$A$9:$AI$2200,R$1-$L$1+2)</f>
        <v>1.5409999999999999</v>
      </c>
      <c r="S55" s="1">
        <f>VLOOKUP($J55,output!$A$9:$AI$2200,S$1-$L$1+2)</f>
        <v>1.9330000000000001</v>
      </c>
      <c r="T55" s="1">
        <f>VLOOKUP($J55,output!$A$9:$AI$2200,T$1-$L$1+2)</f>
        <v>2.512</v>
      </c>
      <c r="U55" s="1">
        <f>VLOOKUP($J55,output!$A$9:$AI$2200,U$1-$L$1+2)</f>
        <v>2.391</v>
      </c>
      <c r="V55" s="1">
        <f>VLOOKUP($J55,output!$A$9:$AI$2200,V$1-$L$1+2)</f>
        <v>2.0939999999999999</v>
      </c>
      <c r="W55" s="1">
        <f>VLOOKUP($J55,output!$A$9:$AI$2200,W$1-$L$1+2)</f>
        <v>1.83</v>
      </c>
      <c r="X55" s="1">
        <f>VLOOKUP($J55,output!$A$9:$AI$2200,X$1-$L$1+2)</f>
        <v>1.581</v>
      </c>
      <c r="Y55" s="1">
        <f>VLOOKUP($J55,output!$A$9:$AI$2200,Y$1-$L$1+2)</f>
        <v>1.6279999999999999</v>
      </c>
      <c r="Z55" s="1">
        <f>VLOOKUP($J55,output!$A$9:$AI$2200,Z$1-$L$1+2)</f>
        <v>1.968</v>
      </c>
      <c r="AA55" s="1">
        <f>VLOOKUP($J55,output!$A$9:$AI$2200,AA$1-$L$1+2)</f>
        <v>1.756</v>
      </c>
      <c r="AB55" s="1">
        <f>VLOOKUP($J55,output!$A$9:$AI$2200,AB$1-$L$1+2)</f>
        <v>1.601</v>
      </c>
      <c r="AC55" s="1">
        <f>VLOOKUP($J55,output!$A$9:$AI$2200,AC$1-$L$1+2)</f>
        <v>2.4689999999999999</v>
      </c>
      <c r="AD55" s="1">
        <f>VLOOKUP($J55,output!$A$9:$AI$2200,AD$1-$L$1+2)</f>
        <v>1.4119999999999999</v>
      </c>
      <c r="AE55" s="1">
        <f>VLOOKUP($J55,output!$A$9:$AI$2200,AE$1-$L$1+2)</f>
        <v>1.2929999999999999</v>
      </c>
      <c r="AF55" s="1">
        <f>VLOOKUP($J55,output!$A$9:$AI$2200,AF$1-$L$1+2)</f>
        <v>1.1020000000000001</v>
      </c>
      <c r="AG55" s="1">
        <f>VLOOKUP($J55,output!$A$9:$AI$2200,AG$1-$L$1+2)</f>
        <v>1.0469999999999999</v>
      </c>
      <c r="AH55" s="1">
        <f>VLOOKUP($J55,output!$A$9:$AI$2200,AH$1-$L$1+2)</f>
        <v>0.96599999999999997</v>
      </c>
      <c r="AI55" s="1">
        <f>VLOOKUP($J55,output!$A$9:$AI$2200,AI$1-$L$1+2)</f>
        <v>0.88900000000000001</v>
      </c>
      <c r="AJ55" s="1">
        <f>VLOOKUP($J55,output!$A$9:$AI$2200,AJ$1-$L$1+2)</f>
        <v>0.82099999999999995</v>
      </c>
      <c r="AK55" s="1">
        <f>VLOOKUP($J55,output!$A$9:$AI$2200,AK$1-$L$1+2)</f>
        <v>0.75900000000000001</v>
      </c>
      <c r="AL55" s="1">
        <f>VLOOKUP($J55,output!$A$9:$AI$2200,AL$1-$L$1+2)</f>
        <v>0.70099999999999996</v>
      </c>
      <c r="AM55" s="1">
        <f>VLOOKUP($J55,output!$A$9:$AI$2200,AM$1-$L$1+2)</f>
        <v>0.64800000000000002</v>
      </c>
    </row>
    <row r="56" spans="10:40" x14ac:dyDescent="0.25">
      <c r="J56" t="s">
        <v>238</v>
      </c>
      <c r="K56" s="27"/>
      <c r="L56" s="1">
        <f>VLOOKUP($J56,output!$A$9:$AI$2200,L$1-$L$1+2)</f>
        <v>0</v>
      </c>
      <c r="M56" s="1">
        <f>VLOOKUP($J56,output!$A$9:$AI$2200,M$1-$L$1+2)</f>
        <v>1.1990000000000001</v>
      </c>
      <c r="N56" s="1">
        <f>VLOOKUP($J56,output!$A$9:$AI$2200,N$1-$L$1+2)</f>
        <v>-0.02</v>
      </c>
      <c r="O56" s="1">
        <f>VLOOKUP($J56,output!$A$9:$AI$2200,O$1-$L$1+2)</f>
        <v>1.514</v>
      </c>
      <c r="P56" s="1">
        <f>VLOOKUP($J56,output!$A$9:$AI$2200,P$1-$L$1+2)</f>
        <v>3.6480000000000001</v>
      </c>
      <c r="Q56" s="1">
        <f>VLOOKUP($J56,output!$A$9:$AI$2200,Q$1-$L$1+2)</f>
        <v>1.444</v>
      </c>
      <c r="R56" s="1">
        <f>VLOOKUP($J56,output!$A$9:$AI$2200,R$1-$L$1+2)</f>
        <v>1.415</v>
      </c>
      <c r="S56" s="1">
        <f>VLOOKUP($J56,output!$A$9:$AI$2200,S$1-$L$1+2)</f>
        <v>1.32</v>
      </c>
      <c r="T56" s="1">
        <f>VLOOKUP($J56,output!$A$9:$AI$2200,T$1-$L$1+2)</f>
        <v>1.496</v>
      </c>
      <c r="U56" s="1">
        <f>VLOOKUP($J56,output!$A$9:$AI$2200,U$1-$L$1+2)</f>
        <v>1.375</v>
      </c>
      <c r="V56" s="1">
        <f>VLOOKUP($J56,output!$A$9:$AI$2200,V$1-$L$1+2)</f>
        <v>1.2470000000000001</v>
      </c>
      <c r="W56" s="1">
        <f>VLOOKUP($J56,output!$A$9:$AI$2200,W$1-$L$1+2)</f>
        <v>1.139</v>
      </c>
      <c r="X56" s="1">
        <f>VLOOKUP($J56,output!$A$9:$AI$2200,X$1-$L$1+2)</f>
        <v>1.0760000000000001</v>
      </c>
      <c r="Y56" s="1">
        <f>VLOOKUP($J56,output!$A$9:$AI$2200,Y$1-$L$1+2)</f>
        <v>0.95799999999999996</v>
      </c>
      <c r="Z56" s="1">
        <f>VLOOKUP($J56,output!$A$9:$AI$2200,Z$1-$L$1+2)</f>
        <v>0.94799999999999995</v>
      </c>
      <c r="AA56" s="1">
        <f>VLOOKUP($J56,output!$A$9:$AI$2200,AA$1-$L$1+2)</f>
        <v>0.86</v>
      </c>
      <c r="AB56" s="1">
        <f>VLOOKUP($J56,output!$A$9:$AI$2200,AB$1-$L$1+2)</f>
        <v>0.81</v>
      </c>
      <c r="AC56" s="1">
        <f>VLOOKUP($J56,output!$A$9:$AI$2200,AC$1-$L$1+2)</f>
        <v>6.3680000000000003</v>
      </c>
      <c r="AD56" s="1">
        <f>VLOOKUP($J56,output!$A$9:$AI$2200,AD$1-$L$1+2)</f>
        <v>-4.3719999999999999</v>
      </c>
      <c r="AE56" s="1">
        <f>VLOOKUP($J56,output!$A$9:$AI$2200,AE$1-$L$1+2)</f>
        <v>0.67500000000000004</v>
      </c>
      <c r="AF56" s="1">
        <f>VLOOKUP($J56,output!$A$9:$AI$2200,AF$1-$L$1+2)</f>
        <v>0.66400000000000003</v>
      </c>
      <c r="AG56" s="1">
        <f>VLOOKUP($J56,output!$A$9:$AI$2200,AG$1-$L$1+2)</f>
        <v>0.63900000000000001</v>
      </c>
      <c r="AH56" s="1">
        <f>VLOOKUP($J56,output!$A$9:$AI$2200,AH$1-$L$1+2)</f>
        <v>0.63</v>
      </c>
      <c r="AI56" s="1">
        <f>VLOOKUP($J56,output!$A$9:$AI$2200,AI$1-$L$1+2)</f>
        <v>0.57299999999999995</v>
      </c>
      <c r="AJ56" s="1">
        <f>VLOOKUP($J56,output!$A$9:$AI$2200,AJ$1-$L$1+2)</f>
        <v>0.56299999999999994</v>
      </c>
      <c r="AK56" s="1">
        <f>VLOOKUP($J56,output!$A$9:$AI$2200,AK$1-$L$1+2)</f>
        <v>0.55400000000000005</v>
      </c>
      <c r="AL56" s="1">
        <f>VLOOKUP($J56,output!$A$9:$AI$2200,AL$1-$L$1+2)</f>
        <v>0.54500000000000004</v>
      </c>
      <c r="AM56" s="1">
        <f>VLOOKUP($J56,output!$A$9:$AI$2200,AM$1-$L$1+2)</f>
        <v>0.53500000000000003</v>
      </c>
    </row>
    <row r="57" spans="10:40" x14ac:dyDescent="0.25">
      <c r="J57" t="s">
        <v>303</v>
      </c>
      <c r="K57" s="27"/>
      <c r="L57" s="1">
        <f>VLOOKUP($J57,output!$A$9:$AI$2200,L$1-$L$1+2)</f>
        <v>0</v>
      </c>
      <c r="M57" s="1">
        <f>VLOOKUP($J57,output!$A$9:$AI$2200,M$1-$L$1+2)</f>
        <v>1159.749</v>
      </c>
      <c r="N57" s="1">
        <f>VLOOKUP($J57,output!$A$9:$AI$2200,N$1-$L$1+2)</f>
        <v>639.08699999999999</v>
      </c>
      <c r="O57" s="1">
        <f>VLOOKUP($J57,output!$A$9:$AI$2200,O$1-$L$1+2)</f>
        <v>402.43799999999999</v>
      </c>
      <c r="P57" s="1">
        <f>VLOOKUP($J57,output!$A$9:$AI$2200,P$1-$L$1+2)</f>
        <v>397.97</v>
      </c>
      <c r="Q57" s="1">
        <f>VLOOKUP($J57,output!$A$9:$AI$2200,Q$1-$L$1+2)</f>
        <v>315.46800000000002</v>
      </c>
      <c r="R57" s="1">
        <f>VLOOKUP($J57,output!$A$9:$AI$2200,R$1-$L$1+2)</f>
        <v>239.13</v>
      </c>
      <c r="S57" s="1">
        <f>VLOOKUP($J57,output!$A$9:$AI$2200,S$1-$L$1+2)</f>
        <v>251.96199999999999</v>
      </c>
      <c r="T57" s="1">
        <f>VLOOKUP($J57,output!$A$9:$AI$2200,T$1-$L$1+2)</f>
        <v>264.12599999999998</v>
      </c>
      <c r="U57" s="1">
        <f>VLOOKUP($J57,output!$A$9:$AI$2200,U$1-$L$1+2)</f>
        <v>334.56799999999998</v>
      </c>
      <c r="V57" s="1">
        <f>VLOOKUP($J57,output!$A$9:$AI$2200,V$1-$L$1+2)</f>
        <v>358.41399999999999</v>
      </c>
      <c r="W57" s="1">
        <f>VLOOKUP($J57,output!$A$9:$AI$2200,W$1-$L$1+2)</f>
        <v>335.25599999999997</v>
      </c>
      <c r="X57" s="1">
        <f>VLOOKUP($J57,output!$A$9:$AI$2200,X$1-$L$1+2)</f>
        <v>274.87099999999998</v>
      </c>
      <c r="Y57" s="1">
        <f>VLOOKUP($J57,output!$A$9:$AI$2200,Y$1-$L$1+2)</f>
        <v>299.96199999999999</v>
      </c>
      <c r="Z57" s="1">
        <f>VLOOKUP($J57,output!$A$9:$AI$2200,Z$1-$L$1+2)</f>
        <v>308.98399999999998</v>
      </c>
      <c r="AA57" s="1">
        <f>VLOOKUP($J57,output!$A$9:$AI$2200,AA$1-$L$1+2)</f>
        <v>285.404</v>
      </c>
      <c r="AB57" s="1">
        <f>VLOOKUP($J57,output!$A$9:$AI$2200,AB$1-$L$1+2)</f>
        <v>255.4</v>
      </c>
      <c r="AC57" s="1">
        <f>VLOOKUP($J57,output!$A$9:$AI$2200,AC$1-$L$1+2)</f>
        <v>356.25200000000001</v>
      </c>
      <c r="AD57" s="1">
        <f>VLOOKUP($J57,output!$A$9:$AI$2200,AD$1-$L$1+2)</f>
        <v>224.589</v>
      </c>
      <c r="AE57" s="1">
        <f>VLOOKUP($J57,output!$A$9:$AI$2200,AE$1-$L$1+2)</f>
        <v>214.273</v>
      </c>
      <c r="AF57" s="1">
        <f>VLOOKUP($J57,output!$A$9:$AI$2200,AF$1-$L$1+2)</f>
        <v>134.19999999999999</v>
      </c>
      <c r="AG57" s="1">
        <f>VLOOKUP($J57,output!$A$9:$AI$2200,AG$1-$L$1+2)</f>
        <v>136.29300000000001</v>
      </c>
      <c r="AH57" s="1">
        <f>VLOOKUP($J57,output!$A$9:$AI$2200,AH$1-$L$1+2)</f>
        <v>138.36600000000001</v>
      </c>
      <c r="AI57" s="1">
        <f>VLOOKUP($J57,output!$A$9:$AI$2200,AI$1-$L$1+2)</f>
        <v>140.041</v>
      </c>
      <c r="AJ57" s="1">
        <f>VLOOKUP($J57,output!$A$9:$AI$2200,AJ$1-$L$1+2)</f>
        <v>141.88200000000001</v>
      </c>
      <c r="AK57" s="1">
        <f>VLOOKUP($J57,output!$A$9:$AI$2200,AK$1-$L$1+2)</f>
        <v>143.71600000000001</v>
      </c>
      <c r="AL57" s="1">
        <f>VLOOKUP($J57,output!$A$9:$AI$2200,AL$1-$L$1+2)</f>
        <v>145.52199999999999</v>
      </c>
      <c r="AM57" s="1">
        <f>VLOOKUP($J57,output!$A$9:$AI$2200,AM$1-$L$1+2)</f>
        <v>147.304</v>
      </c>
    </row>
    <row r="58" spans="10:40" x14ac:dyDescent="0.25">
      <c r="J58" t="s">
        <v>304</v>
      </c>
      <c r="K58" s="27"/>
      <c r="L58" s="1">
        <f>VLOOKUP($J58,output!$A$9:$AI$2200,L$1-$L$1+2)</f>
        <v>0</v>
      </c>
      <c r="M58" s="1">
        <f>VLOOKUP($J58,output!$A$9:$AI$2200,M$1-$L$1+2)</f>
        <v>1159.749</v>
      </c>
      <c r="N58" s="1">
        <f>VLOOKUP($J58,output!$A$9:$AI$2200,N$1-$L$1+2)</f>
        <v>639.08699999999999</v>
      </c>
      <c r="O58" s="1">
        <f>VLOOKUP($J58,output!$A$9:$AI$2200,O$1-$L$1+2)</f>
        <v>402.43799999999999</v>
      </c>
      <c r="P58" s="1">
        <f>VLOOKUP($J58,output!$A$9:$AI$2200,P$1-$L$1+2)</f>
        <v>397.97</v>
      </c>
      <c r="Q58" s="1">
        <f>VLOOKUP($J58,output!$A$9:$AI$2200,Q$1-$L$1+2)</f>
        <v>315.46800000000002</v>
      </c>
      <c r="R58" s="1">
        <f>VLOOKUP($J58,output!$A$9:$AI$2200,R$1-$L$1+2)</f>
        <v>239.13</v>
      </c>
      <c r="S58" s="1">
        <f>VLOOKUP($J58,output!$A$9:$AI$2200,S$1-$L$1+2)</f>
        <v>251.96199999999999</v>
      </c>
      <c r="T58" s="1">
        <f>VLOOKUP($J58,output!$A$9:$AI$2200,T$1-$L$1+2)</f>
        <v>264.12599999999998</v>
      </c>
      <c r="U58" s="1">
        <f>VLOOKUP($J58,output!$A$9:$AI$2200,U$1-$L$1+2)</f>
        <v>334.56799999999998</v>
      </c>
      <c r="V58" s="1">
        <f>VLOOKUP($J58,output!$A$9:$AI$2200,V$1-$L$1+2)</f>
        <v>358.41399999999999</v>
      </c>
      <c r="W58" s="1">
        <f>VLOOKUP($J58,output!$A$9:$AI$2200,W$1-$L$1+2)</f>
        <v>335.25599999999997</v>
      </c>
      <c r="X58" s="1">
        <f>VLOOKUP($J58,output!$A$9:$AI$2200,X$1-$L$1+2)</f>
        <v>274.87099999999998</v>
      </c>
      <c r="Y58" s="1">
        <f>VLOOKUP($J58,output!$A$9:$AI$2200,Y$1-$L$1+2)</f>
        <v>299.96199999999999</v>
      </c>
      <c r="Z58" s="1">
        <f>VLOOKUP($J58,output!$A$9:$AI$2200,Z$1-$L$1+2)</f>
        <v>308.98399999999998</v>
      </c>
      <c r="AA58" s="1">
        <f>VLOOKUP($J58,output!$A$9:$AI$2200,AA$1-$L$1+2)</f>
        <v>285.404</v>
      </c>
      <c r="AB58" s="1">
        <f>VLOOKUP($J58,output!$A$9:$AI$2200,AB$1-$L$1+2)</f>
        <v>255.4</v>
      </c>
      <c r="AC58" s="1">
        <f>VLOOKUP($J58,output!$A$9:$AI$2200,AC$1-$L$1+2)</f>
        <v>356.25200000000001</v>
      </c>
      <c r="AD58" s="1">
        <f>VLOOKUP($J58,output!$A$9:$AI$2200,AD$1-$L$1+2)</f>
        <v>224.589</v>
      </c>
      <c r="AE58" s="1">
        <f>VLOOKUP($J58,output!$A$9:$AI$2200,AE$1-$L$1+2)</f>
        <v>214.273</v>
      </c>
      <c r="AF58" s="1">
        <f>VLOOKUP($J58,output!$A$9:$AI$2200,AF$1-$L$1+2)</f>
        <v>134.19999999999999</v>
      </c>
      <c r="AG58" s="1">
        <f>VLOOKUP($J58,output!$A$9:$AI$2200,AG$1-$L$1+2)</f>
        <v>136.29300000000001</v>
      </c>
      <c r="AH58" s="1">
        <f>VLOOKUP($J58,output!$A$9:$AI$2200,AH$1-$L$1+2)</f>
        <v>138.36600000000001</v>
      </c>
      <c r="AI58" s="1">
        <f>VLOOKUP($J58,output!$A$9:$AI$2200,AI$1-$L$1+2)</f>
        <v>140.041</v>
      </c>
      <c r="AJ58" s="1">
        <f>VLOOKUP($J58,output!$A$9:$AI$2200,AJ$1-$L$1+2)</f>
        <v>141.88200000000001</v>
      </c>
      <c r="AK58" s="1">
        <f>VLOOKUP($J58,output!$A$9:$AI$2200,AK$1-$L$1+2)</f>
        <v>143.71600000000001</v>
      </c>
      <c r="AL58" s="1">
        <f>VLOOKUP($J58,output!$A$9:$AI$2200,AL$1-$L$1+2)</f>
        <v>145.52199999999999</v>
      </c>
      <c r="AM58" s="1">
        <f>VLOOKUP($J58,output!$A$9:$AI$2200,AM$1-$L$1+2)</f>
        <v>147.304</v>
      </c>
    </row>
    <row r="59" spans="10:40" x14ac:dyDescent="0.25">
      <c r="J59" t="s">
        <v>310</v>
      </c>
      <c r="K59" s="27"/>
      <c r="L59" s="1">
        <f>VLOOKUP($J59,output!$A$9:$AI$2200,L$1-$L$1+2)</f>
        <v>0</v>
      </c>
      <c r="M59" s="1">
        <f>VLOOKUP($J59,output!$A$9:$AI$2200,M$1-$L$1+2)</f>
        <v>1159.749</v>
      </c>
      <c r="N59" s="1">
        <f>VLOOKUP($J59,output!$A$9:$AI$2200,N$1-$L$1+2)</f>
        <v>639.08699999999999</v>
      </c>
      <c r="O59" s="1">
        <f>VLOOKUP($J59,output!$A$9:$AI$2200,O$1-$L$1+2)</f>
        <v>402.43799999999999</v>
      </c>
      <c r="P59" s="1">
        <f>VLOOKUP($J59,output!$A$9:$AI$2200,P$1-$L$1+2)</f>
        <v>397.97</v>
      </c>
      <c r="Q59" s="1">
        <f>VLOOKUP($J59,output!$A$9:$AI$2200,Q$1-$L$1+2)</f>
        <v>315.46800000000002</v>
      </c>
      <c r="R59" s="1">
        <f>VLOOKUP($J59,output!$A$9:$AI$2200,R$1-$L$1+2)</f>
        <v>239.13</v>
      </c>
      <c r="S59" s="1">
        <f>VLOOKUP($J59,output!$A$9:$AI$2200,S$1-$L$1+2)</f>
        <v>251.96199999999999</v>
      </c>
      <c r="T59" s="1">
        <f>VLOOKUP($J59,output!$A$9:$AI$2200,T$1-$L$1+2)</f>
        <v>264.12599999999998</v>
      </c>
      <c r="U59" s="1">
        <f>VLOOKUP($J59,output!$A$9:$AI$2200,U$1-$L$1+2)</f>
        <v>334.56799999999998</v>
      </c>
      <c r="V59" s="1">
        <f>VLOOKUP($J59,output!$A$9:$AI$2200,V$1-$L$1+2)</f>
        <v>358.41399999999999</v>
      </c>
      <c r="W59" s="1">
        <f>VLOOKUP($J59,output!$A$9:$AI$2200,W$1-$L$1+2)</f>
        <v>335.25599999999997</v>
      </c>
      <c r="X59" s="1">
        <f>VLOOKUP($J59,output!$A$9:$AI$2200,X$1-$L$1+2)</f>
        <v>274.87099999999998</v>
      </c>
      <c r="Y59" s="1">
        <f>VLOOKUP($J59,output!$A$9:$AI$2200,Y$1-$L$1+2)</f>
        <v>299.96199999999999</v>
      </c>
      <c r="Z59" s="1">
        <f>VLOOKUP($J59,output!$A$9:$AI$2200,Z$1-$L$1+2)</f>
        <v>308.98399999999998</v>
      </c>
      <c r="AA59" s="1">
        <f>VLOOKUP($J59,output!$A$9:$AI$2200,AA$1-$L$1+2)</f>
        <v>285.404</v>
      </c>
      <c r="AB59" s="1">
        <f>VLOOKUP($J59,output!$A$9:$AI$2200,AB$1-$L$1+2)</f>
        <v>255.4</v>
      </c>
      <c r="AC59" s="1">
        <f>VLOOKUP($J59,output!$A$9:$AI$2200,AC$1-$L$1+2)</f>
        <v>356.25200000000001</v>
      </c>
      <c r="AD59" s="1">
        <f>VLOOKUP($J59,output!$A$9:$AI$2200,AD$1-$L$1+2)</f>
        <v>224.589</v>
      </c>
      <c r="AE59" s="1">
        <f>VLOOKUP($J59,output!$A$9:$AI$2200,AE$1-$L$1+2)</f>
        <v>214.273</v>
      </c>
      <c r="AF59" s="1">
        <f>VLOOKUP($J59,output!$A$9:$AI$2200,AF$1-$L$1+2)</f>
        <v>134.19999999999999</v>
      </c>
      <c r="AG59" s="1">
        <f>VLOOKUP($J59,output!$A$9:$AI$2200,AG$1-$L$1+2)</f>
        <v>136.29300000000001</v>
      </c>
      <c r="AH59" s="1">
        <f>VLOOKUP($J59,output!$A$9:$AI$2200,AH$1-$L$1+2)</f>
        <v>138.36600000000001</v>
      </c>
      <c r="AI59" s="1">
        <f>VLOOKUP($J59,output!$A$9:$AI$2200,AI$1-$L$1+2)</f>
        <v>140.041</v>
      </c>
      <c r="AJ59" s="1">
        <f>VLOOKUP($J59,output!$A$9:$AI$2200,AJ$1-$L$1+2)</f>
        <v>141.88200000000001</v>
      </c>
      <c r="AK59" s="1">
        <f>VLOOKUP($J59,output!$A$9:$AI$2200,AK$1-$L$1+2)</f>
        <v>143.71600000000001</v>
      </c>
      <c r="AL59" s="1">
        <f>VLOOKUP($J59,output!$A$9:$AI$2200,AL$1-$L$1+2)</f>
        <v>145.52199999999999</v>
      </c>
      <c r="AM59" s="1">
        <f>VLOOKUP($J59,output!$A$9:$AI$2200,AM$1-$L$1+2)</f>
        <v>147.304</v>
      </c>
    </row>
    <row r="60" spans="10:40" x14ac:dyDescent="0.25">
      <c r="K60" s="2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0:40" x14ac:dyDescent="0.25">
      <c r="J61" t="s">
        <v>218</v>
      </c>
      <c r="K61" s="27"/>
      <c r="L61" s="1">
        <f>VLOOKUP($J61,output!$A$9:$AI$2200,L$1-$L$1+2)</f>
        <v>0</v>
      </c>
      <c r="M61" s="1">
        <f>VLOOKUP($J61,output!$A$9:$AI$2200,M$1-$L$1+2)</f>
        <v>1.508</v>
      </c>
      <c r="N61" s="1">
        <f>VLOOKUP($J61,output!$A$9:$AI$2200,N$1-$L$1+2)</f>
        <v>0.96699999999999997</v>
      </c>
      <c r="O61" s="1">
        <f>VLOOKUP($J61,output!$A$9:$AI$2200,O$1-$L$1+2)</f>
        <v>1.3939999999999999</v>
      </c>
      <c r="P61" s="1">
        <f>VLOOKUP($J61,output!$A$9:$AI$2200,P$1-$L$1+2)</f>
        <v>1.9219999999999999</v>
      </c>
      <c r="Q61" s="1">
        <f>VLOOKUP($J61,output!$A$9:$AI$2200,Q$1-$L$1+2)</f>
        <v>1.452</v>
      </c>
      <c r="R61" s="1">
        <f>VLOOKUP($J61,output!$A$9:$AI$2200,R$1-$L$1+2)</f>
        <v>1.415</v>
      </c>
      <c r="S61" s="1">
        <f>VLOOKUP($J61,output!$A$9:$AI$2200,S$1-$L$1+2)</f>
        <v>1.4319999999999999</v>
      </c>
      <c r="T61" s="1">
        <f>VLOOKUP($J61,output!$A$9:$AI$2200,T$1-$L$1+2)</f>
        <v>1.6160000000000001</v>
      </c>
      <c r="U61" s="1">
        <f>VLOOKUP($J61,output!$A$9:$AI$2200,U$1-$L$1+2)</f>
        <v>1.619</v>
      </c>
      <c r="V61" s="1">
        <f>VLOOKUP($J61,output!$A$9:$AI$2200,V$1-$L$1+2)</f>
        <v>1.5309999999999999</v>
      </c>
      <c r="W61" s="1">
        <f>VLOOKUP($J61,output!$A$9:$AI$2200,W$1-$L$1+2)</f>
        <v>1.508</v>
      </c>
      <c r="X61" s="1">
        <f>VLOOKUP($J61,output!$A$9:$AI$2200,X$1-$L$1+2)</f>
        <v>1.4279999999999999</v>
      </c>
      <c r="Y61" s="1">
        <f>VLOOKUP($J61,output!$A$9:$AI$2200,Y$1-$L$1+2)</f>
        <v>0.94699999999999995</v>
      </c>
      <c r="Z61" s="1">
        <f>VLOOKUP($J61,output!$A$9:$AI$2200,Z$1-$L$1+2)</f>
        <v>1.006</v>
      </c>
      <c r="AA61" s="1">
        <f>VLOOKUP($J61,output!$A$9:$AI$2200,AA$1-$L$1+2)</f>
        <v>0.92400000000000004</v>
      </c>
      <c r="AB61" s="1">
        <f>VLOOKUP($J61,output!$A$9:$AI$2200,AB$1-$L$1+2)</f>
        <v>0.78</v>
      </c>
      <c r="AC61" s="1">
        <f>VLOOKUP($J61,output!$A$9:$AI$2200,AC$1-$L$1+2)</f>
        <v>1.9670000000000001</v>
      </c>
      <c r="AD61" s="1">
        <f>VLOOKUP($J61,output!$A$9:$AI$2200,AD$1-$L$1+2)</f>
        <v>-0.21299999999999999</v>
      </c>
      <c r="AE61" s="1">
        <f>VLOOKUP($J61,output!$A$9:$AI$2200,AE$1-$L$1+2)</f>
        <v>0.70899999999999996</v>
      </c>
      <c r="AF61" s="1">
        <f>VLOOKUP($J61,output!$A$9:$AI$2200,AF$1-$L$1+2)</f>
        <v>0.59</v>
      </c>
      <c r="AG61" s="1">
        <f>VLOOKUP($J61,output!$A$9:$AI$2200,AG$1-$L$1+2)</f>
        <v>0.48299999999999998</v>
      </c>
      <c r="AH61" s="1">
        <f>VLOOKUP($J61,output!$A$9:$AI$2200,AH$1-$L$1+2)</f>
        <v>0.45900000000000002</v>
      </c>
      <c r="AI61" s="1">
        <f>VLOOKUP($J61,output!$A$9:$AI$2200,AI$1-$L$1+2)</f>
        <v>0.46</v>
      </c>
      <c r="AJ61" s="1">
        <f>VLOOKUP($J61,output!$A$9:$AI$2200,AJ$1-$L$1+2)</f>
        <v>0.39600000000000002</v>
      </c>
      <c r="AK61" s="1">
        <f>VLOOKUP($J61,output!$A$9:$AI$2200,AK$1-$L$1+2)</f>
        <v>0.42699999999999999</v>
      </c>
      <c r="AL61" s="1">
        <f>VLOOKUP($J61,output!$A$9:$AI$2200,AL$1-$L$1+2)</f>
        <v>0.39500000000000002</v>
      </c>
      <c r="AM61" s="1">
        <f>VLOOKUP($J61,output!$A$9:$AI$2200,AM$1-$L$1+2)</f>
        <v>0.42499999999999999</v>
      </c>
      <c r="AN61" s="1"/>
    </row>
    <row r="62" spans="10:40" x14ac:dyDescent="0.25">
      <c r="J62" t="s">
        <v>225</v>
      </c>
      <c r="L62" s="1">
        <f>VLOOKUP($J62,output!$A$9:$AI$2200,L$1-$L$1+2)</f>
        <v>0</v>
      </c>
      <c r="M62" s="1">
        <f>VLOOKUP($J62,output!$A$9:$AI$2200,M$1-$L$1+2)</f>
        <v>1.1040000000000001</v>
      </c>
      <c r="N62" s="1">
        <f>VLOOKUP($J62,output!$A$9:$AI$2200,N$1-$L$1+2)</f>
        <v>0.89200000000000002</v>
      </c>
      <c r="O62" s="1">
        <f>VLOOKUP($J62,output!$A$9:$AI$2200,O$1-$L$1+2)</f>
        <v>0.92</v>
      </c>
      <c r="P62" s="1">
        <f>VLOOKUP($J62,output!$A$9:$AI$2200,P$1-$L$1+2)</f>
        <v>0.97499999999999998</v>
      </c>
      <c r="Q62" s="1">
        <f>VLOOKUP($J62,output!$A$9:$AI$2200,Q$1-$L$1+2)</f>
        <v>0.97899999999999998</v>
      </c>
      <c r="R62" s="1">
        <f>VLOOKUP($J62,output!$A$9:$AI$2200,R$1-$L$1+2)</f>
        <v>0.98399999999999999</v>
      </c>
      <c r="S62" s="1">
        <f>VLOOKUP($J62,output!$A$9:$AI$2200,S$1-$L$1+2)</f>
        <v>0.98399999999999999</v>
      </c>
      <c r="T62" s="1">
        <f>VLOOKUP($J62,output!$A$9:$AI$2200,T$1-$L$1+2)</f>
        <v>0.99399999999999999</v>
      </c>
      <c r="U62" s="1">
        <f>VLOOKUP($J62,output!$A$9:$AI$2200,U$1-$L$1+2)</f>
        <v>1.0069999999999999</v>
      </c>
      <c r="V62" s="1">
        <f>VLOOKUP($J62,output!$A$9:$AI$2200,V$1-$L$1+2)</f>
        <v>1.0069999999999999</v>
      </c>
      <c r="W62" s="1">
        <f>VLOOKUP($J62,output!$A$9:$AI$2200,W$1-$L$1+2)</f>
        <v>1.0069999999999999</v>
      </c>
      <c r="X62" s="1">
        <f>VLOOKUP($J62,output!$A$9:$AI$2200,X$1-$L$1+2)</f>
        <v>1.0029999999999999</v>
      </c>
      <c r="Y62" s="1">
        <f>VLOOKUP($J62,output!$A$9:$AI$2200,Y$1-$L$1+2)</f>
        <v>0.53900000000000003</v>
      </c>
      <c r="Z62" s="1">
        <f>VLOOKUP($J62,output!$A$9:$AI$2200,Z$1-$L$1+2)</f>
        <v>0.53500000000000003</v>
      </c>
      <c r="AA62" s="1">
        <f>VLOOKUP($J62,output!$A$9:$AI$2200,AA$1-$L$1+2)</f>
        <v>0.52600000000000002</v>
      </c>
      <c r="AB62" s="1">
        <f>VLOOKUP($J62,output!$A$9:$AI$2200,AB$1-$L$1+2)</f>
        <v>0.41099999999999998</v>
      </c>
      <c r="AC62" s="1">
        <f>VLOOKUP($J62,output!$A$9:$AI$2200,AC$1-$L$1+2)</f>
        <v>0.432</v>
      </c>
      <c r="AD62" s="1">
        <f>VLOOKUP($J62,output!$A$9:$AI$2200,AD$1-$L$1+2)</f>
        <v>0.39</v>
      </c>
      <c r="AE62" s="1">
        <f>VLOOKUP($J62,output!$A$9:$AI$2200,AE$1-$L$1+2)</f>
        <v>0.378</v>
      </c>
      <c r="AF62" s="1">
        <f>VLOOKUP($J62,output!$A$9:$AI$2200,AF$1-$L$1+2)</f>
        <v>0.317</v>
      </c>
      <c r="AG62" s="1">
        <f>VLOOKUP($J62,output!$A$9:$AI$2200,AG$1-$L$1+2)</f>
        <v>0.222</v>
      </c>
      <c r="AH62" s="1">
        <f>VLOOKUP($J62,output!$A$9:$AI$2200,AH$1-$L$1+2)</f>
        <v>0.17499999999999999</v>
      </c>
      <c r="AI62" s="1">
        <f>VLOOKUP($J62,output!$A$9:$AI$2200,AI$1-$L$1+2)</f>
        <v>0.23</v>
      </c>
      <c r="AJ62" s="1">
        <f>VLOOKUP($J62,output!$A$9:$AI$2200,AJ$1-$L$1+2)</f>
        <v>0.17499999999999999</v>
      </c>
      <c r="AK62" s="1">
        <f>VLOOKUP($J62,output!$A$9:$AI$2200,AK$1-$L$1+2)</f>
        <v>0.182</v>
      </c>
      <c r="AL62" s="1">
        <f>VLOOKUP($J62,output!$A$9:$AI$2200,AL$1-$L$1+2)</f>
        <v>0.191</v>
      </c>
      <c r="AM62" s="1">
        <f>VLOOKUP($J62,output!$A$9:$AI$2200,AM$1-$L$1+2)</f>
        <v>0.19700000000000001</v>
      </c>
      <c r="AN62" s="1"/>
    </row>
    <row r="63" spans="10:40" x14ac:dyDescent="0.25">
      <c r="J63" t="s">
        <v>222</v>
      </c>
      <c r="L63" s="1">
        <f>VLOOKUP($J63,output!$A$9:$AI$2200,L$1-$L$1+2)</f>
        <v>0</v>
      </c>
      <c r="M63" s="1">
        <f>VLOOKUP($J63,output!$A$9:$AI$2200,M$1-$L$1+2)</f>
        <v>0.30299999999999999</v>
      </c>
      <c r="N63" s="1">
        <f>VLOOKUP($J63,output!$A$9:$AI$2200,N$1-$L$1+2)</f>
        <v>0.159</v>
      </c>
      <c r="O63" s="1">
        <f>VLOOKUP($J63,output!$A$9:$AI$2200,O$1-$L$1+2)</f>
        <v>0.224</v>
      </c>
      <c r="P63" s="1">
        <f>VLOOKUP($J63,output!$A$9:$AI$2200,P$1-$L$1+2)</f>
        <v>0.27100000000000002</v>
      </c>
      <c r="Q63" s="1">
        <f>VLOOKUP($J63,output!$A$9:$AI$2200,Q$1-$L$1+2)</f>
        <v>0.23799999999999999</v>
      </c>
      <c r="R63" s="1">
        <f>VLOOKUP($J63,output!$A$9:$AI$2200,R$1-$L$1+2)</f>
        <v>0.20399999999999999</v>
      </c>
      <c r="S63" s="1">
        <f>VLOOKUP($J63,output!$A$9:$AI$2200,S$1-$L$1+2)</f>
        <v>0.24099999999999999</v>
      </c>
      <c r="T63" s="1">
        <f>VLOOKUP($J63,output!$A$9:$AI$2200,T$1-$L$1+2)</f>
        <v>0.312</v>
      </c>
      <c r="U63" s="1">
        <f>VLOOKUP($J63,output!$A$9:$AI$2200,U$1-$L$1+2)</f>
        <v>0.29499999999999998</v>
      </c>
      <c r="V63" s="1">
        <f>VLOOKUP($J63,output!$A$9:$AI$2200,V$1-$L$1+2)</f>
        <v>0.25</v>
      </c>
      <c r="W63" s="1">
        <f>VLOOKUP($J63,output!$A$9:$AI$2200,W$1-$L$1+2)</f>
        <v>0.20899999999999999</v>
      </c>
      <c r="X63" s="1">
        <f>VLOOKUP($J63,output!$A$9:$AI$2200,X$1-$L$1+2)</f>
        <v>0.17199999999999999</v>
      </c>
      <c r="Y63" s="1">
        <f>VLOOKUP($J63,output!$A$9:$AI$2200,Y$1-$L$1+2)</f>
        <v>0.17399999999999999</v>
      </c>
      <c r="Z63" s="1">
        <f>VLOOKUP($J63,output!$A$9:$AI$2200,Z$1-$L$1+2)</f>
        <v>0.20300000000000001</v>
      </c>
      <c r="AA63" s="1">
        <f>VLOOKUP($J63,output!$A$9:$AI$2200,AA$1-$L$1+2)</f>
        <v>0.17699999999999999</v>
      </c>
      <c r="AB63" s="1">
        <f>VLOOKUP($J63,output!$A$9:$AI$2200,AB$1-$L$1+2)</f>
        <v>0.157</v>
      </c>
      <c r="AC63" s="1">
        <f>VLOOKUP($J63,output!$A$9:$AI$2200,AC$1-$L$1+2)</f>
        <v>0.28199999999999997</v>
      </c>
      <c r="AD63" s="1">
        <f>VLOOKUP($J63,output!$A$9:$AI$2200,AD$1-$L$1+2)</f>
        <v>0.124</v>
      </c>
      <c r="AE63" s="1">
        <f>VLOOKUP($J63,output!$A$9:$AI$2200,AE$1-$L$1+2)</f>
        <v>0.111</v>
      </c>
      <c r="AF63" s="1">
        <f>VLOOKUP($J63,output!$A$9:$AI$2200,AF$1-$L$1+2)</f>
        <v>9.1999999999999998E-2</v>
      </c>
      <c r="AG63" s="1">
        <f>VLOOKUP($J63,output!$A$9:$AI$2200,AG$1-$L$1+2)</f>
        <v>8.5000000000000006E-2</v>
      </c>
      <c r="AH63" s="1">
        <f>VLOOKUP($J63,output!$A$9:$AI$2200,AH$1-$L$1+2)</f>
        <v>7.6999999999999999E-2</v>
      </c>
      <c r="AI63" s="1">
        <f>VLOOKUP($J63,output!$A$9:$AI$2200,AI$1-$L$1+2)</f>
        <v>6.9000000000000006E-2</v>
      </c>
      <c r="AJ63" s="1">
        <f>VLOOKUP($J63,output!$A$9:$AI$2200,AJ$1-$L$1+2)</f>
        <v>6.3E-2</v>
      </c>
      <c r="AK63" s="1">
        <f>VLOOKUP($J63,output!$A$9:$AI$2200,AK$1-$L$1+2)</f>
        <v>5.6000000000000001E-2</v>
      </c>
      <c r="AL63" s="1">
        <f>VLOOKUP($J63,output!$A$9:$AI$2200,AL$1-$L$1+2)</f>
        <v>5.0999999999999997E-2</v>
      </c>
      <c r="AM63" s="1">
        <f>VLOOKUP($J63,output!$A$9:$AI$2200,AM$1-$L$1+2)</f>
        <v>4.4999999999999998E-2</v>
      </c>
      <c r="AN63" s="1"/>
    </row>
    <row r="64" spans="10:40" x14ac:dyDescent="0.25"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0:39" x14ac:dyDescent="0.25">
      <c r="J65" t="s">
        <v>225</v>
      </c>
      <c r="L65" s="1">
        <f>VLOOKUP($J65,output!$A$9:$AI$2200,L$1-$L$1+2)</f>
        <v>0</v>
      </c>
      <c r="M65" s="1">
        <f>VLOOKUP($J65,output!$A$9:$AI$2200,M$1-$L$1+2)</f>
        <v>1.1040000000000001</v>
      </c>
      <c r="N65" s="1">
        <f>VLOOKUP($J65,output!$A$9:$AI$2200,N$1-$L$1+2)</f>
        <v>0.89200000000000002</v>
      </c>
      <c r="O65" s="1">
        <f>VLOOKUP($J65,output!$A$9:$AI$2200,O$1-$L$1+2)</f>
        <v>0.92</v>
      </c>
      <c r="P65" s="1">
        <f>VLOOKUP($J65,output!$A$9:$AI$2200,P$1-$L$1+2)</f>
        <v>0.97499999999999998</v>
      </c>
      <c r="Q65" s="1">
        <f>VLOOKUP($J65,output!$A$9:$AI$2200,Q$1-$L$1+2)</f>
        <v>0.97899999999999998</v>
      </c>
      <c r="R65" s="1">
        <f>VLOOKUP($J65,output!$A$9:$AI$2200,R$1-$L$1+2)</f>
        <v>0.98399999999999999</v>
      </c>
      <c r="S65" s="1">
        <f>VLOOKUP($J65,output!$A$9:$AI$2200,S$1-$L$1+2)</f>
        <v>0.98399999999999999</v>
      </c>
      <c r="T65" s="1">
        <f>VLOOKUP($J65,output!$A$9:$AI$2200,T$1-$L$1+2)</f>
        <v>0.99399999999999999</v>
      </c>
      <c r="U65" s="1">
        <f>VLOOKUP($J65,output!$A$9:$AI$2200,U$1-$L$1+2)</f>
        <v>1.0069999999999999</v>
      </c>
      <c r="V65" s="1">
        <f>VLOOKUP($J65,output!$A$9:$AI$2200,V$1-$L$1+2)</f>
        <v>1.0069999999999999</v>
      </c>
      <c r="W65" s="1">
        <f>VLOOKUP($J65,output!$A$9:$AI$2200,W$1-$L$1+2)</f>
        <v>1.0069999999999999</v>
      </c>
      <c r="X65" s="1">
        <f>VLOOKUP($J65,output!$A$9:$AI$2200,X$1-$L$1+2)</f>
        <v>1.0029999999999999</v>
      </c>
      <c r="Y65" s="1">
        <f>VLOOKUP($J65,output!$A$9:$AI$2200,Y$1-$L$1+2)</f>
        <v>0.53900000000000003</v>
      </c>
      <c r="Z65" s="1">
        <f>VLOOKUP($J65,output!$A$9:$AI$2200,Z$1-$L$1+2)</f>
        <v>0.53500000000000003</v>
      </c>
      <c r="AA65" s="1">
        <f>VLOOKUP($J65,output!$A$9:$AI$2200,AA$1-$L$1+2)</f>
        <v>0.52600000000000002</v>
      </c>
      <c r="AB65" s="1">
        <f>VLOOKUP($J65,output!$A$9:$AI$2200,AB$1-$L$1+2)</f>
        <v>0.41099999999999998</v>
      </c>
      <c r="AC65" s="1">
        <f>VLOOKUP($J65,output!$A$9:$AI$2200,AC$1-$L$1+2)</f>
        <v>0.432</v>
      </c>
      <c r="AD65" s="1">
        <f>VLOOKUP($J65,output!$A$9:$AI$2200,AD$1-$L$1+2)</f>
        <v>0.39</v>
      </c>
      <c r="AE65" s="1">
        <f>VLOOKUP($J65,output!$A$9:$AI$2200,AE$1-$L$1+2)</f>
        <v>0.378</v>
      </c>
      <c r="AF65" s="1">
        <f>VLOOKUP($J65,output!$A$9:$AI$2200,AF$1-$L$1+2)</f>
        <v>0.317</v>
      </c>
      <c r="AG65" s="1">
        <f>VLOOKUP($J65,output!$A$9:$AI$2200,AG$1-$L$1+2)</f>
        <v>0.222</v>
      </c>
      <c r="AH65" s="1">
        <f>VLOOKUP($J65,output!$A$9:$AI$2200,AH$1-$L$1+2)</f>
        <v>0.17499999999999999</v>
      </c>
      <c r="AI65" s="1">
        <f>VLOOKUP($J65,output!$A$9:$AI$2200,AI$1-$L$1+2)</f>
        <v>0.23</v>
      </c>
      <c r="AJ65" s="1">
        <f>VLOOKUP($J65,output!$A$9:$AI$2200,AJ$1-$L$1+2)</f>
        <v>0.17499999999999999</v>
      </c>
      <c r="AK65" s="1">
        <f>VLOOKUP($J65,output!$A$9:$AI$2200,AK$1-$L$1+2)</f>
        <v>0.182</v>
      </c>
      <c r="AL65" s="1">
        <f>VLOOKUP($J65,output!$A$9:$AI$2200,AL$1-$L$1+2)</f>
        <v>0.191</v>
      </c>
      <c r="AM65" s="1">
        <f>VLOOKUP($J65,output!$A$9:$AI$2200,AM$1-$L$1+2)</f>
        <v>0.19700000000000001</v>
      </c>
    </row>
    <row r="66" spans="10:39" x14ac:dyDescent="0.25">
      <c r="J66" t="s">
        <v>222</v>
      </c>
      <c r="L66" s="1">
        <f>VLOOKUP($J66,output!$A$9:$AI$2200,L$1-$L$1+2)</f>
        <v>0</v>
      </c>
      <c r="M66" s="1">
        <f>VLOOKUP($J66,output!$A$9:$AI$2200,M$1-$L$1+2)</f>
        <v>0.30299999999999999</v>
      </c>
      <c r="N66" s="1">
        <f>VLOOKUP($J66,output!$A$9:$AI$2200,N$1-$L$1+2)</f>
        <v>0.159</v>
      </c>
      <c r="O66" s="1">
        <f>VLOOKUP($J66,output!$A$9:$AI$2200,O$1-$L$1+2)</f>
        <v>0.224</v>
      </c>
      <c r="P66" s="1">
        <f>VLOOKUP($J66,output!$A$9:$AI$2200,P$1-$L$1+2)</f>
        <v>0.27100000000000002</v>
      </c>
      <c r="Q66" s="1">
        <f>VLOOKUP($J66,output!$A$9:$AI$2200,Q$1-$L$1+2)</f>
        <v>0.23799999999999999</v>
      </c>
      <c r="R66" s="1">
        <f>VLOOKUP($J66,output!$A$9:$AI$2200,R$1-$L$1+2)</f>
        <v>0.20399999999999999</v>
      </c>
      <c r="S66" s="1">
        <f>VLOOKUP($J66,output!$A$9:$AI$2200,S$1-$L$1+2)</f>
        <v>0.24099999999999999</v>
      </c>
      <c r="T66" s="1">
        <f>VLOOKUP($J66,output!$A$9:$AI$2200,T$1-$L$1+2)</f>
        <v>0.312</v>
      </c>
      <c r="U66" s="1">
        <f>VLOOKUP($J66,output!$A$9:$AI$2200,U$1-$L$1+2)</f>
        <v>0.29499999999999998</v>
      </c>
      <c r="V66" s="1">
        <f>VLOOKUP($J66,output!$A$9:$AI$2200,V$1-$L$1+2)</f>
        <v>0.25</v>
      </c>
      <c r="W66" s="1">
        <f>VLOOKUP($J66,output!$A$9:$AI$2200,W$1-$L$1+2)</f>
        <v>0.20899999999999999</v>
      </c>
      <c r="X66" s="1">
        <f>VLOOKUP($J66,output!$A$9:$AI$2200,X$1-$L$1+2)</f>
        <v>0.17199999999999999</v>
      </c>
      <c r="Y66" s="1">
        <f>VLOOKUP($J66,output!$A$9:$AI$2200,Y$1-$L$1+2)</f>
        <v>0.17399999999999999</v>
      </c>
      <c r="Z66" s="1">
        <f>VLOOKUP($J66,output!$A$9:$AI$2200,Z$1-$L$1+2)</f>
        <v>0.20300000000000001</v>
      </c>
      <c r="AA66" s="1">
        <f>VLOOKUP($J66,output!$A$9:$AI$2200,AA$1-$L$1+2)</f>
        <v>0.17699999999999999</v>
      </c>
      <c r="AB66" s="1">
        <f>VLOOKUP($J66,output!$A$9:$AI$2200,AB$1-$L$1+2)</f>
        <v>0.157</v>
      </c>
      <c r="AC66" s="1">
        <f>VLOOKUP($J66,output!$A$9:$AI$2200,AC$1-$L$1+2)</f>
        <v>0.28199999999999997</v>
      </c>
      <c r="AD66" s="1">
        <f>VLOOKUP($J66,output!$A$9:$AI$2200,AD$1-$L$1+2)</f>
        <v>0.124</v>
      </c>
      <c r="AE66" s="1">
        <f>VLOOKUP($J66,output!$A$9:$AI$2200,AE$1-$L$1+2)</f>
        <v>0.111</v>
      </c>
      <c r="AF66" s="1">
        <f>VLOOKUP($J66,output!$A$9:$AI$2200,AF$1-$L$1+2)</f>
        <v>9.1999999999999998E-2</v>
      </c>
      <c r="AG66" s="1">
        <f>VLOOKUP($J66,output!$A$9:$AI$2200,AG$1-$L$1+2)</f>
        <v>8.5000000000000006E-2</v>
      </c>
      <c r="AH66" s="1">
        <f>VLOOKUP($J66,output!$A$9:$AI$2200,AH$1-$L$1+2)</f>
        <v>7.6999999999999999E-2</v>
      </c>
      <c r="AI66" s="1">
        <f>VLOOKUP($J66,output!$A$9:$AI$2200,AI$1-$L$1+2)</f>
        <v>6.9000000000000006E-2</v>
      </c>
      <c r="AJ66" s="1">
        <f>VLOOKUP($J66,output!$A$9:$AI$2200,AJ$1-$L$1+2)</f>
        <v>6.3E-2</v>
      </c>
      <c r="AK66" s="1">
        <f>VLOOKUP($J66,output!$A$9:$AI$2200,AK$1-$L$1+2)</f>
        <v>5.6000000000000001E-2</v>
      </c>
      <c r="AL66" s="1">
        <f>VLOOKUP($J66,output!$A$9:$AI$2200,AL$1-$L$1+2)</f>
        <v>5.0999999999999997E-2</v>
      </c>
      <c r="AM66" s="1">
        <f>VLOOKUP($J66,output!$A$9:$AI$2200,AM$1-$L$1+2)</f>
        <v>4.4999999999999998E-2</v>
      </c>
    </row>
    <row r="67" spans="10:39" x14ac:dyDescent="0.25"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0:39" x14ac:dyDescent="0.25">
      <c r="J68" t="s">
        <v>239</v>
      </c>
      <c r="L68" s="1">
        <f>VLOOKUP($J68,output!$A$9:$AI$2200,L$1-$L$1+2)</f>
        <v>0</v>
      </c>
      <c r="M68" s="1">
        <f>VLOOKUP($J68,output!$A$9:$AI$2200,M$1-$L$1+2)</f>
        <v>6.6120000000000001</v>
      </c>
      <c r="N68" s="1">
        <f>VLOOKUP($J68,output!$A$9:$AI$2200,N$1-$L$1+2)</f>
        <v>3.8929999999999998</v>
      </c>
      <c r="O68" s="1">
        <f>VLOOKUP($J68,output!$A$9:$AI$2200,O$1-$L$1+2)</f>
        <v>5.5170000000000003</v>
      </c>
      <c r="P68" s="1">
        <f>VLOOKUP($J68,output!$A$9:$AI$2200,P$1-$L$1+2)</f>
        <v>8.2870000000000008</v>
      </c>
      <c r="Q68" s="1">
        <f>VLOOKUP($J68,output!$A$9:$AI$2200,Q$1-$L$1+2)</f>
        <v>5.556</v>
      </c>
      <c r="R68" s="1">
        <f>VLOOKUP($J68,output!$A$9:$AI$2200,R$1-$L$1+2)</f>
        <v>4.9489999999999998</v>
      </c>
      <c r="S68" s="1">
        <f>VLOOKUP($J68,output!$A$9:$AI$2200,S$1-$L$1+2)</f>
        <v>4.9809999999999999</v>
      </c>
      <c r="T68" s="1">
        <f>VLOOKUP($J68,output!$A$9:$AI$2200,T$1-$L$1+2)</f>
        <v>6.3010000000000002</v>
      </c>
      <c r="U68" s="1">
        <f>VLOOKUP($J68,output!$A$9:$AI$2200,U$1-$L$1+2)</f>
        <v>5.6779999999999999</v>
      </c>
      <c r="V68" s="1">
        <f>VLOOKUP($J68,output!$A$9:$AI$2200,V$1-$L$1+2)</f>
        <v>5.4850000000000003</v>
      </c>
      <c r="W68" s="1">
        <f>VLOOKUP($J68,output!$A$9:$AI$2200,W$1-$L$1+2)</f>
        <v>5.3710000000000004</v>
      </c>
      <c r="X68" s="1">
        <f>VLOOKUP($J68,output!$A$9:$AI$2200,X$1-$L$1+2)</f>
        <v>5.29</v>
      </c>
      <c r="Y68" s="1">
        <f>VLOOKUP($J68,output!$A$9:$AI$2200,Y$1-$L$1+2)</f>
        <v>4.1980000000000004</v>
      </c>
      <c r="Z68" s="1">
        <f>VLOOKUP($J68,output!$A$9:$AI$2200,Z$1-$L$1+2)</f>
        <v>4.7149999999999999</v>
      </c>
      <c r="AA68" s="1">
        <f>VLOOKUP($J68,output!$A$9:$AI$2200,AA$1-$L$1+2)</f>
        <v>4.5510000000000002</v>
      </c>
      <c r="AB68" s="1">
        <f>VLOOKUP($J68,output!$A$9:$AI$2200,AB$1-$L$1+2)</f>
        <v>4.024</v>
      </c>
      <c r="AC68" s="1">
        <f>VLOOKUP($J68,output!$A$9:$AI$2200,AC$1-$L$1+2)</f>
        <v>10.868</v>
      </c>
      <c r="AD68" s="1">
        <f>VLOOKUP($J68,output!$A$9:$AI$2200,AD$1-$L$1+2)</f>
        <v>-1.006</v>
      </c>
      <c r="AE68" s="1">
        <f>VLOOKUP($J68,output!$A$9:$AI$2200,AE$1-$L$1+2)</f>
        <v>3.9060000000000001</v>
      </c>
      <c r="AF68" s="1">
        <f>VLOOKUP($J68,output!$A$9:$AI$2200,AF$1-$L$1+2)</f>
        <v>3.48</v>
      </c>
      <c r="AG68" s="1">
        <f>VLOOKUP($J68,output!$A$9:$AI$2200,AG$1-$L$1+2)</f>
        <v>2.653</v>
      </c>
      <c r="AH68" s="1">
        <f>VLOOKUP($J68,output!$A$9:$AI$2200,AH$1-$L$1+2)</f>
        <v>2.4470000000000001</v>
      </c>
      <c r="AI68" s="1">
        <f>VLOOKUP($J68,output!$A$9:$AI$2200,AI$1-$L$1+2)</f>
        <v>2.5270000000000001</v>
      </c>
      <c r="AJ68" s="1">
        <f>VLOOKUP($J68,output!$A$9:$AI$2200,AJ$1-$L$1+2)</f>
        <v>2.2490000000000001</v>
      </c>
      <c r="AK68" s="1">
        <f>VLOOKUP($J68,output!$A$9:$AI$2200,AK$1-$L$1+2)</f>
        <v>2.198</v>
      </c>
      <c r="AL68" s="1">
        <f>VLOOKUP($J68,output!$A$9:$AI$2200,AL$1-$L$1+2)</f>
        <v>2.16</v>
      </c>
      <c r="AM68" s="1">
        <f>VLOOKUP($J68,output!$A$9:$AI$2200,AM$1-$L$1+2)</f>
        <v>2.2029999999999998</v>
      </c>
    </row>
    <row r="69" spans="10:39" x14ac:dyDescent="0.25"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0:39" x14ac:dyDescent="0.25">
      <c r="J70" t="s">
        <v>312</v>
      </c>
      <c r="L70" s="1">
        <f>VLOOKUP($J70,output!$A$9:$AI$2200,L$1-$L$1+2)</f>
        <v>0</v>
      </c>
      <c r="M70" s="1">
        <f>VLOOKUP($J70,output!$A$9:$AI$2200,M$1-$L$1+2)</f>
        <v>1.1990000000000001</v>
      </c>
      <c r="N70" s="1">
        <f>VLOOKUP($J70,output!$A$9:$AI$2200,N$1-$L$1+2)</f>
        <v>-0.02</v>
      </c>
      <c r="O70" s="1">
        <f>VLOOKUP($J70,output!$A$9:$AI$2200,O$1-$L$1+2)</f>
        <v>1.514</v>
      </c>
      <c r="P70" s="1">
        <f>VLOOKUP($J70,output!$A$9:$AI$2200,P$1-$L$1+2)</f>
        <v>3.6480000000000001</v>
      </c>
      <c r="Q70" s="1">
        <f>VLOOKUP($J70,output!$A$9:$AI$2200,Q$1-$L$1+2)</f>
        <v>1.444</v>
      </c>
      <c r="R70" s="1">
        <f>VLOOKUP($J70,output!$A$9:$AI$2200,R$1-$L$1+2)</f>
        <v>1.415</v>
      </c>
      <c r="S70" s="1">
        <f>VLOOKUP($J70,output!$A$9:$AI$2200,S$1-$L$1+2)</f>
        <v>1.32</v>
      </c>
      <c r="T70" s="1">
        <f>VLOOKUP($J70,output!$A$9:$AI$2200,T$1-$L$1+2)</f>
        <v>1.496</v>
      </c>
      <c r="U70" s="1">
        <f>VLOOKUP($J70,output!$A$9:$AI$2200,U$1-$L$1+2)</f>
        <v>1.375</v>
      </c>
      <c r="V70" s="1">
        <f>VLOOKUP($J70,output!$A$9:$AI$2200,V$1-$L$1+2)</f>
        <v>1.2470000000000001</v>
      </c>
      <c r="W70" s="1">
        <f>VLOOKUP($J70,output!$A$9:$AI$2200,W$1-$L$1+2)</f>
        <v>1.139</v>
      </c>
      <c r="X70" s="1">
        <f>VLOOKUP($J70,output!$A$9:$AI$2200,X$1-$L$1+2)</f>
        <v>1.0760000000000001</v>
      </c>
      <c r="Y70" s="1">
        <f>VLOOKUP($J70,output!$A$9:$AI$2200,Y$1-$L$1+2)</f>
        <v>0.95799999999999996</v>
      </c>
      <c r="Z70" s="1">
        <f>VLOOKUP($J70,output!$A$9:$AI$2200,Z$1-$L$1+2)</f>
        <v>0.94799999999999995</v>
      </c>
      <c r="AA70" s="1">
        <f>VLOOKUP($J70,output!$A$9:$AI$2200,AA$1-$L$1+2)</f>
        <v>0.86</v>
      </c>
      <c r="AB70" s="1">
        <f>VLOOKUP($J70,output!$A$9:$AI$2200,AB$1-$L$1+2)</f>
        <v>0.81</v>
      </c>
      <c r="AC70" s="1">
        <f>VLOOKUP($J70,output!$A$9:$AI$2200,AC$1-$L$1+2)</f>
        <v>6.3680000000000003</v>
      </c>
      <c r="AD70" s="1">
        <f>VLOOKUP($J70,output!$A$9:$AI$2200,AD$1-$L$1+2)</f>
        <v>-4.3719999999999999</v>
      </c>
      <c r="AE70" s="1">
        <f>VLOOKUP($J70,output!$A$9:$AI$2200,AE$1-$L$1+2)</f>
        <v>0.67500000000000004</v>
      </c>
      <c r="AF70" s="1">
        <f>VLOOKUP($J70,output!$A$9:$AI$2200,AF$1-$L$1+2)</f>
        <v>0.66400000000000003</v>
      </c>
      <c r="AG70" s="1">
        <f>VLOOKUP($J70,output!$A$9:$AI$2200,AG$1-$L$1+2)</f>
        <v>0.63900000000000001</v>
      </c>
      <c r="AH70" s="1">
        <f>VLOOKUP($J70,output!$A$9:$AI$2200,AH$1-$L$1+2)</f>
        <v>0.63</v>
      </c>
      <c r="AI70" s="1">
        <f>VLOOKUP($J70,output!$A$9:$AI$2200,AI$1-$L$1+2)</f>
        <v>0.57299999999999995</v>
      </c>
      <c r="AJ70" s="1">
        <f>VLOOKUP($J70,output!$A$9:$AI$2200,AJ$1-$L$1+2)</f>
        <v>0.56299999999999994</v>
      </c>
      <c r="AK70" s="1">
        <f>VLOOKUP($J70,output!$A$9:$AI$2200,AK$1-$L$1+2)</f>
        <v>0.55400000000000005</v>
      </c>
      <c r="AL70" s="1">
        <f>VLOOKUP($J70,output!$A$9:$AI$2200,AL$1-$L$1+2)</f>
        <v>0.54500000000000004</v>
      </c>
      <c r="AM70" s="1">
        <f>VLOOKUP($J70,output!$A$9:$AI$2200,AM$1-$L$1+2)</f>
        <v>0.53500000000000003</v>
      </c>
    </row>
    <row r="72" spans="10:39" x14ac:dyDescent="0.25">
      <c r="L72" t="s">
        <v>305</v>
      </c>
      <c r="M72" t="s">
        <v>306</v>
      </c>
    </row>
    <row r="73" spans="10:39" x14ac:dyDescent="0.25">
      <c r="J73" t="s">
        <v>299</v>
      </c>
      <c r="L73">
        <f>Consommation!L12</f>
        <v>260.45799999999997</v>
      </c>
    </row>
    <row r="74" spans="10:39" x14ac:dyDescent="0.25">
      <c r="J74" t="s">
        <v>298</v>
      </c>
      <c r="L74" s="1">
        <f>SUM(L68:AM68)</f>
        <v>119.093</v>
      </c>
      <c r="M74" s="3">
        <f>L74/L73</f>
        <v>0.45724454614563581</v>
      </c>
    </row>
    <row r="75" spans="10:39" x14ac:dyDescent="0.25">
      <c r="J75" t="s">
        <v>300</v>
      </c>
      <c r="L75" s="1">
        <f>SUM(L50:AM50)+SUM(L51:AM51)</f>
        <v>95.332999999999998</v>
      </c>
      <c r="M75" s="3">
        <f>L75/L73</f>
        <v>0.3660206252063673</v>
      </c>
    </row>
    <row r="76" spans="10:39" x14ac:dyDescent="0.25">
      <c r="J76" t="s">
        <v>301</v>
      </c>
      <c r="L76" s="1">
        <f>SUM(L56:AM56)</f>
        <v>27.802999999999997</v>
      </c>
      <c r="M76" s="3">
        <f>L76/L73</f>
        <v>0.10674657718326948</v>
      </c>
      <c r="P76" s="1"/>
    </row>
    <row r="77" spans="10:39" x14ac:dyDescent="0.25">
      <c r="J77" t="s">
        <v>302</v>
      </c>
      <c r="L77" s="1">
        <f>SUM(L52:AM52)</f>
        <v>-4.0380000000000003</v>
      </c>
      <c r="M77" s="3">
        <f>L77/L73</f>
        <v>-1.5503459290941345E-2</v>
      </c>
      <c r="P77" s="3"/>
    </row>
    <row r="78" spans="10:39" ht="45" x14ac:dyDescent="0.25">
      <c r="J78" t="s">
        <v>307</v>
      </c>
      <c r="K78" s="19" t="s">
        <v>308</v>
      </c>
      <c r="L78" s="1">
        <f>SUM(L57:AM57)+SUM(L58:AM58)</f>
        <v>16090.454000000002</v>
      </c>
      <c r="M78" s="3">
        <f>L78/L73</f>
        <v>61.777538029164027</v>
      </c>
    </row>
    <row r="79" spans="10:39" x14ac:dyDescent="0.25">
      <c r="J79" t="s">
        <v>313</v>
      </c>
      <c r="K79" s="19"/>
      <c r="L79" s="11">
        <f>SUM(L70:AM70)</f>
        <v>27.802999999999997</v>
      </c>
      <c r="M79" s="3">
        <f>L79/L73</f>
        <v>0.10674657718326948</v>
      </c>
    </row>
    <row r="80" spans="10:39" x14ac:dyDescent="0.25">
      <c r="J80" t="s">
        <v>314</v>
      </c>
      <c r="M80" s="3">
        <f>M79-M75-M77</f>
        <v>-0.24377058873215648</v>
      </c>
    </row>
    <row r="81" spans="12:39" x14ac:dyDescent="0.25"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105" spans="10:10" x14ac:dyDescent="0.25">
      <c r="J105" t="s">
        <v>315</v>
      </c>
    </row>
    <row r="106" spans="10:10" ht="45" x14ac:dyDescent="0.25">
      <c r="J106" s="19" t="s">
        <v>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output</vt:lpstr>
      <vt:lpstr>figures 2030</vt:lpstr>
      <vt:lpstr>figures 2050</vt:lpstr>
      <vt:lpstr>Post traitement FE</vt:lpstr>
      <vt:lpstr>Parc et émission</vt:lpstr>
      <vt:lpstr>Consommation</vt:lpstr>
      <vt:lpstr>Consommation - post traitement</vt:lpstr>
      <vt:lpstr>Gestes de rénovation</vt:lpstr>
      <vt:lpstr>Gestes de rénovation (2)</vt:lpstr>
      <vt:lpstr>Aides</vt:lpstr>
      <vt:lpstr>Switch heater </vt:lpstr>
      <vt:lpstr>Effet rebond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TIRANA Florian</dc:creator>
  <cp:lastModifiedBy>NAGY Manon</cp:lastModifiedBy>
  <dcterms:created xsi:type="dcterms:W3CDTF">2023-02-23T08:37:10Z</dcterms:created>
  <dcterms:modified xsi:type="dcterms:W3CDTF">2025-01-22T17:24:44Z</dcterms:modified>
</cp:coreProperties>
</file>